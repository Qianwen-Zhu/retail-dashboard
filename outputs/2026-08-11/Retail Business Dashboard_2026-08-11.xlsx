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4736.771737408209</v>
      </c>
      <c r="F3" s="52" t="n">
        <v>2237.10201276648</v>
      </c>
      <c r="G3" s="52" t="n">
        <v>2339.06635508644</v>
      </c>
      <c r="H3" s="52" t="n">
        <v>1653.25605595164</v>
      </c>
      <c r="I3" s="52" t="n">
        <v>4152.10127134117</v>
      </c>
      <c r="J3" s="52" t="n">
        <v>2471.90366430578</v>
      </c>
      <c r="K3" s="52" t="n">
        <v>2430.46097898303</v>
      </c>
      <c r="L3" s="52" t="n">
        <v>3649.63784242193</v>
      </c>
      <c r="M3" s="52" t="n">
        <v>3847.21819282806</v>
      </c>
      <c r="N3" s="52" t="n">
        <v>5165.53775060636</v>
      </c>
      <c r="O3" s="52" t="n">
        <v>1876.6276820664</v>
      </c>
      <c r="P3" s="52" t="n">
        <v>3805.58513354664</v>
      </c>
      <c r="Q3" s="52" t="n">
        <v>2227.41217974476</v>
      </c>
      <c r="R3" s="52" t="n">
        <v>2713.24804267622</v>
      </c>
      <c r="S3" s="52" t="n">
        <v>2626.97170346859</v>
      </c>
      <c r="T3" s="52" t="n">
        <v>3421.15352883315</v>
      </c>
      <c r="U3" s="52" t="n">
        <v>3314.81939698436</v>
      </c>
      <c r="V3" s="52" t="n">
        <v>4760.335528757049</v>
      </c>
      <c r="W3" s="52" t="n">
        <v>5044.17259109343</v>
      </c>
      <c r="X3" s="52" t="n">
        <v>2875.42851396754</v>
      </c>
      <c r="Y3" s="52" t="n">
        <v>7354.42049483426</v>
      </c>
      <c r="Z3" s="52" t="n">
        <v>2442.59130745382</v>
      </c>
      <c r="AA3" s="52" t="n">
        <v>3357.71139468624</v>
      </c>
      <c r="AB3" s="52" t="n">
        <v>3845.1173055432</v>
      </c>
      <c r="AC3" s="52" t="n">
        <v>3527.75239251048</v>
      </c>
      <c r="AD3" s="52" t="n">
        <v>5476.221201352681</v>
      </c>
      <c r="AE3" s="52" t="n">
        <v>3632.51580554983</v>
      </c>
      <c r="AF3" s="52" t="n">
        <v>2720.94521167899</v>
      </c>
      <c r="AG3" s="52" t="n">
        <v>2983.26022564863</v>
      </c>
      <c r="AH3" s="52" t="n">
        <v>3312.54521754648</v>
      </c>
      <c r="AI3" s="52" t="n">
        <v>4035.19394546082</v>
      </c>
      <c r="AJ3" s="52" t="n">
        <v>2554.76729161988</v>
      </c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108991</v>
      </c>
      <c r="F4" s="52" t="n">
        <v>78468</v>
      </c>
      <c r="G4" s="52" t="n">
        <v>79714</v>
      </c>
      <c r="H4" s="52" t="n">
        <v>68030</v>
      </c>
      <c r="I4" s="52" t="n">
        <v>64610</v>
      </c>
      <c r="J4" s="52" t="n">
        <v>66782</v>
      </c>
      <c r="K4" s="52" t="n">
        <v>73959</v>
      </c>
      <c r="L4" s="52" t="n">
        <v>80049</v>
      </c>
      <c r="M4" s="52" t="n">
        <v>89799</v>
      </c>
      <c r="N4" s="52" t="n">
        <v>76761</v>
      </c>
      <c r="O4" s="52" t="n">
        <v>75534</v>
      </c>
      <c r="P4" s="52" t="n">
        <v>73170</v>
      </c>
      <c r="Q4" s="52" t="n">
        <v>89971</v>
      </c>
      <c r="R4" s="52" t="n">
        <v>82226</v>
      </c>
      <c r="S4" s="52" t="n">
        <v>81363</v>
      </c>
      <c r="T4" s="52" t="n">
        <v>86953</v>
      </c>
      <c r="U4" s="52" t="n">
        <v>68661</v>
      </c>
      <c r="V4" s="52" t="n">
        <v>75105</v>
      </c>
      <c r="W4" s="52" t="n">
        <v>68492</v>
      </c>
      <c r="X4" s="52" t="n">
        <v>69583</v>
      </c>
      <c r="Y4" s="52" t="n">
        <v>84572</v>
      </c>
      <c r="Z4" s="52" t="n">
        <v>79133</v>
      </c>
      <c r="AA4" s="52" t="n">
        <v>75312</v>
      </c>
      <c r="AB4" s="52" t="n">
        <v>73753</v>
      </c>
      <c r="AC4" s="52" t="n">
        <v>98707</v>
      </c>
      <c r="AD4" s="52" t="n">
        <v>168408</v>
      </c>
      <c r="AE4" s="52" t="n">
        <v>65258</v>
      </c>
      <c r="AF4" s="52" t="n">
        <v>63691</v>
      </c>
      <c r="AG4" s="52" t="n">
        <v>71918</v>
      </c>
      <c r="AH4" s="52" t="n">
        <v>69169</v>
      </c>
      <c r="AI4" s="52" t="n">
        <v>65776</v>
      </c>
      <c r="AJ4" s="52" t="n">
        <v>61142</v>
      </c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>
        <v>25763</v>
      </c>
      <c r="AH5" s="52" t="n">
        <v>26092</v>
      </c>
      <c r="AI5" s="52" t="n">
        <v>25465</v>
      </c>
      <c r="AJ5" s="52" t="n">
        <v>24494</v>
      </c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>
        <f>AG29+AG77+AG113+AG149+AG179</f>
        <v/>
      </c>
      <c r="AH8" s="53">
        <f>AH29+AH77+AH113+AH149+AH179</f>
        <v/>
      </c>
      <c r="AI8" s="53">
        <f>AI29+AI77+AI113+AI149+AI179</f>
        <v/>
      </c>
      <c r="AJ8" s="53">
        <f>AJ29+AJ77+AJ113+AJ149+AJ179</f>
        <v/>
      </c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>
        <f>IFERROR(AG8/AG11,"")</f>
        <v/>
      </c>
      <c r="AH9" s="54">
        <f>IFERROR(AH8/AH11,"")</f>
        <v/>
      </c>
      <c r="AI9" s="54">
        <f>IFERROR(AI8/AI11,"")</f>
        <v/>
      </c>
      <c r="AJ9" s="54">
        <f>IFERROR(AJ8/AJ11,"")</f>
        <v/>
      </c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>
        <f>IFERROR(SUM($E$8:AG8)/SUM($E$11:AG11),"")</f>
        <v/>
      </c>
      <c r="AH10" s="54">
        <f>IFERROR(SUM($E$8:AH8)/SUM($E$11:AH11),"")</f>
        <v/>
      </c>
      <c r="AI10" s="54">
        <f>IFERROR(SUM($E$8:AI8)/SUM($E$11:AI11),"")</f>
        <v/>
      </c>
      <c r="AJ10" s="54">
        <f>IFERROR(SUM($E$8:AJ8)/SUM($E$11:AJ11),"")</f>
        <v/>
      </c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>
        <f>AG35+AG83+AG119+AG155+AG185</f>
        <v/>
      </c>
      <c r="AH13" s="53">
        <f>AH35+AH83+AH119+AH155+AH185</f>
        <v/>
      </c>
      <c r="AI13" s="53">
        <f>AI35+AI83+AI119+AI155+AI185</f>
        <v/>
      </c>
      <c r="AJ13" s="53">
        <f>AJ35+AJ83+AJ119+AJ155+AJ185</f>
        <v/>
      </c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>
        <f>IFERROR(AG13/AG16,"")</f>
        <v/>
      </c>
      <c r="AH14" s="54">
        <f>IFERROR(AH13/AH16,"")</f>
        <v/>
      </c>
      <c r="AI14" s="54">
        <f>IFERROR(AI13/AI16,"")</f>
        <v/>
      </c>
      <c r="AJ14" s="54">
        <f>IFERROR(AJ13/AJ16,"")</f>
        <v/>
      </c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>
        <f>IFERROR(SUM($E$13:AG13)/SUM($E$16:AG16),"")</f>
        <v/>
      </c>
      <c r="AH15" s="54">
        <f>IFERROR(SUM($E$13:AH13)/SUM($E$16:AH16),"")</f>
        <v/>
      </c>
      <c r="AI15" s="54">
        <f>IFERROR(SUM($E$13:AI13)/SUM($E$16:AI16),"")</f>
        <v/>
      </c>
      <c r="AJ15" s="54">
        <f>IFERROR(SUM($E$13:AJ13)/SUM($E$16:AJ16),"")</f>
        <v/>
      </c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>
        <f>AG40+AG88+AG124+AG160+AG190</f>
        <v/>
      </c>
      <c r="AH17" s="52">
        <f>AH40+AH88+AH124+AH160+AH190</f>
        <v/>
      </c>
      <c r="AI17" s="52">
        <f>AI40+AI88+AI124+AI160+AI190</f>
        <v/>
      </c>
      <c r="AJ17" s="52">
        <f>AJ40+AJ88+AJ124+AJ160+AJ190</f>
        <v/>
      </c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>
        <f>AG41+AG89+AG125+AG161+AG191</f>
        <v/>
      </c>
      <c r="AH18" s="52">
        <f>AH41+AH89+AH125+AH161+AH191</f>
        <v/>
      </c>
      <c r="AI18" s="52">
        <f>AI41+AI89+AI125+AI161+AI191</f>
        <v/>
      </c>
      <c r="AJ18" s="52">
        <f>AJ41+AJ89+AJ125+AJ161+AJ191</f>
        <v/>
      </c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31335</v>
      </c>
      <c r="F20" s="53" t="n">
        <v>29134</v>
      </c>
      <c r="G20" s="53" t="n">
        <v>26786</v>
      </c>
      <c r="H20" s="53" t="n">
        <v>24489</v>
      </c>
      <c r="I20" s="53" t="n">
        <v>22196</v>
      </c>
      <c r="J20" s="53" t="n">
        <v>23452</v>
      </c>
      <c r="K20" s="53" t="n">
        <v>23507</v>
      </c>
      <c r="L20" s="53" t="n">
        <v>25289</v>
      </c>
      <c r="M20" s="53" t="n">
        <v>25860</v>
      </c>
      <c r="N20" s="53" t="n">
        <v>26675</v>
      </c>
      <c r="O20" s="53" t="n">
        <v>25692</v>
      </c>
      <c r="P20" s="53" t="n">
        <v>24258</v>
      </c>
      <c r="Q20" s="53" t="n">
        <v>25684</v>
      </c>
      <c r="R20" s="53" t="n">
        <v>26233</v>
      </c>
      <c r="S20" s="53" t="n">
        <v>25490</v>
      </c>
      <c r="T20" s="53" t="n">
        <v>25900</v>
      </c>
      <c r="U20" s="53" t="n">
        <v>24845</v>
      </c>
      <c r="V20" s="53" t="n">
        <v>24281</v>
      </c>
      <c r="W20" s="53" t="n">
        <v>23929</v>
      </c>
      <c r="X20" s="53" t="n">
        <v>23434</v>
      </c>
      <c r="Y20" s="53" t="n">
        <v>24079</v>
      </c>
      <c r="Z20" s="53" t="n">
        <v>25202</v>
      </c>
      <c r="AA20" s="53" t="n">
        <v>25701</v>
      </c>
      <c r="AB20" s="53" t="n">
        <v>24785</v>
      </c>
      <c r="AC20" s="53" t="n">
        <v>26318</v>
      </c>
      <c r="AD20" s="53" t="n">
        <v>29935</v>
      </c>
      <c r="AE20" s="53" t="n">
        <v>28305</v>
      </c>
      <c r="AF20" s="53" t="n">
        <v>26474</v>
      </c>
      <c r="AG20" s="53" t="n">
        <v>25276</v>
      </c>
      <c r="AH20" s="53" t="n">
        <v>25618</v>
      </c>
      <c r="AI20" s="53" t="n">
        <v>24969</v>
      </c>
      <c r="AJ20" s="53" t="n">
        <v>24020</v>
      </c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>
        <f>IFERROR(SUM($E$20:AG20)/SUM($E$13:AG13),"")</f>
        <v/>
      </c>
      <c r="AH21" s="56">
        <f>IFERROR(SUM($E$20:AH20)/SUM($E$13:AH13),"")</f>
        <v/>
      </c>
      <c r="AI21" s="56">
        <f>IFERROR(SUM($E$20:AI20)/SUM($E$13:AI13),"")</f>
        <v/>
      </c>
      <c r="AJ21" s="56">
        <f>IFERROR(SUM($E$20:AJ20)/SUM($E$13:AJ13),"")</f>
        <v/>
      </c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>
        <f>IFERROR(AG21-AG23,"")</f>
        <v/>
      </c>
      <c r="AH22" s="54">
        <f>IFERROR(AH21-AH23,"")</f>
        <v/>
      </c>
      <c r="AI22" s="54">
        <f>IFERROR(AI21-AI23,"")</f>
        <v/>
      </c>
      <c r="AJ22" s="54">
        <f>IFERROR(AJ21-AJ23,"")</f>
        <v/>
      </c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>
        <v>0.52</v>
      </c>
      <c r="AH23" s="51" t="n">
        <v>0.52</v>
      </c>
      <c r="AI23" s="51" t="n">
        <v>0.52</v>
      </c>
      <c r="AJ23" s="51" t="n">
        <v>0.52</v>
      </c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23977</v>
      </c>
      <c r="F24" s="52" t="n">
        <v>21951</v>
      </c>
      <c r="G24" s="52" t="n">
        <v>20968</v>
      </c>
      <c r="H24" s="52" t="n">
        <v>19137</v>
      </c>
      <c r="I24" s="52" t="n">
        <v>17566</v>
      </c>
      <c r="J24" s="52" t="n">
        <v>18640</v>
      </c>
      <c r="K24" s="52" t="n">
        <v>18839</v>
      </c>
      <c r="L24" s="52" t="n">
        <v>20495</v>
      </c>
      <c r="M24" s="52" t="n">
        <v>21222</v>
      </c>
      <c r="N24" s="52" t="n">
        <v>22115</v>
      </c>
      <c r="O24" s="52" t="n">
        <v>21208</v>
      </c>
      <c r="P24" s="52" t="n">
        <v>20053</v>
      </c>
      <c r="Q24" s="52" t="n">
        <v>21328</v>
      </c>
      <c r="R24" s="52" t="n">
        <v>21783</v>
      </c>
      <c r="S24" s="52" t="n">
        <v>21230</v>
      </c>
      <c r="T24" s="52" t="n">
        <v>21700</v>
      </c>
      <c r="U24" s="52" t="n">
        <v>20829</v>
      </c>
      <c r="V24" s="52" t="n">
        <v>19952</v>
      </c>
      <c r="W24" s="52" t="n">
        <v>19766</v>
      </c>
      <c r="X24" s="52" t="n">
        <v>19624</v>
      </c>
      <c r="Y24" s="52" t="n">
        <v>20194</v>
      </c>
      <c r="Z24" s="52" t="n">
        <v>20838</v>
      </c>
      <c r="AA24" s="52" t="n">
        <v>21341</v>
      </c>
      <c r="AB24" s="52" t="n">
        <v>20901</v>
      </c>
      <c r="AC24" s="52" t="n">
        <v>22426</v>
      </c>
      <c r="AD24" s="52" t="n">
        <v>24920</v>
      </c>
      <c r="AE24" s="52" t="n">
        <v>23839</v>
      </c>
      <c r="AF24" s="52" t="n">
        <v>22298</v>
      </c>
      <c r="AG24" s="52" t="n">
        <v>21198</v>
      </c>
      <c r="AH24" s="52" t="n">
        <v>21275</v>
      </c>
      <c r="AI24" s="52" t="n">
        <v>20495</v>
      </c>
      <c r="AJ24" s="52" t="n">
        <v>19525</v>
      </c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7358</v>
      </c>
      <c r="F25" s="52" t="n">
        <v>7183</v>
      </c>
      <c r="G25" s="52" t="n">
        <v>5818</v>
      </c>
      <c r="H25" s="52" t="n">
        <v>5352</v>
      </c>
      <c r="I25" s="52" t="n">
        <v>4630</v>
      </c>
      <c r="J25" s="52" t="n">
        <v>4812</v>
      </c>
      <c r="K25" s="52" t="n">
        <v>4668</v>
      </c>
      <c r="L25" s="52" t="n">
        <v>4794</v>
      </c>
      <c r="M25" s="52" t="n">
        <v>4638</v>
      </c>
      <c r="N25" s="52" t="n">
        <v>4560</v>
      </c>
      <c r="O25" s="52" t="n">
        <v>4484</v>
      </c>
      <c r="P25" s="52" t="n">
        <v>4205</v>
      </c>
      <c r="Q25" s="52" t="n">
        <v>4356</v>
      </c>
      <c r="R25" s="52" t="n">
        <v>4450</v>
      </c>
      <c r="S25" s="52" t="n">
        <v>4260</v>
      </c>
      <c r="T25" s="52" t="n">
        <v>4200</v>
      </c>
      <c r="U25" s="52" t="n">
        <v>4016</v>
      </c>
      <c r="V25" s="52" t="n">
        <v>4329</v>
      </c>
      <c r="W25" s="52" t="n">
        <v>4163</v>
      </c>
      <c r="X25" s="52" t="n">
        <v>3810</v>
      </c>
      <c r="Y25" s="52" t="n">
        <v>3885</v>
      </c>
      <c r="Z25" s="52" t="n">
        <v>4364</v>
      </c>
      <c r="AA25" s="52" t="n">
        <v>4360</v>
      </c>
      <c r="AB25" s="52" t="n">
        <v>3884</v>
      </c>
      <c r="AC25" s="52" t="n">
        <v>3892</v>
      </c>
      <c r="AD25" s="52" t="n">
        <v>5015</v>
      </c>
      <c r="AE25" s="52" t="n">
        <v>4466</v>
      </c>
      <c r="AF25" s="52" t="n">
        <v>4176</v>
      </c>
      <c r="AG25" s="52" t="n">
        <v>4078</v>
      </c>
      <c r="AH25" s="52" t="n">
        <v>4343</v>
      </c>
      <c r="AI25" s="52" t="n">
        <v>4474</v>
      </c>
      <c r="AJ25" s="52" t="n">
        <v>4495</v>
      </c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477.55705</v>
      </c>
      <c r="F29" s="53" t="n">
        <v>658.0369899999999</v>
      </c>
      <c r="G29" s="53" t="n">
        <v>1031.80746</v>
      </c>
      <c r="H29" s="53" t="n">
        <v>375.81079</v>
      </c>
      <c r="I29" s="53" t="n">
        <v>919.8002299999999</v>
      </c>
      <c r="J29" s="53" t="n">
        <v>743.9052800000001</v>
      </c>
      <c r="K29" s="53" t="n">
        <v>1122.4007</v>
      </c>
      <c r="L29" s="53" t="n">
        <v>2015.76818</v>
      </c>
      <c r="M29" s="53" t="n">
        <v>1833.86717</v>
      </c>
      <c r="N29" s="53" t="n">
        <v>3421.54856</v>
      </c>
      <c r="O29" s="53" t="n">
        <v>651.259</v>
      </c>
      <c r="P29" s="53" t="n">
        <v>2116.45165</v>
      </c>
      <c r="Q29" s="53" t="n">
        <v>523.55774</v>
      </c>
      <c r="R29" s="53" t="n">
        <v>1907.64687</v>
      </c>
      <c r="S29" s="53" t="n">
        <v>1186.94051</v>
      </c>
      <c r="T29" s="53" t="n">
        <v>1421.37334</v>
      </c>
      <c r="U29" s="53" t="n">
        <v>1162.30646</v>
      </c>
      <c r="V29" s="53" t="n">
        <v>1248.31876</v>
      </c>
      <c r="W29" s="53" t="n">
        <v>3374.81428</v>
      </c>
      <c r="X29" s="53" t="n">
        <v>1461.04688</v>
      </c>
      <c r="Y29" s="53" t="n">
        <v>5579.83287</v>
      </c>
      <c r="Z29" s="53" t="n">
        <v>455.20188</v>
      </c>
      <c r="AA29" s="53" t="n">
        <v>2098.91989</v>
      </c>
      <c r="AB29" s="53" t="n">
        <v>1788.052</v>
      </c>
      <c r="AC29" s="53" t="n">
        <v>1725.26147</v>
      </c>
      <c r="AD29" s="53" t="n">
        <v>2692.78165</v>
      </c>
      <c r="AE29" s="53" t="n">
        <v>371.13898</v>
      </c>
      <c r="AF29" s="53" t="n">
        <v>1112.699</v>
      </c>
      <c r="AG29" s="53" t="n">
        <v>1178.262</v>
      </c>
      <c r="AH29" s="53" t="n">
        <v>1489.786</v>
      </c>
      <c r="AI29" s="53" t="n">
        <v>2143.329</v>
      </c>
      <c r="AJ29" s="53" t="n">
        <v>1038.32</v>
      </c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>
        <f>IFERROR(SUM($E$29:AG29)/SUM($E$3:AG3),"")</f>
        <v/>
      </c>
      <c r="AH30" s="57">
        <f>IFERROR(SUM($E$29:AH29)/SUM($E$3:AH3),"")</f>
        <v/>
      </c>
      <c r="AI30" s="57">
        <f>IFERROR(SUM($E$29:AI29)/SUM($E$3:AI3),"")</f>
        <v/>
      </c>
      <c r="AJ30" s="57">
        <f>IFERROR(SUM($E$29:AJ29)/SUM($E$3:AJ3),"")</f>
        <v/>
      </c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>
        <f>IFERROR(AG29/AG33,"")</f>
        <v/>
      </c>
      <c r="AH31" s="54">
        <f>IFERROR(AH29/AH33,"")</f>
        <v/>
      </c>
      <c r="AI31" s="54">
        <f>IFERROR(AI29/AI33,"")</f>
        <v/>
      </c>
      <c r="AJ31" s="54">
        <f>IFERROR(AJ29/AJ33,"")</f>
        <v/>
      </c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>
        <f>IFERROR(SUM($E$29:AG29)/SUM($E$33:AG33),"")</f>
        <v/>
      </c>
      <c r="AH32" s="54">
        <f>IFERROR(SUM($E$29:AH29)/SUM($E$33:AH33),"")</f>
        <v/>
      </c>
      <c r="AI32" s="54">
        <f>IFERROR(SUM($E$29:AI29)/SUM($E$33:AI33),"")</f>
        <v/>
      </c>
      <c r="AJ32" s="54">
        <f>IFERROR(SUM($E$29:AJ29)/SUM($E$33:AJ33),"")</f>
        <v/>
      </c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>
        <v>33631</v>
      </c>
      <c r="AH35" s="53" t="n">
        <v>34237</v>
      </c>
      <c r="AI35" s="53" t="n">
        <v>29428</v>
      </c>
      <c r="AJ35" s="53" t="n">
        <v>27418</v>
      </c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>
        <f>IFERROR(SUM($E$35:AG35)/SUM($E$4:AG4),"")</f>
        <v/>
      </c>
      <c r="AH36" s="57">
        <f>IFERROR(SUM($E$35:AH35)/SUM($E$4:AH4),"")</f>
        <v/>
      </c>
      <c r="AI36" s="57">
        <f>IFERROR(SUM($E$35:AI35)/SUM($E$4:AI4),"")</f>
        <v/>
      </c>
      <c r="AJ36" s="57">
        <f>IFERROR(SUM($E$35:AJ35)/SUM($E$4:AJ4),"")</f>
        <v/>
      </c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>
        <f>IFERROR(AG35/AG39,"")</f>
        <v/>
      </c>
      <c r="AH37" s="54">
        <f>IFERROR(AH35/AH39,"")</f>
        <v/>
      </c>
      <c r="AI37" s="54">
        <f>IFERROR(AI35/AI39,"")</f>
        <v/>
      </c>
      <c r="AJ37" s="54">
        <f>IFERROR(AJ35/AJ39,"")</f>
        <v/>
      </c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>
        <f>IFERROR(SUM($E$35:AG35)/SUM($E$39:AG39),"")</f>
        <v/>
      </c>
      <c r="AH38" s="54">
        <f>IFERROR(SUM($E$35:AH35)/SUM($E$39:AH39),"")</f>
        <v/>
      </c>
      <c r="AI38" s="54">
        <f>IFERROR(SUM($E$35:AI35)/SUM($E$39:AI39),"")</f>
        <v/>
      </c>
      <c r="AJ38" s="54">
        <f>IFERROR(SUM($E$35:AJ35)/SUM($E$39:AJ39),"")</f>
        <v/>
      </c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>
        <v>29893</v>
      </c>
      <c r="AH40" s="52" t="n">
        <v>30198</v>
      </c>
      <c r="AI40" s="52" t="n">
        <v>25361</v>
      </c>
      <c r="AJ40" s="52" t="n">
        <v>23668</v>
      </c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>
        <v>3738</v>
      </c>
      <c r="AH41" s="52" t="n">
        <v>4039</v>
      </c>
      <c r="AI41" s="52" t="n">
        <v>4067</v>
      </c>
      <c r="AJ41" s="52" t="n">
        <v>3750</v>
      </c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4281</v>
      </c>
      <c r="AE43" s="58" t="n">
        <v>1793</v>
      </c>
      <c r="AF43" s="58" t="n">
        <v>1481</v>
      </c>
      <c r="AG43" s="58" t="n">
        <v>1770</v>
      </c>
      <c r="AH43" s="58" t="n">
        <v>1428</v>
      </c>
      <c r="AI43" s="58" t="n">
        <v>1120</v>
      </c>
      <c r="AJ43" s="58" t="n">
        <v>1041</v>
      </c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>
        <v>0.52</v>
      </c>
      <c r="AH47" s="61" t="n">
        <v>0.52</v>
      </c>
      <c r="AI47" s="61" t="n">
        <v>0.52</v>
      </c>
      <c r="AJ47" s="61" t="n">
        <v>0.52</v>
      </c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>
        <v>23.6247</v>
      </c>
      <c r="AH49" s="53" t="n">
        <v>117.5625</v>
      </c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42.53574</v>
      </c>
      <c r="M50" s="53" t="n"/>
      <c r="N50" s="53" t="n"/>
      <c r="O50" s="53" t="n"/>
      <c r="P50" s="53" t="n"/>
      <c r="Q50" s="53" t="n">
        <v>356.90161</v>
      </c>
      <c r="R50" s="53" t="n"/>
      <c r="S50" s="53" t="n"/>
      <c r="T50" s="53" t="n"/>
      <c r="U50" s="53" t="n">
        <v>339.88075</v>
      </c>
      <c r="V50" s="53" t="n"/>
      <c r="W50" s="53" t="n"/>
      <c r="X50" s="53" t="n"/>
      <c r="Y50" s="53" t="n"/>
      <c r="Z50" s="53" t="n">
        <v>399.21297</v>
      </c>
      <c r="AA50" s="53" t="n"/>
      <c r="AB50" s="53" t="n"/>
      <c r="AC50" s="53" t="n"/>
      <c r="AD50" s="53" t="n">
        <v>2014.6256</v>
      </c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>
        <f>IFERROR(SUM(AE50:AH50)/AH51,"")</f>
        <v/>
      </c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>
        <f>IFERROR(SUM(AE50:AH50)/(AH51+AM51+AQ51),"")</f>
        <v/>
      </c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>
        <f>IFERROR(SUM($E$50:AH50)/SUM($E$51:BD51),"")</f>
        <v/>
      </c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>
        <f>IFERROR(SUM(AE57:AH57)/AH58,"")</f>
        <v/>
      </c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>
        <f>IFERROR(SUM(AE57:AH57)/(AH58+AM58+AQ58),"")</f>
        <v/>
      </c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>
        <f>IFERROR(SUM($E$57:AH57)/SUM($E$58:BD58),"")</f>
        <v/>
      </c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>
        <v>32.49095</v>
      </c>
      <c r="AH63" s="53" t="n">
        <v>27.27328</v>
      </c>
      <c r="AI63" s="53" t="n">
        <v>23.58703</v>
      </c>
      <c r="AJ63" s="53" t="n">
        <v>26.53448</v>
      </c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>
        <v>13.97992</v>
      </c>
      <c r="AH66" s="53" t="n">
        <v>13.95103</v>
      </c>
      <c r="AI66" s="53" t="n">
        <v>12.98036</v>
      </c>
      <c r="AJ66" s="53" t="n">
        <v>19.68082</v>
      </c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>
        <f>AG63+AG66</f>
        <v/>
      </c>
      <c r="AH69" s="53">
        <f>AH63+AH66</f>
        <v/>
      </c>
      <c r="AI69" s="53">
        <f>AI63+AI66</f>
        <v/>
      </c>
      <c r="AJ69" s="53">
        <f>AJ63+AJ66</f>
        <v/>
      </c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243.72767</v>
      </c>
      <c r="F77" s="53" t="n">
        <v>33.15282</v>
      </c>
      <c r="G77" s="53" t="n">
        <v>32.54934</v>
      </c>
      <c r="H77" s="53" t="n">
        <v>49.28508</v>
      </c>
      <c r="I77" s="53" t="n">
        <v>160.79247</v>
      </c>
      <c r="J77" s="53" t="n">
        <v>79.19436</v>
      </c>
      <c r="K77" s="53" t="n">
        <v>46.34922</v>
      </c>
      <c r="L77" s="53" t="n">
        <v>66.10344000000001</v>
      </c>
      <c r="M77" s="53" t="n">
        <v>178.72612</v>
      </c>
      <c r="N77" s="53" t="n">
        <v>108.78552</v>
      </c>
      <c r="O77" s="53" t="n">
        <v>98.78928000000001</v>
      </c>
      <c r="P77" s="53" t="n">
        <v>109.82742</v>
      </c>
      <c r="Q77" s="53" t="n">
        <v>149.70252</v>
      </c>
      <c r="R77" s="53" t="n">
        <v>75.31447999999999</v>
      </c>
      <c r="S77" s="53" t="n">
        <v>200.64732</v>
      </c>
      <c r="T77" s="53" t="n">
        <v>269.37276</v>
      </c>
      <c r="U77" s="53" t="n">
        <v>985.22614</v>
      </c>
      <c r="V77" s="53" t="n">
        <v>1503.85852</v>
      </c>
      <c r="W77" s="53" t="n">
        <v>487.01964</v>
      </c>
      <c r="X77" s="53" t="n">
        <v>133.96038</v>
      </c>
      <c r="Y77" s="53" t="n">
        <v>141.13734</v>
      </c>
      <c r="Z77" s="53" t="n">
        <v>188.512</v>
      </c>
      <c r="AA77" s="53" t="n">
        <v>192.41219</v>
      </c>
      <c r="AB77" s="53" t="n">
        <v>168.22657</v>
      </c>
      <c r="AC77" s="53" t="n">
        <v>196.73793</v>
      </c>
      <c r="AD77" s="53" t="n">
        <v>218.028</v>
      </c>
      <c r="AE77" s="53" t="n">
        <v>234.43585</v>
      </c>
      <c r="AF77" s="53" t="n">
        <v>131.975</v>
      </c>
      <c r="AG77" s="53" t="n">
        <v>143.221</v>
      </c>
      <c r="AH77" s="53" t="n">
        <v>115.933</v>
      </c>
      <c r="AI77" s="53" t="n">
        <v>160.485</v>
      </c>
      <c r="AJ77" s="53" t="n">
        <v>88.905</v>
      </c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>
        <f>IFERROR(SUM($E$77:AG77)/SUM($E$3:AG3),"")</f>
        <v/>
      </c>
      <c r="AH78" s="57">
        <f>IFERROR(SUM($E$77:AH77)/SUM($E$3:AH3),"")</f>
        <v/>
      </c>
      <c r="AI78" s="57">
        <f>IFERROR(SUM($E$77:AI77)/SUM($E$3:AI3),"")</f>
        <v/>
      </c>
      <c r="AJ78" s="57">
        <f>IFERROR(SUM($E$77:AJ77)/SUM($E$3:AJ3),"")</f>
        <v/>
      </c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>
        <f>IFERROR(AG77/AG81,"")</f>
        <v/>
      </c>
      <c r="AH79" s="54">
        <f>IFERROR(AH77/AH81,"")</f>
        <v/>
      </c>
      <c r="AI79" s="54">
        <f>IFERROR(AI77/AI81,"")</f>
        <v/>
      </c>
      <c r="AJ79" s="54">
        <f>IFERROR(AJ77/AJ81,"")</f>
        <v/>
      </c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>
        <f>IFERROR(SUM($E$77:AG77)/SUM($E$81:AG81),"")</f>
        <v/>
      </c>
      <c r="AH80" s="54">
        <f>IFERROR(SUM($E$77:AH77)/SUM($E$81:AH81),"")</f>
        <v/>
      </c>
      <c r="AI80" s="54">
        <f>IFERROR(SUM($E$77:AI77)/SUM($E$81:AI81),"")</f>
        <v/>
      </c>
      <c r="AJ80" s="54">
        <f>IFERROR(SUM($E$77:AJ77)/SUM($E$81:AJ81),"")</f>
        <v/>
      </c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4258</v>
      </c>
      <c r="W83" s="53" t="n">
        <v>4817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>
        <v>5126</v>
      </c>
      <c r="AH83" s="53" t="n">
        <v>5559</v>
      </c>
      <c r="AI83" s="53" t="n">
        <v>5662</v>
      </c>
      <c r="AJ83" s="53" t="n">
        <v>5274</v>
      </c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>
        <f>IFERROR(SUM($E$83:AG83)/SUM($E$4:AG4),"")</f>
        <v/>
      </c>
      <c r="AH84" s="57">
        <f>IFERROR(SUM($E$83:AH83)/SUM($E$4:AH4),"")</f>
        <v/>
      </c>
      <c r="AI84" s="57">
        <f>IFERROR(SUM($E$83:AI83)/SUM($E$4:AI4),"")</f>
        <v/>
      </c>
      <c r="AJ84" s="57">
        <f>IFERROR(SUM($E$83:AJ83)/SUM($E$4:AJ4),"")</f>
        <v/>
      </c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>
        <f>IFERROR(AG83/AG87,"")</f>
        <v/>
      </c>
      <c r="AH85" s="54">
        <f>IFERROR(AH83/AH87,"")</f>
        <v/>
      </c>
      <c r="AI85" s="54">
        <f>IFERROR(AI83/AI87,"")</f>
        <v/>
      </c>
      <c r="AJ85" s="54">
        <f>IFERROR(AJ83/AJ87,"")</f>
        <v/>
      </c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>
        <f>IFERROR(SUM($E$83:AG83)/SUM($E$87:AG87),"")</f>
        <v/>
      </c>
      <c r="AH86" s="54">
        <f>IFERROR(SUM($E$83:AH83)/SUM($E$87:AH87),"")</f>
        <v/>
      </c>
      <c r="AI86" s="54">
        <f>IFERROR(SUM($E$83:AI83)/SUM($E$87:AI87),"")</f>
        <v/>
      </c>
      <c r="AJ86" s="54">
        <f>IFERROR(SUM($E$83:AJ83)/SUM($E$87:AJ87),"")</f>
        <v/>
      </c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4018</v>
      </c>
      <c r="W88" s="52" t="n">
        <v>4527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>
        <v>4418</v>
      </c>
      <c r="AH88" s="52" t="n">
        <v>4691</v>
      </c>
      <c r="AI88" s="52" t="n">
        <v>4721</v>
      </c>
      <c r="AJ88" s="52" t="n">
        <v>4416</v>
      </c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>
        <v>708</v>
      </c>
      <c r="AH89" s="52" t="n">
        <v>868</v>
      </c>
      <c r="AI89" s="52" t="n">
        <v>941</v>
      </c>
      <c r="AJ89" s="52" t="n">
        <v>795</v>
      </c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>
        <v>0.42086</v>
      </c>
      <c r="AH91" s="53" t="n">
        <v>4.906</v>
      </c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61.47841</v>
      </c>
      <c r="M92" s="53" t="n"/>
      <c r="N92" s="53" t="n"/>
      <c r="O92" s="53" t="n"/>
      <c r="P92" s="53" t="n"/>
      <c r="Q92" s="53" t="n">
        <v>0.733</v>
      </c>
      <c r="R92" s="53" t="n"/>
      <c r="S92" s="53" t="n"/>
      <c r="T92" s="53" t="n"/>
      <c r="U92" s="53" t="n">
        <v>1.64931</v>
      </c>
      <c r="V92" s="53" t="n"/>
      <c r="W92" s="53" t="n"/>
      <c r="X92" s="53" t="n"/>
      <c r="Y92" s="53" t="n"/>
      <c r="Z92" s="53" t="n">
        <v>20.72615</v>
      </c>
      <c r="AA92" s="53" t="n"/>
      <c r="AB92" s="53" t="n"/>
      <c r="AC92" s="53" t="n"/>
      <c r="AD92" s="53" t="n">
        <v>0.26577</v>
      </c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>
        <f>IFERROR(SUM(AE92:AH92)/AH93,"")</f>
        <v/>
      </c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>
        <f>IFERROR(SUM(AE92:AH92)/(AH93+AM93+AQ93),"")</f>
        <v/>
      </c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>
        <f>IFERROR(SUM($E$92:AH92)/SUM($E$93:BD93),"")</f>
        <v/>
      </c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>
        <f>IFERROR(SUM(AE99:AH99)/AH100,"")</f>
        <v/>
      </c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>
        <f>IFERROR(SUM(AE99:AH99)/(AH100+AM100+AQ100),"")</f>
        <v/>
      </c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>
        <f>IFERROR(SUM($E$99:AH99)/SUM($E$100:BD100),"")</f>
        <v/>
      </c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>
        <v>15.6948</v>
      </c>
      <c r="AH105" s="53" t="n">
        <v>20.44767</v>
      </c>
      <c r="AI105" s="53" t="n">
        <v>22.40961</v>
      </c>
      <c r="AJ105" s="53" t="n">
        <v>23.02419</v>
      </c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57.56681</v>
      </c>
      <c r="F113" s="53" t="n">
        <v>222.51819</v>
      </c>
      <c r="G113" s="53" t="n">
        <v>198.25706</v>
      </c>
      <c r="H113" s="53" t="n">
        <v>142.67168</v>
      </c>
      <c r="I113" s="53" t="n">
        <v>1550.07033</v>
      </c>
      <c r="J113" s="53" t="n">
        <v>606.37036</v>
      </c>
      <c r="K113" s="53" t="n">
        <v>81.37442</v>
      </c>
      <c r="L113" s="53" t="n">
        <v>363.16074</v>
      </c>
      <c r="M113" s="53" t="n">
        <v>133.17689</v>
      </c>
      <c r="N113" s="53" t="n">
        <v>282.70414</v>
      </c>
      <c r="O113" s="53" t="n">
        <v>125.93424</v>
      </c>
      <c r="P113" s="53" t="n">
        <v>480.53448</v>
      </c>
      <c r="Q113" s="53" t="n">
        <v>169.94082</v>
      </c>
      <c r="R113" s="53" t="n">
        <v>-1119.7425</v>
      </c>
      <c r="S113" s="53" t="n">
        <v>58.98056</v>
      </c>
      <c r="T113" s="53" t="n">
        <v>191.73202</v>
      </c>
      <c r="U113" s="53" t="n">
        <v>95.82253999999999</v>
      </c>
      <c r="V113" s="53" t="n">
        <v>194.70101</v>
      </c>
      <c r="W113" s="53" t="n">
        <v>205.04406</v>
      </c>
      <c r="X113" s="53" t="n">
        <v>247.50926</v>
      </c>
      <c r="Y113" s="53" t="n">
        <v>372.90792</v>
      </c>
      <c r="Z113" s="53" t="n">
        <v>136.10153</v>
      </c>
      <c r="AA113" s="53" t="n">
        <v>104.75794</v>
      </c>
      <c r="AB113" s="53" t="n">
        <v>1051.63142</v>
      </c>
      <c r="AC113" s="53" t="n">
        <v>268.95374</v>
      </c>
      <c r="AD113" s="53" t="n">
        <v>745.67558</v>
      </c>
      <c r="AE113" s="53" t="n">
        <v>1785.91273</v>
      </c>
      <c r="AF113" s="53" t="n">
        <v>645.121</v>
      </c>
      <c r="AG113" s="53" t="n">
        <v>373.35</v>
      </c>
      <c r="AH113" s="53" t="n">
        <v>324.634</v>
      </c>
      <c r="AI113" s="53" t="n">
        <v>417.48</v>
      </c>
      <c r="AJ113" s="53" t="n">
        <v>392.94</v>
      </c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>
        <f>IFERROR(SUM($E$113:AG113)/SUM($E$3:AG3),"")</f>
        <v/>
      </c>
      <c r="AH114" s="57">
        <f>IFERROR(SUM($E$113:AH113)/SUM($E$3:AH3),"")</f>
        <v/>
      </c>
      <c r="AI114" s="57">
        <f>IFERROR(SUM($E$113:AI113)/SUM($E$3:AI3),"")</f>
        <v/>
      </c>
      <c r="AJ114" s="57">
        <f>IFERROR(SUM($E$113:AJ113)/SUM($E$3:AJ3),"")</f>
        <v/>
      </c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>
        <f>IFERROR(AG113/AG117,"")</f>
        <v/>
      </c>
      <c r="AH115" s="54">
        <f>IFERROR(AH113/AH117,"")</f>
        <v/>
      </c>
      <c r="AI115" s="54">
        <f>IFERROR(AI113/AI117,"")</f>
        <v/>
      </c>
      <c r="AJ115" s="54">
        <f>IFERROR(AJ113/AJ117,"")</f>
        <v/>
      </c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>
        <f>IFERROR(SUM($E$113:AG113)/SUM($E$117:AG117),"")</f>
        <v/>
      </c>
      <c r="AH116" s="54">
        <f>IFERROR(SUM($E$113:AH113)/SUM($E$117:AH117),"")</f>
        <v/>
      </c>
      <c r="AI116" s="54">
        <f>IFERROR(SUM($E$113:AI113)/SUM($E$117:AI117),"")</f>
        <v/>
      </c>
      <c r="AJ116" s="54">
        <f>IFERROR(SUM($E$113:AJ113)/SUM($E$117:AJ117),"")</f>
        <v/>
      </c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>
        <v>6353</v>
      </c>
      <c r="AH119" s="53" t="n">
        <v>7651</v>
      </c>
      <c r="AI119" s="53" t="n">
        <v>6227</v>
      </c>
      <c r="AJ119" s="53" t="n">
        <v>5601</v>
      </c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>
        <f>IFERROR(SUM($E$119:AG119)/SUM($E$4:AG4),"")</f>
        <v/>
      </c>
      <c r="AH120" s="57">
        <f>IFERROR(SUM($E$119:AH119)/SUM($E$4:AH4),"")</f>
        <v/>
      </c>
      <c r="AI120" s="57">
        <f>IFERROR(SUM($E$119:AI119)/SUM($E$4:AI4),"")</f>
        <v/>
      </c>
      <c r="AJ120" s="57">
        <f>IFERROR(SUM($E$119:AJ119)/SUM($E$4:AJ4),"")</f>
        <v/>
      </c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>
        <f>IFERROR(AG119/AG123,"")</f>
        <v/>
      </c>
      <c r="AH121" s="54">
        <f>IFERROR(AH119/AH123,"")</f>
        <v/>
      </c>
      <c r="AI121" s="54">
        <f>IFERROR(AI119/AI123,"")</f>
        <v/>
      </c>
      <c r="AJ121" s="54">
        <f>IFERROR(AJ119/AJ123,"")</f>
        <v/>
      </c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>
        <f>IFERROR(SUM($E$119:AG119)/SUM($E$123:AG123),"")</f>
        <v/>
      </c>
      <c r="AH122" s="54">
        <f>IFERROR(SUM($E$119:AH119)/SUM($E$123:AH123),"")</f>
        <v/>
      </c>
      <c r="AI122" s="54">
        <f>IFERROR(SUM($E$119:AI119)/SUM($E$123:AI123),"")</f>
        <v/>
      </c>
      <c r="AJ122" s="54">
        <f>IFERROR(SUM($E$119:AJ119)/SUM($E$123:AJ123),"")</f>
        <v/>
      </c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>
        <v>6278</v>
      </c>
      <c r="AH124" s="52" t="n">
        <v>7554</v>
      </c>
      <c r="AI124" s="52" t="n">
        <v>6137</v>
      </c>
      <c r="AJ124" s="52" t="n">
        <v>5447</v>
      </c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>
        <v>75</v>
      </c>
      <c r="AH125" s="52" t="n">
        <v>97</v>
      </c>
      <c r="AI125" s="52" t="n">
        <v>84</v>
      </c>
      <c r="AJ125" s="52" t="n">
        <v>82</v>
      </c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>
        <v>12.5638</v>
      </c>
      <c r="AH127" s="53" t="n">
        <v>91.9213</v>
      </c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23.72912</v>
      </c>
      <c r="M128" s="53" t="n"/>
      <c r="N128" s="53" t="n"/>
      <c r="O128" s="53" t="n"/>
      <c r="P128" s="53" t="n"/>
      <c r="Q128" s="53" t="n">
        <v>14.72113</v>
      </c>
      <c r="R128" s="53" t="n"/>
      <c r="S128" s="53" t="n"/>
      <c r="T128" s="53" t="n"/>
      <c r="U128" s="53" t="n">
        <v>51.55345</v>
      </c>
      <c r="V128" s="53" t="n"/>
      <c r="W128" s="53" t="n"/>
      <c r="X128" s="53" t="n"/>
      <c r="Y128" s="53" t="n"/>
      <c r="Z128" s="53" t="n">
        <v>23.42393</v>
      </c>
      <c r="AA128" s="53" t="n"/>
      <c r="AB128" s="53" t="n"/>
      <c r="AC128" s="53" t="n"/>
      <c r="AD128" s="53" t="n">
        <v>186.37611</v>
      </c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>
        <f>IFERROR(SUM(AE128:AH128)/AH129,"")</f>
        <v/>
      </c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>
        <f>IFERROR(SUM(AE128:AH128)/(AH129+AM129+AQ129),"")</f>
        <v/>
      </c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>
        <f>IFERROR(SUM($E$128:AH128)/SUM($E$129:BD129),"")</f>
        <v/>
      </c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>
        <f>IFERROR(SUM(AE135:AH135)/AH136,"")</f>
        <v/>
      </c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>
        <f>IFERROR(SUM(AE135:AH135)/(AH136+AM136+AQ136),"")</f>
        <v/>
      </c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>
        <f>IFERROR(SUM($E$135:AH135)/SUM($E$136:BD136),"")</f>
        <v/>
      </c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>
        <v>9.50657</v>
      </c>
      <c r="AH141" s="53" t="n">
        <v>10.10089</v>
      </c>
      <c r="AI141" s="53" t="n">
        <v>10.01264</v>
      </c>
      <c r="AJ141" s="53" t="n">
        <v>10.50262</v>
      </c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547.82865</v>
      </c>
      <c r="F149" s="53" t="n">
        <v>40.2681</v>
      </c>
      <c r="G149" s="53" t="n">
        <v>36.67201</v>
      </c>
      <c r="H149" s="53" t="n">
        <v>69.07867999999999</v>
      </c>
      <c r="I149" s="53" t="n">
        <v>127.59395</v>
      </c>
      <c r="J149" s="53" t="n">
        <v>86.35372</v>
      </c>
      <c r="K149" s="53" t="n">
        <v>26.14942</v>
      </c>
      <c r="L149" s="53" t="n">
        <v>44.52878</v>
      </c>
      <c r="M149" s="53" t="n">
        <v>156.41799</v>
      </c>
      <c r="N149" s="53" t="n">
        <v>40.75936</v>
      </c>
      <c r="O149" s="53" t="n">
        <v>45.15094000000001</v>
      </c>
      <c r="P149" s="53" t="n">
        <v>48.78858</v>
      </c>
      <c r="Q149" s="53" t="n">
        <v>48.00082</v>
      </c>
      <c r="R149" s="53" t="n">
        <v>242.40146</v>
      </c>
      <c r="S149" s="53" t="n">
        <v>45.44136</v>
      </c>
      <c r="T149" s="53" t="n">
        <v>64.43295999999999</v>
      </c>
      <c r="U149" s="53" t="n">
        <v>15.01936</v>
      </c>
      <c r="V149" s="53" t="n">
        <v>165.06502</v>
      </c>
      <c r="W149" s="53" t="n">
        <v>28.28818</v>
      </c>
      <c r="X149" s="53" t="n">
        <v>39.56018</v>
      </c>
      <c r="Y149" s="53" t="n">
        <v>23.70748</v>
      </c>
      <c r="Z149" s="53" t="n">
        <v>121.67015</v>
      </c>
      <c r="AA149" s="53" t="n">
        <v>55.1663</v>
      </c>
      <c r="AB149" s="53" t="n">
        <v>25.33554</v>
      </c>
      <c r="AC149" s="53" t="n">
        <v>28.43916</v>
      </c>
      <c r="AD149" s="53" t="n">
        <v>49.25178</v>
      </c>
      <c r="AE149" s="53" t="n">
        <v>148.51369</v>
      </c>
      <c r="AF149" s="53" t="n">
        <v>17.18</v>
      </c>
      <c r="AG149" s="53" t="n">
        <v>61.81</v>
      </c>
      <c r="AH149" s="53" t="n">
        <v>51.541</v>
      </c>
      <c r="AI149" s="53" t="n">
        <v>117.747</v>
      </c>
      <c r="AJ149" s="53" t="n">
        <v>23.759</v>
      </c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>
        <f>IFERROR(SUM($E$149:AG149)/SUM($E$3:AG3),"")</f>
        <v/>
      </c>
      <c r="AH150" s="57">
        <f>IFERROR(SUM($E$149:AH149)/SUM($E$3:AH3),"")</f>
        <v/>
      </c>
      <c r="AI150" s="57">
        <f>IFERROR(SUM($E$149:AI149)/SUM($E$3:AI3),"")</f>
        <v/>
      </c>
      <c r="AJ150" s="57">
        <f>IFERROR(SUM($E$149:AJ149)/SUM($E$3:AJ3),"")</f>
        <v/>
      </c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>
        <f>IFERROR(AG149/AG153,"")</f>
        <v/>
      </c>
      <c r="AH151" s="54">
        <f>IFERROR(AH149/AH153,"")</f>
        <v/>
      </c>
      <c r="AI151" s="54">
        <f>IFERROR(AI149/AI153,"")</f>
        <v/>
      </c>
      <c r="AJ151" s="54">
        <f>IFERROR(AJ149/AJ153,"")</f>
        <v/>
      </c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>
        <f>IFERROR(SUM($E$149:AG149)/SUM($E$153:AG153),"")</f>
        <v/>
      </c>
      <c r="AH152" s="54">
        <f>IFERROR(SUM($E$149:AH149)/SUM($E$153:AH153),"")</f>
        <v/>
      </c>
      <c r="AI152" s="54">
        <f>IFERROR(SUM($E$149:AI149)/SUM($E$153:AI153),"")</f>
        <v/>
      </c>
      <c r="AJ152" s="54">
        <f>IFERROR(SUM($E$149:AJ149)/SUM($E$153:AJ153),"")</f>
        <v/>
      </c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65.74612657199999</v>
      </c>
      <c r="O153" s="55" t="n">
        <v>65.74612657199999</v>
      </c>
      <c r="P153" s="55" t="n">
        <v>65.74612657199999</v>
      </c>
      <c r="Q153" s="55" t="n">
        <v>65.74612657199999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79.27348661399999</v>
      </c>
      <c r="AK153" s="55" t="n">
        <v>79.27348661399999</v>
      </c>
      <c r="AL153" s="55" t="n">
        <v>79.27348661399999</v>
      </c>
      <c r="AM153" s="55" t="n">
        <v>79.27348661399999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>
        <v>1041</v>
      </c>
      <c r="AH155" s="53" t="n">
        <v>923</v>
      </c>
      <c r="AI155" s="53" t="n">
        <v>1057</v>
      </c>
      <c r="AJ155" s="53" t="n">
        <v>802</v>
      </c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>
        <f>IFERROR(SUM($E$155:AG155)/SUM($E$4:AG4),"")</f>
        <v/>
      </c>
      <c r="AH156" s="57">
        <f>IFERROR(SUM($E$155:AH155)/SUM($E$4:AH4),"")</f>
        <v/>
      </c>
      <c r="AI156" s="57">
        <f>IFERROR(SUM($E$155:AI155)/SUM($E$4:AI4),"")</f>
        <v/>
      </c>
      <c r="AJ156" s="57">
        <f>IFERROR(SUM($E$155:AJ155)/SUM($E$4:AJ4),"")</f>
        <v/>
      </c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>
        <f>IFERROR(AG155/AG159,"")</f>
        <v/>
      </c>
      <c r="AH157" s="54">
        <f>IFERROR(AH155/AH159,"")</f>
        <v/>
      </c>
      <c r="AI157" s="54">
        <f>IFERROR(AI155/AI159,"")</f>
        <v/>
      </c>
      <c r="AJ157" s="54">
        <f>IFERROR(AJ155/AJ159,"")</f>
        <v/>
      </c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>
        <f>IFERROR(SUM($E$155:AG155)/SUM($E$159:AG159),"")</f>
        <v/>
      </c>
      <c r="AH158" s="54">
        <f>IFERROR(SUM($E$155:AH155)/SUM($E$159:AH159),"")</f>
        <v/>
      </c>
      <c r="AI158" s="54">
        <f>IFERROR(SUM($E$155:AI155)/SUM($E$159:AI159),"")</f>
        <v/>
      </c>
      <c r="AJ158" s="54">
        <f>IFERROR(SUM($E$155:AJ155)/SUM($E$159:AJ159),"")</f>
        <v/>
      </c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>
        <v>974</v>
      </c>
      <c r="AH160" s="52" t="n">
        <v>873</v>
      </c>
      <c r="AI160" s="52" t="n">
        <v>1015</v>
      </c>
      <c r="AJ160" s="52" t="n">
        <v>758</v>
      </c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>
        <v>67</v>
      </c>
      <c r="AH161" s="52" t="n">
        <v>50</v>
      </c>
      <c r="AI161" s="52" t="n">
        <v>42</v>
      </c>
      <c r="AJ161" s="52" t="n">
        <v>44</v>
      </c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>
        <v>0.00571</v>
      </c>
      <c r="AH163" s="53" t="n">
        <v>0.52</v>
      </c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0.2395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9.51712</v>
      </c>
      <c r="AA164" s="53" t="n"/>
      <c r="AB164" s="53" t="n"/>
      <c r="AC164" s="53" t="n"/>
      <c r="AD164" s="53" t="n">
        <v>11.23435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>
        <f>IFERROR(SUM(AE164:AH164)/AH165,"")</f>
        <v/>
      </c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>
        <f>IFERROR(SUM(AE164:AH164)/(AH165+AM165+AQ165),"")</f>
        <v/>
      </c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>
        <f>IFERROR(SUM($E$164:AH164)/SUM($E$165:BD165),"")</f>
        <v/>
      </c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>
        <f>IFERROR(SUM(AE171:AH171)/AH172,"")</f>
        <v/>
      </c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>
        <f>IFERROR(SUM(AE171:AH171)/(AH172+AM172+AQ172),"")</f>
        <v/>
      </c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>
        <f>IFERROR(SUM($E$171:AH171)/SUM($E$172:BD172),"")</f>
        <v/>
      </c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328.56672</v>
      </c>
      <c r="F179" s="53" t="n">
        <v>210.23187</v>
      </c>
      <c r="G179" s="53" t="n">
        <v>189.87099</v>
      </c>
      <c r="H179" s="53" t="n">
        <v>190.52448</v>
      </c>
      <c r="I179" s="53" t="n">
        <v>270.27838</v>
      </c>
      <c r="J179" s="53" t="n">
        <v>115.29714</v>
      </c>
      <c r="K179" s="53" t="n">
        <v>203.04566</v>
      </c>
      <c r="L179" s="53" t="n">
        <v>315.88221</v>
      </c>
      <c r="M179" s="53" t="n">
        <v>418.08906</v>
      </c>
      <c r="N179" s="53" t="n">
        <v>186.9002</v>
      </c>
      <c r="O179" s="53" t="n">
        <v>163.02896</v>
      </c>
      <c r="P179" s="53" t="n">
        <v>265.37879</v>
      </c>
      <c r="Q179" s="53" t="n">
        <v>304.65601</v>
      </c>
      <c r="R179" s="53" t="n">
        <v>250.43023</v>
      </c>
      <c r="S179" s="53" t="n">
        <v>119.14932</v>
      </c>
      <c r="T179" s="53" t="n">
        <v>208.19701</v>
      </c>
      <c r="U179" s="53" t="n">
        <v>222.86051</v>
      </c>
      <c r="V179" s="53" t="n">
        <v>273.90149</v>
      </c>
      <c r="W179" s="53" t="n">
        <v>99.48878000000001</v>
      </c>
      <c r="X179" s="53" t="n">
        <v>97.47606</v>
      </c>
      <c r="Y179" s="53" t="n">
        <v>199.39866</v>
      </c>
      <c r="Z179" s="53" t="n">
        <v>266.04639</v>
      </c>
      <c r="AA179" s="53" t="n">
        <v>122.79854</v>
      </c>
      <c r="AB179" s="53" t="n">
        <v>97.25026</v>
      </c>
      <c r="AC179" s="53" t="n">
        <v>129.52101</v>
      </c>
      <c r="AD179" s="53" t="n">
        <v>151.20744</v>
      </c>
      <c r="AE179" s="53" t="n">
        <v>93.53569999999999</v>
      </c>
      <c r="AF179" s="53" t="n">
        <v>58.938</v>
      </c>
      <c r="AG179" s="53" t="n">
        <v>77.083</v>
      </c>
      <c r="AH179" s="53" t="n">
        <v>65.98</v>
      </c>
      <c r="AI179" s="53" t="n">
        <v>124.2977793399</v>
      </c>
      <c r="AJ179" s="53" t="n">
        <v>78.77557</v>
      </c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>
        <f>IFERROR(SUM($E$179:AG179)/SUM($E$3:AG3),"")</f>
        <v/>
      </c>
      <c r="AH180" s="57">
        <f>IFERROR(SUM($E$179:AH179)/SUM($E$3:AH3),"")</f>
        <v/>
      </c>
      <c r="AI180" s="57">
        <f>IFERROR(SUM($E$179:AI179)/SUM($E$3:AI3),"")</f>
        <v/>
      </c>
      <c r="AJ180" s="57">
        <f>IFERROR(SUM($E$179:AJ179)/SUM($E$3:AJ3),"")</f>
        <v/>
      </c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>
        <f>IFERROR(AG179/AG183,"")</f>
        <v/>
      </c>
      <c r="AH181" s="54">
        <f>IFERROR(AH179/AH183,"")</f>
        <v/>
      </c>
      <c r="AI181" s="54">
        <f>IFERROR(AI179/AI183,"")</f>
        <v/>
      </c>
      <c r="AJ181" s="54">
        <f>IFERROR(AJ179/AJ183,"")</f>
        <v/>
      </c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>
        <f>IFERROR(SUM($E$179:AG179)/SUM($E$183:AG183),"")</f>
        <v/>
      </c>
      <c r="AH182" s="54">
        <f>IFERROR(SUM($E$179:AH179)/SUM($E$183:AH183),"")</f>
        <v/>
      </c>
      <c r="AI182" s="54">
        <f>IFERROR(SUM($E$179:AI179)/SUM($E$183:AI183),"")</f>
        <v/>
      </c>
      <c r="AJ182" s="54">
        <f>IFERROR(SUM($E$179:AJ179)/SUM($E$183:AJ183),"")</f>
        <v/>
      </c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>
        <v>1461</v>
      </c>
      <c r="AH185" s="53" t="n">
        <v>1186</v>
      </c>
      <c r="AI185" s="53" t="n">
        <v>2022</v>
      </c>
      <c r="AJ185" s="53" t="n">
        <v>1626</v>
      </c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>
        <f>IFERROR(SUM($E$185:AG185)/SUM($E$4:AG4),"")</f>
        <v/>
      </c>
      <c r="AH186" s="57">
        <f>IFERROR(SUM($E$185:AH185)/SUM($E$4:AH4),"")</f>
        <v/>
      </c>
      <c r="AI186" s="57">
        <f>IFERROR(SUM($E$185:AI185)/SUM($E$4:AI4),"")</f>
        <v/>
      </c>
      <c r="AJ186" s="57">
        <f>IFERROR(SUM($E$185:AJ185)/SUM($E$4:AJ4),"")</f>
        <v/>
      </c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>
        <f>IFERROR(AG185/AG189,"")</f>
        <v/>
      </c>
      <c r="AH187" s="54">
        <f>IFERROR(AH185/AH189,"")</f>
        <v/>
      </c>
      <c r="AI187" s="54">
        <f>IFERROR(AI185/AI189,"")</f>
        <v/>
      </c>
      <c r="AJ187" s="54">
        <f>IFERROR(AJ185/AJ189,"")</f>
        <v/>
      </c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>
        <f>IFERROR(SUM($E$185:AG185)/SUM($E$189:AG189),"")</f>
        <v/>
      </c>
      <c r="AH188" s="54">
        <f>IFERROR(SUM($E$185:AH185)/SUM($E$189:AH189),"")</f>
        <v/>
      </c>
      <c r="AI188" s="54">
        <f>IFERROR(SUM($E$185:AI185)/SUM($E$189:AI189),"")</f>
        <v/>
      </c>
      <c r="AJ188" s="54">
        <f>IFERROR(SUM($E$185:AJ185)/SUM($E$189:AJ189),"")</f>
        <v/>
      </c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>
        <v>958</v>
      </c>
      <c r="AH190" s="52" t="n">
        <v>584</v>
      </c>
      <c r="AI190" s="52" t="n">
        <v>1262</v>
      </c>
      <c r="AJ190" s="52" t="n">
        <v>945</v>
      </c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>
        <v>503</v>
      </c>
      <c r="AH191" s="52" t="n">
        <v>602</v>
      </c>
      <c r="AI191" s="52" t="n">
        <v>760</v>
      </c>
      <c r="AJ191" s="52" t="n">
        <v>681</v>
      </c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>
        <v>0.32</v>
      </c>
      <c r="AH193" s="53" t="n">
        <v>1.104</v>
      </c>
      <c r="AI193" s="53" t="n">
        <v>2.5336</v>
      </c>
      <c r="AJ193" s="53" t="n">
        <v>0.05366</v>
      </c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131.25519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101.05286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>
        <f>IFERROR(SUM(AE194:AH194)/AH195,"")</f>
        <v/>
      </c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>
        <f>IFERROR(SUM(AE194:AH194)/(AH195+AM195+AQ195),"")</f>
        <v/>
      </c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>
        <f>IFERROR(SUM($E$194:AH194)/SUM($E$195:BD195),"")</f>
        <v/>
      </c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>
        <f>IFERROR(SUM(AE201:AH201)/AH202,"")</f>
        <v/>
      </c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>
        <f>IFERROR(SUM(AE201:AH201)/(AH202+AM202+AQ202),"")</f>
        <v/>
      </c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>
        <f>IFERROR(SUM($E$201:AH201)/SUM($E$202:BD202),"")</f>
        <v/>
      </c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>
        <v>14.05572</v>
      </c>
      <c r="AH207" s="53" t="n">
        <v>14.65069</v>
      </c>
      <c r="AI207" s="53" t="n">
        <v>15.72178</v>
      </c>
      <c r="AJ207" s="53" t="n">
        <v>13.38711</v>
      </c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 Si</dc:creator>
  <dcterms:created xsi:type="dcterms:W3CDTF">2026-05-14T18:29:42Z</dcterms:created>
  <dcterms:modified xsi:type="dcterms:W3CDTF">2026-08-11T20:02:30Z</dcterms:modified>
</cp:coreProperties>
</file>