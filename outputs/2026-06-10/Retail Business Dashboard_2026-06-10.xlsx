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0" yWindow="500" windowWidth="27640" windowHeight="15800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i val="1"/>
      <color theme="1"/>
      <sz val="12"/>
      <scheme val="minor"/>
    </font>
    <font>
      <name val="Aptos Narrow"/>
      <i val="1"/>
      <color theme="1"/>
      <sz val="12"/>
      <scheme val="minor"/>
    </font>
    <font>
      <name val="Aptos Narrow"/>
      <family val="2"/>
      <color theme="4"/>
      <sz val="12"/>
      <scheme val="minor"/>
    </font>
    <font>
      <name val="Aptos Narrow"/>
      <family val="2"/>
      <color theme="0" tint="-0.499984740745262"/>
      <sz val="12"/>
      <scheme val="minor"/>
    </font>
    <font>
      <name val="Aptos Narrow"/>
      <b val="1"/>
      <color theme="0" tint="-0.499984740745262"/>
      <sz val="12"/>
      <scheme val="minor"/>
    </font>
    <font>
      <name val="Aptos Narrow"/>
      <color theme="0" tint="-0.499984740745262"/>
      <sz val="12"/>
      <scheme val="minor"/>
    </font>
    <font>
      <name val="Aptos Narrow"/>
      <b val="1"/>
      <color theme="4"/>
      <sz val="12"/>
      <scheme val="minor"/>
    </font>
    <font>
      <name val="Aptos Narrow"/>
      <color theme="4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i val="1"/>
      <color theme="0"/>
      <sz val="12"/>
      <scheme val="minor"/>
    </font>
    <font>
      <name val="Aptos Narrow"/>
      <color theme="1"/>
      <sz val="12"/>
      <scheme val="minor"/>
    </font>
  </fonts>
  <fills count="8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2" borderId="0" pivotButton="0" quotePrefix="0" xfId="0"/>
    <xf numFmtId="0" fontId="11" fillId="2" borderId="0" pivotButton="0" quotePrefix="0" xfId="0"/>
    <xf numFmtId="0" fontId="12" fillId="2" borderId="0" applyAlignment="1" pivotButton="0" quotePrefix="0" xfId="0">
      <alignment horizontal="center"/>
    </xf>
    <xf numFmtId="0" fontId="11" fillId="3" borderId="0" pivotButton="0" quotePrefix="0" xfId="0"/>
    <xf numFmtId="0" fontId="12" fillId="3" borderId="0" applyAlignment="1" pivotButton="0" quotePrefix="0" xfId="0">
      <alignment horizontal="center"/>
    </xf>
    <xf numFmtId="0" fontId="1" fillId="3" borderId="0" pivotButton="0" quotePrefix="0" xfId="0"/>
    <xf numFmtId="0" fontId="1" fillId="0" borderId="0" applyAlignment="1" pivotButton="0" quotePrefix="0" xfId="0">
      <alignment horizontal="center"/>
    </xf>
    <xf numFmtId="0" fontId="1" fillId="4" borderId="0" pivotButton="0" quotePrefix="0" xfId="0"/>
    <xf numFmtId="0" fontId="11" fillId="4" borderId="0" pivotButton="0" quotePrefix="0" xfId="0"/>
    <xf numFmtId="0" fontId="12" fillId="4" borderId="0" applyAlignment="1" pivotButton="0" quotePrefix="0" xfId="0">
      <alignment horizontal="center"/>
    </xf>
    <xf numFmtId="0" fontId="1" fillId="5" borderId="0" pivotButton="0" quotePrefix="0" xfId="0"/>
    <xf numFmtId="0" fontId="11" fillId="5" borderId="0" pivotButton="0" quotePrefix="0" xfId="0"/>
    <xf numFmtId="0" fontId="12" fillId="5" borderId="0" applyAlignment="1" pivotButton="0" quotePrefix="0" xfId="0">
      <alignment horizontal="center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6" borderId="0" pivotButton="0" quotePrefix="0" xfId="0"/>
    <xf numFmtId="0" fontId="11" fillId="6" borderId="0" pivotButton="0" quotePrefix="0" xfId="0"/>
    <xf numFmtId="0" fontId="12" fillId="6" borderId="0" applyAlignment="1" pivotButton="0" quotePrefix="0" xfId="0">
      <alignment horizontal="center"/>
    </xf>
    <xf numFmtId="0" fontId="1" fillId="7" borderId="0" pivotButton="0" quotePrefix="0" xfId="0"/>
    <xf numFmtId="0" fontId="11" fillId="7" borderId="0" pivotButton="0" quotePrefix="0" xfId="0"/>
    <xf numFmtId="0" fontId="12" fillId="7" borderId="0" applyAlignment="1" pivotButton="0" quotePrefix="0" xfId="0">
      <alignment horizontal="center"/>
    </xf>
    <xf numFmtId="0" fontId="4" fillId="0" borderId="0" pivotButton="0" quotePrefix="0" xfId="0"/>
    <xf numFmtId="3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tc={B79BA3E3-E585-964D-9C92-483DFB65026F}</author>
    <author>tc={017799DC-20F9-774D-B346-E298DE127B5D}</author>
    <author>tc={82AF0F11-C6B4-F04D-A9ED-3915416AF9D9}</author>
    <author>tc={1AFEDADD-C365-E749-8232-528FAE26FA5F}</author>
    <author>tc={380AB180-B1D9-2D42-90D3-AB6531D1AE69}</author>
    <author>tc={169D5268-D09C-574F-B989-B7C05F3AD2E6}</author>
    <author>tc={7D78CC43-3312-0244-804C-8514DA03F6E7}</author>
  </authors>
  <commentList>
    <comment ref="A20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channels excluding DTC</t>
      </text>
    </comment>
    <comment ref="A4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# purchases - New to Brand</t>
      </text>
    </comment>
    <comment ref="A7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08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4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70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204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08"/>
  <sheetViews>
    <sheetView tabSelected="1" workbookViewId="0">
      <pane xSplit="4" ySplit="6" topLeftCell="E173" activePane="bottomRight" state="frozen"/>
      <selection pane="bottomRight" activeCell="B187" sqref="B187:D187"/>
      <selection pane="bottomLeft" activeCell="A7" sqref="A7"/>
      <selection pane="topRight" activeCell="E1" sqref="E1"/>
    </sheetView>
  </sheetViews>
  <sheetFormatPr baseColWidth="8" defaultColWidth="11" defaultRowHeight="15.95"/>
  <cols>
    <col width="3.5" customWidth="1" min="1" max="1"/>
    <col width="5.5" customWidth="1" min="2" max="2"/>
    <col width="19.5" customWidth="1" min="3" max="3"/>
    <col width="8.625" customWidth="1" style="6" min="4" max="4"/>
    <col width="8.625" customWidth="1" min="5" max="5"/>
  </cols>
  <sheetData>
    <row r="1" customFormat="1" s="1">
      <c r="B1" s="4" t="inlineStr">
        <is>
          <t>Weeks ending</t>
        </is>
      </c>
      <c r="C1" s="4" t="n"/>
      <c r="D1" s="5" t="n"/>
      <c r="E1" s="2" t="n">
        <v>46026</v>
      </c>
      <c r="F1" s="2">
        <f>E1+7</f>
        <v/>
      </c>
      <c r="G1" s="2">
        <f>F1+7</f>
        <v/>
      </c>
      <c r="H1" s="2">
        <f>G1+7</f>
        <v/>
      </c>
      <c r="I1" s="2">
        <f>H1+7</f>
        <v/>
      </c>
      <c r="J1" s="2">
        <f>I1+7</f>
        <v/>
      </c>
      <c r="K1" s="2">
        <f>J1+7</f>
        <v/>
      </c>
      <c r="L1" s="2">
        <f>K1+7</f>
        <v/>
      </c>
      <c r="M1" s="2">
        <f>L1+7</f>
        <v/>
      </c>
      <c r="N1" s="2">
        <f>M1+7</f>
        <v/>
      </c>
      <c r="O1" s="2">
        <f>N1+7</f>
        <v/>
      </c>
      <c r="P1" s="2">
        <f>O1+7</f>
        <v/>
      </c>
      <c r="Q1" s="2">
        <f>P1+7</f>
        <v/>
      </c>
      <c r="R1" s="2">
        <f>Q1+7</f>
        <v/>
      </c>
      <c r="S1" s="2">
        <f>R1+7</f>
        <v/>
      </c>
      <c r="T1" s="2">
        <f>S1+7</f>
        <v/>
      </c>
      <c r="U1" s="2">
        <f>T1+7</f>
        <v/>
      </c>
      <c r="V1" s="2">
        <f>U1+7</f>
        <v/>
      </c>
      <c r="W1" s="2">
        <f>V1+7</f>
        <v/>
      </c>
      <c r="X1" s="2">
        <f>W1+7</f>
        <v/>
      </c>
      <c r="Y1" s="2">
        <f>X1+7</f>
        <v/>
      </c>
      <c r="Z1" s="2">
        <f>Y1+7</f>
        <v/>
      </c>
      <c r="AA1" s="2">
        <f>Z1+7</f>
        <v/>
      </c>
      <c r="AB1" s="2">
        <f>AA1+7</f>
        <v/>
      </c>
      <c r="AC1" s="2">
        <f>AB1+7</f>
        <v/>
      </c>
      <c r="AD1" s="2">
        <f>AC1+7</f>
        <v/>
      </c>
      <c r="AE1" s="2">
        <f>AD1+7</f>
        <v/>
      </c>
      <c r="AF1" s="2">
        <f>AE1+7</f>
        <v/>
      </c>
      <c r="AG1" s="2">
        <f>AF1+7</f>
        <v/>
      </c>
      <c r="AH1" s="2">
        <f>AG1+7</f>
        <v/>
      </c>
      <c r="AI1" s="2">
        <f>AH1+7</f>
        <v/>
      </c>
      <c r="AJ1" s="2">
        <f>AI1+7</f>
        <v/>
      </c>
      <c r="AK1" s="2">
        <f>AJ1+7</f>
        <v/>
      </c>
      <c r="AL1" s="2">
        <f>AK1+7</f>
        <v/>
      </c>
      <c r="AM1" s="2">
        <f>AL1+7</f>
        <v/>
      </c>
      <c r="AN1" s="2">
        <f>AM1+7</f>
        <v/>
      </c>
      <c r="AO1" s="2">
        <f>AN1+7</f>
        <v/>
      </c>
      <c r="AP1" s="2">
        <f>AO1+7</f>
        <v/>
      </c>
      <c r="AQ1" s="2">
        <f>AP1+7</f>
        <v/>
      </c>
      <c r="AR1" s="2">
        <f>AQ1+7</f>
        <v/>
      </c>
      <c r="AS1" s="2">
        <f>AR1+7</f>
        <v/>
      </c>
      <c r="AT1" s="2">
        <f>AS1+7</f>
        <v/>
      </c>
      <c r="AU1" s="2">
        <f>AT1+7</f>
        <v/>
      </c>
      <c r="AV1" s="2">
        <f>AU1+7</f>
        <v/>
      </c>
      <c r="AW1" s="2">
        <f>AV1+7</f>
        <v/>
      </c>
      <c r="AX1" s="2">
        <f>AW1+7</f>
        <v/>
      </c>
      <c r="AY1" s="2">
        <f>AX1+7</f>
        <v/>
      </c>
      <c r="AZ1" s="2">
        <f>AY1+7</f>
        <v/>
      </c>
      <c r="BA1" s="2">
        <f>AZ1+7</f>
        <v/>
      </c>
      <c r="BB1" s="2">
        <f>BA1+7</f>
        <v/>
      </c>
      <c r="BC1" s="2">
        <f>BB1+7</f>
        <v/>
      </c>
      <c r="BD1" s="2">
        <f>BC1+7</f>
        <v/>
      </c>
      <c r="BE1" s="2">
        <f>BD1+7</f>
        <v/>
      </c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</row>
    <row r="2">
      <c r="A2" s="1" t="n"/>
      <c r="D2" s="5" t="inlineStr">
        <is>
          <t>Unit</t>
        </is>
      </c>
    </row>
    <row r="3" customFormat="1" s="31">
      <c r="A3" s="31" t="inlineStr">
        <is>
          <t>Sell-in value -- all channels</t>
        </is>
      </c>
      <c r="D3" s="32" t="inlineStr">
        <is>
          <t>$k</t>
        </is>
      </c>
      <c r="E3" s="41" t="n">
        <v>4954.610089296621</v>
      </c>
      <c r="F3" s="41" t="n">
        <v>2237.4512113112</v>
      </c>
      <c r="G3" s="41" t="n">
        <v>2335.4586737674</v>
      </c>
      <c r="H3" s="41" t="n">
        <v>1649.07083781414</v>
      </c>
      <c r="I3" s="41" t="n">
        <v>4150.7015449296</v>
      </c>
      <c r="J3" s="41" t="n">
        <v>2442.7975764364</v>
      </c>
      <c r="K3" s="41" t="n">
        <v>2422.39902996014</v>
      </c>
      <c r="L3" s="41" t="n">
        <v>3638.85222668684</v>
      </c>
      <c r="M3" s="41" t="n">
        <v>3854.504668764</v>
      </c>
      <c r="N3" s="41" t="n">
        <v>5146.87236335751</v>
      </c>
      <c r="O3" s="41" t="n">
        <v>1873.12654342892</v>
      </c>
      <c r="P3" s="41" t="n">
        <v>3799.64861455711</v>
      </c>
      <c r="Q3" s="41" t="n">
        <v>2194.51577538332</v>
      </c>
      <c r="R3" s="41" t="n">
        <v>2690.88277960665</v>
      </c>
      <c r="S3" s="41" t="n">
        <v>2624.02298683649</v>
      </c>
      <c r="T3" s="41" t="n">
        <v>3427.01404612472</v>
      </c>
      <c r="U3" s="41" t="n">
        <v>3319.94226771396</v>
      </c>
      <c r="V3" s="41" t="n">
        <v>4744.59565836478</v>
      </c>
      <c r="W3" s="41" t="n">
        <v>5035.0203536147</v>
      </c>
      <c r="X3" s="41" t="n">
        <v>2871.07439712839</v>
      </c>
      <c r="Y3" s="41" t="n">
        <v>7353.19002671799</v>
      </c>
      <c r="Z3" s="41" t="n">
        <v>2421.48277689049</v>
      </c>
      <c r="AA3" s="41" t="n">
        <v>3299.78346948053</v>
      </c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  <c r="AL3" s="41" t="n"/>
      <c r="AM3" s="41" t="n"/>
      <c r="AN3" s="41" t="n"/>
      <c r="AO3" s="41" t="n"/>
      <c r="AP3" s="41" t="n"/>
      <c r="AQ3" s="41" t="n"/>
      <c r="AR3" s="41" t="n"/>
      <c r="AS3" s="41" t="n"/>
      <c r="AT3" s="41" t="n"/>
      <c r="AU3" s="41" t="n"/>
      <c r="AV3" s="41" t="n"/>
      <c r="AW3" s="41" t="n"/>
      <c r="AX3" s="41" t="n"/>
      <c r="AY3" s="41" t="n"/>
      <c r="AZ3" s="41" t="n"/>
      <c r="BA3" s="41" t="n"/>
      <c r="BB3" s="41" t="n"/>
      <c r="BC3" s="41" t="n"/>
      <c r="BD3" s="41" t="n"/>
    </row>
    <row r="4" customFormat="1" s="31">
      <c r="A4" s="31" t="inlineStr">
        <is>
          <t>Sell-through untis -- all channels</t>
        </is>
      </c>
      <c r="D4" s="32" t="inlineStr">
        <is>
          <t>#</t>
        </is>
      </c>
      <c r="E4" s="41" t="n">
        <v>148533</v>
      </c>
      <c r="F4" s="41" t="n">
        <v>84186</v>
      </c>
      <c r="G4" s="41" t="n">
        <v>84112</v>
      </c>
      <c r="H4" s="41" t="n">
        <v>71550</v>
      </c>
      <c r="I4" s="41" t="n">
        <v>68131</v>
      </c>
      <c r="J4" s="41" t="n">
        <v>70647</v>
      </c>
      <c r="K4" s="41" t="n">
        <v>77297</v>
      </c>
      <c r="L4" s="41" t="n">
        <v>82618</v>
      </c>
      <c r="M4" s="41" t="n">
        <v>98300</v>
      </c>
      <c r="N4" s="41" t="n">
        <v>78051</v>
      </c>
      <c r="O4" s="41" t="n">
        <v>76601</v>
      </c>
      <c r="P4" s="41" t="n">
        <v>74679</v>
      </c>
      <c r="Q4" s="41" t="n">
        <v>90647</v>
      </c>
      <c r="R4" s="41" t="n">
        <v>81944</v>
      </c>
      <c r="S4" s="41" t="n">
        <v>81885</v>
      </c>
      <c r="T4" s="41" t="n">
        <v>87636</v>
      </c>
      <c r="U4" s="41" t="n">
        <v>71324</v>
      </c>
      <c r="V4" s="41" t="n">
        <v>79002</v>
      </c>
      <c r="W4" s="41" t="n">
        <v>73082</v>
      </c>
      <c r="X4" s="41" t="n">
        <v>74581</v>
      </c>
      <c r="Y4" s="41" t="n">
        <v>89290</v>
      </c>
      <c r="Z4" s="41" t="n">
        <v>83965</v>
      </c>
      <c r="AA4" s="41" t="n">
        <v>79853</v>
      </c>
      <c r="AB4" s="41" t="n"/>
      <c r="AC4" s="41" t="n"/>
      <c r="AD4" s="41" t="n"/>
      <c r="AE4" s="41" t="n"/>
      <c r="AF4" s="41" t="n"/>
      <c r="AG4" s="41" t="n"/>
      <c r="AH4" s="41" t="n"/>
      <c r="AI4" s="41" t="n"/>
      <c r="AJ4" s="41" t="n"/>
      <c r="AK4" s="41" t="n"/>
      <c r="AL4" s="41" t="n"/>
      <c r="AM4" s="41" t="n"/>
      <c r="AN4" s="41" t="n"/>
      <c r="AO4" s="41" t="n"/>
      <c r="AP4" s="41" t="n"/>
      <c r="AQ4" s="41" t="n"/>
      <c r="AR4" s="41" t="n"/>
      <c r="AS4" s="41" t="n"/>
      <c r="AT4" s="41" t="n"/>
      <c r="AU4" s="41" t="n"/>
      <c r="AV4" s="41" t="n"/>
      <c r="AW4" s="41" t="n"/>
      <c r="AX4" s="41" t="n"/>
      <c r="AY4" s="41" t="n"/>
      <c r="AZ4" s="41" t="n"/>
      <c r="BA4" s="41" t="n"/>
      <c r="BB4" s="41" t="n"/>
      <c r="BC4" s="41" t="n"/>
      <c r="BD4" s="41" t="n"/>
    </row>
    <row r="5" customFormat="1" s="31">
      <c r="A5" s="31" t="inlineStr">
        <is>
          <t>New Customers -- all channels</t>
        </is>
      </c>
      <c r="D5" s="32" t="inlineStr">
        <is>
          <t># ppl</t>
        </is>
      </c>
      <c r="E5" s="41" t="n">
        <v>31917</v>
      </c>
      <c r="F5" s="41" t="n">
        <v>29726</v>
      </c>
      <c r="G5" s="41" t="n">
        <v>27296</v>
      </c>
      <c r="H5" s="41" t="n">
        <v>24916</v>
      </c>
      <c r="I5" s="41" t="n">
        <v>22553</v>
      </c>
      <c r="J5" s="41" t="n">
        <v>23949</v>
      </c>
      <c r="K5" s="41" t="n">
        <v>24003</v>
      </c>
      <c r="L5" s="41" t="n">
        <v>25882</v>
      </c>
      <c r="M5" s="41" t="n">
        <v>26430</v>
      </c>
      <c r="N5" s="41" t="n">
        <v>27237</v>
      </c>
      <c r="O5" s="41" t="n">
        <v>26206</v>
      </c>
      <c r="P5" s="41" t="n">
        <v>24836</v>
      </c>
      <c r="Q5" s="41" t="n">
        <v>26298</v>
      </c>
      <c r="R5" s="41" t="n">
        <v>26821</v>
      </c>
      <c r="S5" s="41" t="n">
        <v>26145</v>
      </c>
      <c r="T5" s="41" t="n">
        <v>26511</v>
      </c>
      <c r="U5" s="41" t="n">
        <v>25456</v>
      </c>
      <c r="V5" s="41" t="n">
        <v>24824</v>
      </c>
      <c r="W5" s="41" t="n">
        <v>24498</v>
      </c>
      <c r="X5" s="41" t="n">
        <v>24033</v>
      </c>
      <c r="Y5" s="41" t="n">
        <v>24727</v>
      </c>
      <c r="Z5" s="41" t="n">
        <v>25823</v>
      </c>
      <c r="AA5" s="41" t="n">
        <v>26239</v>
      </c>
      <c r="AB5" s="41" t="n"/>
      <c r="AC5" s="41" t="n"/>
      <c r="AD5" s="41" t="n"/>
      <c r="AE5" s="41" t="n"/>
      <c r="AF5" s="41" t="n"/>
      <c r="AG5" s="41" t="n"/>
      <c r="AH5" s="41" t="n"/>
      <c r="AI5" s="41" t="n"/>
      <c r="AJ5" s="41" t="n"/>
      <c r="AK5" s="41" t="n"/>
      <c r="AL5" s="41" t="n"/>
      <c r="AM5" s="41" t="n"/>
      <c r="AN5" s="41" t="n"/>
      <c r="AO5" s="41" t="n"/>
      <c r="AP5" s="41" t="n"/>
      <c r="AQ5" s="41" t="n"/>
      <c r="AR5" s="41" t="n"/>
      <c r="AS5" s="41" t="n"/>
      <c r="AT5" s="41" t="n"/>
      <c r="AU5" s="41" t="n"/>
      <c r="AV5" s="41" t="n"/>
      <c r="AW5" s="41" t="n"/>
      <c r="AX5" s="41" t="n"/>
      <c r="AY5" s="41" t="n"/>
      <c r="AZ5" s="41" t="n"/>
      <c r="BA5" s="41" t="n"/>
      <c r="BB5" s="41" t="n"/>
      <c r="BC5" s="41" t="n"/>
      <c r="BD5" s="41" t="n"/>
    </row>
    <row r="6" ht="6.95" customHeight="1">
      <c r="A6" s="1" t="n"/>
      <c r="D6" s="5" t="n"/>
    </row>
    <row r="7" customFormat="1" s="19">
      <c r="A7" s="18" t="inlineStr">
        <is>
          <t>Total Retail</t>
        </is>
      </c>
      <c r="D7" s="20" t="n"/>
    </row>
    <row r="8">
      <c r="A8" s="1" t="inlineStr">
        <is>
          <t>Sell-in value</t>
        </is>
      </c>
      <c r="D8" s="24" t="inlineStr">
        <is>
          <t>$k</t>
        </is>
      </c>
      <c r="E8" s="41">
        <f>E30+E82+E116+E150+E178</f>
        <v/>
      </c>
      <c r="F8" s="41">
        <f>F30+F82+F116+F150+F178</f>
        <v/>
      </c>
      <c r="G8" s="41">
        <f>G30+G82+G116+G150+G178</f>
        <v/>
      </c>
      <c r="H8" s="41">
        <f>H30+H82+H116+H150+H178</f>
        <v/>
      </c>
      <c r="I8" s="41">
        <f>I30+I82+I116+I150+I178</f>
        <v/>
      </c>
      <c r="J8" s="41">
        <f>J30+J82+J116+J150+J178</f>
        <v/>
      </c>
      <c r="K8" s="41">
        <f>K30+K82+K116+K150+K178</f>
        <v/>
      </c>
      <c r="L8" s="41">
        <f>L30+L82+L116+L150+L178</f>
        <v/>
      </c>
      <c r="M8" s="41">
        <f>M30+M82+M116+M150+M178</f>
        <v/>
      </c>
      <c r="N8" s="41">
        <f>N30+N82+N116+N150+N178</f>
        <v/>
      </c>
      <c r="O8" s="41">
        <f>O30+O82+O116+O150+O178</f>
        <v/>
      </c>
      <c r="P8" s="41">
        <f>P30+P82+P116+P150+P178</f>
        <v/>
      </c>
      <c r="Q8" s="41">
        <f>Q30+Q82+Q116+Q150+Q178</f>
        <v/>
      </c>
      <c r="R8" s="41">
        <f>R30+R82+R116+R150+R178</f>
        <v/>
      </c>
      <c r="S8" s="41">
        <f>S30+S82+S116+S150+S178</f>
        <v/>
      </c>
      <c r="T8" s="41">
        <f>T30+T82+T116+T150+T178</f>
        <v/>
      </c>
      <c r="U8" s="41">
        <f>U30+U82+U116+U150+U178</f>
        <v/>
      </c>
      <c r="V8" s="41">
        <f>V30+V82+V116+V150+V178</f>
        <v/>
      </c>
      <c r="W8" s="41">
        <f>W30+W82+W116+W150+W178</f>
        <v/>
      </c>
      <c r="X8" s="41">
        <f>X30+X82+X116+X150+X178</f>
        <v/>
      </c>
      <c r="Y8" s="41">
        <f>Y30+Y82+Y116+Y150+Y178</f>
        <v/>
      </c>
      <c r="Z8" s="41">
        <f>Z30+Z82+Z116+Z150+Z178</f>
        <v/>
      </c>
      <c r="AA8" s="41">
        <f>AA30+AA82+AA116+AA150+AA178</f>
        <v/>
      </c>
      <c r="AB8" s="41" t="n"/>
      <c r="AC8" s="41" t="n"/>
      <c r="AD8" s="41" t="n"/>
      <c r="AE8" s="41" t="n"/>
      <c r="AF8" s="41" t="n"/>
      <c r="AG8" s="41" t="n"/>
      <c r="AH8" s="41" t="n"/>
      <c r="AI8" s="41" t="n"/>
      <c r="AJ8" s="41" t="n"/>
      <c r="AK8" s="41" t="n"/>
      <c r="AL8" s="41" t="n"/>
      <c r="AM8" s="41" t="n"/>
      <c r="AN8" s="41" t="n"/>
      <c r="AO8" s="41" t="n"/>
      <c r="AP8" s="41" t="n"/>
      <c r="AQ8" s="41" t="n"/>
      <c r="AR8" s="41" t="n"/>
      <c r="AS8" s="41" t="n"/>
      <c r="AT8" s="41" t="n"/>
      <c r="AU8" s="41" t="n"/>
      <c r="AV8" s="41" t="n"/>
      <c r="AW8" s="41" t="n"/>
      <c r="AX8" s="41" t="n"/>
      <c r="AY8" s="41" t="n"/>
      <c r="AZ8" s="41" t="n"/>
      <c r="BA8" s="41" t="n"/>
      <c r="BB8" s="41" t="n"/>
      <c r="BC8" s="41" t="n"/>
      <c r="BD8" s="41" t="n"/>
    </row>
    <row r="9" customFormat="1" s="40">
      <c r="B9" s="40" t="inlineStr">
        <is>
          <t>% of Target</t>
        </is>
      </c>
      <c r="D9" s="8" t="inlineStr">
        <is>
          <t>%</t>
        </is>
      </c>
      <c r="E9" s="42">
        <f>IFERROR(E8/E11,"")</f>
        <v/>
      </c>
      <c r="F9" s="42">
        <f>IFERROR(F8/F11,"")</f>
        <v/>
      </c>
      <c r="G9" s="42">
        <f>IFERROR(G8/G11,"")</f>
        <v/>
      </c>
      <c r="H9" s="42">
        <f>IFERROR(H8/H11,"")</f>
        <v/>
      </c>
      <c r="I9" s="42">
        <f>IFERROR(I8/I11,"")</f>
        <v/>
      </c>
      <c r="J9" s="42">
        <f>IFERROR(J8/J11,"")</f>
        <v/>
      </c>
      <c r="K9" s="42">
        <f>IFERROR(K8/K11,"")</f>
        <v/>
      </c>
      <c r="L9" s="42">
        <f>IFERROR(L8/L11,"")</f>
        <v/>
      </c>
      <c r="M9" s="42">
        <f>IFERROR(M8/M11,"")</f>
        <v/>
      </c>
      <c r="N9" s="42">
        <f>IFERROR(N8/N11,"")</f>
        <v/>
      </c>
      <c r="O9" s="42">
        <f>IFERROR(O8/O11,"")</f>
        <v/>
      </c>
      <c r="P9" s="42">
        <f>IFERROR(P8/P11,"")</f>
        <v/>
      </c>
      <c r="Q9" s="42">
        <f>IFERROR(Q8/Q11,"")</f>
        <v/>
      </c>
      <c r="R9" s="42">
        <f>IFERROR(R8/R11,"")</f>
        <v/>
      </c>
      <c r="S9" s="42">
        <f>IFERROR(S8/S11,"")</f>
        <v/>
      </c>
      <c r="T9" s="42">
        <f>IFERROR(T8/T11,"")</f>
        <v/>
      </c>
      <c r="U9" s="42">
        <f>IFERROR(U8/U11,"")</f>
        <v/>
      </c>
      <c r="V9" s="42">
        <f>IFERROR(V8/V11,"")</f>
        <v/>
      </c>
      <c r="W9" s="42">
        <f>IFERROR(W8/W11,"")</f>
        <v/>
      </c>
      <c r="X9" s="42">
        <f>IFERROR(X8/X11,"")</f>
        <v/>
      </c>
      <c r="Y9" s="42">
        <f>IFERROR(Y8/Y11,"")</f>
        <v/>
      </c>
      <c r="Z9" s="42">
        <f>IFERROR(Z8/Z11,"")</f>
        <v/>
      </c>
      <c r="AA9" s="42">
        <f>IFERROR(AA8/AA11,"")</f>
        <v/>
      </c>
      <c r="AB9" s="42" t="n"/>
      <c r="AC9" s="42" t="n"/>
      <c r="AD9" s="42" t="n"/>
      <c r="AE9" s="42" t="n"/>
      <c r="AF9" s="42" t="n"/>
      <c r="AG9" s="42" t="n"/>
      <c r="AH9" s="42" t="n"/>
      <c r="AI9" s="42" t="n"/>
      <c r="AJ9" s="42" t="n"/>
      <c r="AK9" s="42" t="n"/>
      <c r="AL9" s="42" t="n"/>
      <c r="AM9" s="42" t="n"/>
      <c r="AN9" s="42" t="n"/>
      <c r="AO9" s="42" t="n"/>
      <c r="AP9" s="42" t="n"/>
      <c r="AQ9" s="42" t="n"/>
      <c r="AR9" s="42" t="n"/>
      <c r="AS9" s="42" t="n"/>
      <c r="AT9" s="42" t="n"/>
      <c r="AU9" s="42" t="n"/>
      <c r="AV9" s="42" t="n"/>
      <c r="AW9" s="42" t="n"/>
      <c r="AX9" s="42" t="n"/>
      <c r="AY9" s="42" t="n"/>
      <c r="AZ9" s="42" t="n"/>
      <c r="BA9" s="42" t="n"/>
      <c r="BB9" s="42" t="n"/>
      <c r="BC9" s="42" t="n"/>
      <c r="BD9" s="42" t="n"/>
    </row>
    <row r="10" ht="15.75" customFormat="1" customHeight="1" s="40">
      <c r="B10" s="40" t="inlineStr">
        <is>
          <t>% of Target - YTD</t>
        </is>
      </c>
      <c r="D10" s="8" t="inlineStr">
        <is>
          <t>%</t>
        </is>
      </c>
      <c r="E10" s="42">
        <f>IFERROR(SUM($E$8:E8)/SUM($E$11:E11),"")</f>
        <v/>
      </c>
      <c r="F10" s="42">
        <f>IFERROR(SUM($E$8:F8)/SUM($E$11:F11),"")</f>
        <v/>
      </c>
      <c r="G10" s="42">
        <f>IFERROR(SUM($E$8:G8)/SUM($E$11:G11),"")</f>
        <v/>
      </c>
      <c r="H10" s="42">
        <f>IFERROR(SUM($E$8:H8)/SUM($E$11:H11),"")</f>
        <v/>
      </c>
      <c r="I10" s="42">
        <f>IFERROR(SUM($E$8:I8)/SUM($E$11:I11),"")</f>
        <v/>
      </c>
      <c r="J10" s="42">
        <f>IFERROR(SUM($E$8:J8)/SUM($E$11:J11),"")</f>
        <v/>
      </c>
      <c r="K10" s="42">
        <f>IFERROR(SUM($E$8:K8)/SUM($E$11:K11),"")</f>
        <v/>
      </c>
      <c r="L10" s="42">
        <f>IFERROR(SUM($E$8:L8)/SUM($E$11:L11),"")</f>
        <v/>
      </c>
      <c r="M10" s="42">
        <f>IFERROR(SUM($E$8:M8)/SUM($E$11:M11),"")</f>
        <v/>
      </c>
      <c r="N10" s="42">
        <f>IFERROR(SUM($E$8:N8)/SUM($E$11:N11),"")</f>
        <v/>
      </c>
      <c r="O10" s="42">
        <f>IFERROR(SUM($E$8:O8)/SUM($E$11:O11),"")</f>
        <v/>
      </c>
      <c r="P10" s="42">
        <f>IFERROR(SUM($E$8:P8)/SUM($E$11:P11),"")</f>
        <v/>
      </c>
      <c r="Q10" s="42">
        <f>IFERROR(SUM($E$8:Q8)/SUM($E$11:Q11),"")</f>
        <v/>
      </c>
      <c r="R10" s="42">
        <f>IFERROR(SUM($E$8:R8)/SUM($E$11:R11),"")</f>
        <v/>
      </c>
      <c r="S10" s="42">
        <f>IFERROR(SUM($E$8:S8)/SUM($E$11:S11),"")</f>
        <v/>
      </c>
      <c r="T10" s="42">
        <f>IFERROR(SUM($E$8:T8)/SUM($E$11:T11),"")</f>
        <v/>
      </c>
      <c r="U10" s="42">
        <f>IFERROR(SUM($E$8:U8)/SUM($E$11:U11),"")</f>
        <v/>
      </c>
      <c r="V10" s="42">
        <f>IFERROR(SUM($E$8:V8)/SUM($E$11:V11),"")</f>
        <v/>
      </c>
      <c r="W10" s="42">
        <f>IFERROR(SUM($E$8:W8)/SUM($E$11:W11),"")</f>
        <v/>
      </c>
      <c r="X10" s="42">
        <f>IFERROR(SUM($E$8:X8)/SUM($E$11:X11),"")</f>
        <v/>
      </c>
      <c r="Y10" s="42">
        <f>IFERROR(SUM($E$8:Y8)/SUM($E$11:Y11),"")</f>
        <v/>
      </c>
      <c r="Z10" s="42">
        <f>IFERROR(SUM($E$8:Z8)/SUM($E$11:Z11),"")</f>
        <v/>
      </c>
      <c r="AA10" s="42">
        <f>IFERROR(SUM($E$8:AA8)/SUM($E$11:AA11),"")</f>
        <v/>
      </c>
      <c r="AB10" s="42" t="n"/>
      <c r="AC10" s="42" t="n"/>
      <c r="AD10" s="42" t="n"/>
      <c r="AE10" s="42" t="n"/>
      <c r="AF10" s="42" t="n"/>
      <c r="AG10" s="42" t="n"/>
      <c r="AH10" s="42" t="n"/>
      <c r="AI10" s="42" t="n"/>
      <c r="AJ10" s="42" t="n"/>
      <c r="AK10" s="42" t="n"/>
      <c r="AL10" s="42" t="n"/>
      <c r="AM10" s="42" t="n"/>
      <c r="AN10" s="42" t="n"/>
      <c r="AO10" s="42" t="n"/>
      <c r="AP10" s="42" t="n"/>
      <c r="AQ10" s="42" t="n"/>
      <c r="AR10" s="42" t="n"/>
      <c r="AS10" s="42" t="n"/>
      <c r="AT10" s="42" t="n"/>
      <c r="AU10" s="42" t="n"/>
      <c r="AV10" s="42" t="n"/>
      <c r="AW10" s="42" t="n"/>
      <c r="AX10" s="42" t="n"/>
      <c r="AY10" s="42" t="n"/>
      <c r="AZ10" s="42" t="n"/>
      <c r="BA10" s="42" t="n"/>
      <c r="BB10" s="42" t="n"/>
      <c r="BC10" s="42" t="n"/>
      <c r="BD10" s="42" t="n"/>
    </row>
    <row r="11" customFormat="1" s="9">
      <c r="B11" s="9" t="inlineStr">
        <is>
          <t>Target</t>
        </is>
      </c>
      <c r="D11" s="10" t="inlineStr">
        <is>
          <t>$k</t>
        </is>
      </c>
      <c r="E11" s="41">
        <f>E34+E86+E120+E154+E182</f>
        <v/>
      </c>
      <c r="F11" s="41">
        <f>F34+F86+F120+F154+F182</f>
        <v/>
      </c>
      <c r="G11" s="41">
        <f>G34+G86+G120+G154+G182</f>
        <v/>
      </c>
      <c r="H11" s="41">
        <f>H34+H86+H120+H154+H182</f>
        <v/>
      </c>
      <c r="I11" s="41">
        <f>I34+I86+I120+I154+I182</f>
        <v/>
      </c>
      <c r="J11" s="41">
        <f>J34+J86+J120+J154+J182</f>
        <v/>
      </c>
      <c r="K11" s="41">
        <f>K34+K86+K120+K154+K182</f>
        <v/>
      </c>
      <c r="L11" s="41">
        <f>L34+L86+L120+L154+L182</f>
        <v/>
      </c>
      <c r="M11" s="41">
        <f>M34+M86+M120+M154+M182</f>
        <v/>
      </c>
      <c r="N11" s="41">
        <f>N34+N86+N120+N154+N182</f>
        <v/>
      </c>
      <c r="O11" s="41">
        <f>O34+O86+O120+O154+O182</f>
        <v/>
      </c>
      <c r="P11" s="41">
        <f>P34+P86+P120+P154+P182</f>
        <v/>
      </c>
      <c r="Q11" s="41">
        <f>Q34+Q86+Q120+Q154+Q182</f>
        <v/>
      </c>
      <c r="R11" s="41">
        <f>R34+R86+R120+R154+R182</f>
        <v/>
      </c>
      <c r="S11" s="41">
        <f>S34+S86+S120+S154+S182</f>
        <v/>
      </c>
      <c r="T11" s="41">
        <f>T34+T86+T120+T154+T182</f>
        <v/>
      </c>
      <c r="U11" s="41">
        <f>U34+U86+U120+U154+U182</f>
        <v/>
      </c>
      <c r="V11" s="41">
        <f>V34+V86+V120+V154+V182</f>
        <v/>
      </c>
      <c r="W11" s="41">
        <f>W34+W86+W120+W154+W182</f>
        <v/>
      </c>
      <c r="X11" s="41">
        <f>X34+X86+X120+X154+X182</f>
        <v/>
      </c>
      <c r="Y11" s="41">
        <f>Y34+Y86+Y120+Y154+Y182</f>
        <v/>
      </c>
      <c r="Z11" s="41">
        <f>Z34+Z86+Z120+Z154+Z182</f>
        <v/>
      </c>
      <c r="AA11" s="41">
        <f>AA34+AA86+AA120+AA154+AA182</f>
        <v/>
      </c>
      <c r="AB11" s="41" t="n"/>
      <c r="AC11" s="41" t="n"/>
      <c r="AD11" s="41" t="n"/>
      <c r="AE11" s="41" t="n"/>
      <c r="AF11" s="41" t="n"/>
      <c r="AG11" s="41" t="n"/>
      <c r="AH11" s="41" t="n"/>
      <c r="AI11" s="41" t="n"/>
      <c r="AJ11" s="41" t="n"/>
      <c r="AK11" s="41" t="n"/>
      <c r="AL11" s="41" t="n"/>
      <c r="AM11" s="41" t="n"/>
      <c r="AN11" s="41" t="n"/>
      <c r="AO11" s="41" t="n"/>
      <c r="AP11" s="41" t="n"/>
      <c r="AQ11" s="41" t="n"/>
      <c r="AR11" s="41" t="n"/>
      <c r="AS11" s="41" t="n"/>
      <c r="AT11" s="41" t="n"/>
      <c r="AU11" s="41" t="n"/>
      <c r="AV11" s="41" t="n"/>
      <c r="AW11" s="41" t="n"/>
      <c r="AX11" s="41" t="n"/>
      <c r="AY11" s="41" t="n"/>
      <c r="AZ11" s="41" t="n"/>
      <c r="BA11" s="41" t="n"/>
      <c r="BB11" s="41" t="n"/>
      <c r="BC11" s="41" t="n"/>
      <c r="BD11" s="41" t="n"/>
    </row>
    <row r="12"/>
    <row r="13">
      <c r="A13" s="1" t="inlineStr">
        <is>
          <t xml:space="preserve">Sell-through units </t>
        </is>
      </c>
      <c r="D13" s="24" t="inlineStr">
        <is>
          <t>#</t>
        </is>
      </c>
      <c r="E13" s="41">
        <f>E36+E88+E122+E156+E184</f>
        <v/>
      </c>
      <c r="F13" s="41">
        <f>F36+F88+F122+F156+F184</f>
        <v/>
      </c>
      <c r="G13" s="41">
        <f>G36+G88+G122+G156+G184</f>
        <v/>
      </c>
      <c r="H13" s="41">
        <f>H36+H88+H122+H156+H184</f>
        <v/>
      </c>
      <c r="I13" s="41">
        <f>I36+I88+I122+I156+I184</f>
        <v/>
      </c>
      <c r="J13" s="41">
        <f>J36+J88+J122+J156+J184</f>
        <v/>
      </c>
      <c r="K13" s="41">
        <f>K36+K88+K122+K156+K184</f>
        <v/>
      </c>
      <c r="L13" s="41">
        <f>L36+L88+L122+L156+L184</f>
        <v/>
      </c>
      <c r="M13" s="41">
        <f>M36+M88+M122+M156+M184</f>
        <v/>
      </c>
      <c r="N13" s="41">
        <f>N36+N88+N122+N156+N184</f>
        <v/>
      </c>
      <c r="O13" s="41">
        <f>O36+O88+O122+O156+O184</f>
        <v/>
      </c>
      <c r="P13" s="41">
        <f>P36+P88+P122+P156+P184</f>
        <v/>
      </c>
      <c r="Q13" s="41">
        <f>Q36+Q88+Q122+Q156+Q184</f>
        <v/>
      </c>
      <c r="R13" s="41">
        <f>R36+R88+R122+R156+R184</f>
        <v/>
      </c>
      <c r="S13" s="41">
        <f>S36+S88+S122+S156+S184</f>
        <v/>
      </c>
      <c r="T13" s="41">
        <f>T36+T88+T122+T156+T184</f>
        <v/>
      </c>
      <c r="U13" s="41">
        <f>U36+U88+U122+U156+U184</f>
        <v/>
      </c>
      <c r="V13" s="41">
        <f>V36+V88+V122+V156+V184</f>
        <v/>
      </c>
      <c r="W13" s="41">
        <f>W36+W88+W122+W156+W184</f>
        <v/>
      </c>
      <c r="X13" s="41">
        <f>X36+X88+X122+X156+X184</f>
        <v/>
      </c>
      <c r="Y13" s="41">
        <f>Y36+Y88+Y122+Y156+Y184</f>
        <v/>
      </c>
      <c r="Z13" s="41">
        <f>Z36+Z88+Z122+Z156+Z184</f>
        <v/>
      </c>
      <c r="AA13" s="41">
        <f>AA36+AA88+AA122+AA156+AA184</f>
        <v/>
      </c>
      <c r="AB13" s="41" t="n"/>
      <c r="AC13" s="41" t="n"/>
      <c r="AD13" s="41" t="n"/>
      <c r="AE13" s="41" t="n"/>
      <c r="AF13" s="41" t="n"/>
      <c r="AG13" s="41" t="n"/>
      <c r="AH13" s="41" t="n"/>
      <c r="AI13" s="41" t="n"/>
      <c r="AJ13" s="41" t="n"/>
      <c r="AK13" s="41" t="n"/>
      <c r="AL13" s="41" t="n"/>
      <c r="AM13" s="41" t="n"/>
      <c r="AN13" s="41" t="n"/>
      <c r="AO13" s="41" t="n"/>
      <c r="AP13" s="41" t="n"/>
      <c r="AQ13" s="41" t="n"/>
      <c r="AR13" s="41" t="n"/>
      <c r="AS13" s="41" t="n"/>
      <c r="AT13" s="41" t="n"/>
      <c r="AU13" s="41" t="n"/>
      <c r="AV13" s="41" t="n"/>
      <c r="AW13" s="41" t="n"/>
      <c r="AX13" s="41" t="n"/>
      <c r="AY13" s="41" t="n"/>
      <c r="AZ13" s="41" t="n"/>
      <c r="BA13" s="41" t="n"/>
      <c r="BB13" s="41" t="n"/>
      <c r="BC13" s="41" t="n"/>
      <c r="BD13" s="41" t="n"/>
    </row>
    <row r="14" customFormat="1" s="16">
      <c r="A14" s="15" t="n"/>
      <c r="B14" s="16" t="inlineStr">
        <is>
          <t>% of Target</t>
        </is>
      </c>
      <c r="D14" s="17" t="inlineStr">
        <is>
          <t>%</t>
        </is>
      </c>
      <c r="E14" s="42">
        <f>IFERROR(E13/E16,"")</f>
        <v/>
      </c>
      <c r="F14" s="42">
        <f>IFERROR(F13/F16,"")</f>
        <v/>
      </c>
      <c r="G14" s="42">
        <f>IFERROR(G13/G16,"")</f>
        <v/>
      </c>
      <c r="H14" s="42">
        <f>IFERROR(H13/H16,"")</f>
        <v/>
      </c>
      <c r="I14" s="42">
        <f>IFERROR(I13/I16,"")</f>
        <v/>
      </c>
      <c r="J14" s="42">
        <f>IFERROR(J13/J16,"")</f>
        <v/>
      </c>
      <c r="K14" s="42">
        <f>IFERROR(K13/K16,"")</f>
        <v/>
      </c>
      <c r="L14" s="42">
        <f>IFERROR(L13/L16,"")</f>
        <v/>
      </c>
      <c r="M14" s="42">
        <f>IFERROR(M13/M16,"")</f>
        <v/>
      </c>
      <c r="N14" s="42">
        <f>IFERROR(N13/N16,"")</f>
        <v/>
      </c>
      <c r="O14" s="42">
        <f>IFERROR(O13/O16,"")</f>
        <v/>
      </c>
      <c r="P14" s="42">
        <f>IFERROR(P13/P16,"")</f>
        <v/>
      </c>
      <c r="Q14" s="42">
        <f>IFERROR(Q13/Q16,"")</f>
        <v/>
      </c>
      <c r="R14" s="42">
        <f>IFERROR(R13/R16,"")</f>
        <v/>
      </c>
      <c r="S14" s="42">
        <f>IFERROR(S13/S16,"")</f>
        <v/>
      </c>
      <c r="T14" s="42">
        <f>IFERROR(T13/T16,"")</f>
        <v/>
      </c>
      <c r="U14" s="42">
        <f>IFERROR(U13/U16,"")</f>
        <v/>
      </c>
      <c r="V14" s="42">
        <f>IFERROR(V13/V16,"")</f>
        <v/>
      </c>
      <c r="W14" s="42">
        <f>IFERROR(W13/W16,"")</f>
        <v/>
      </c>
      <c r="X14" s="42">
        <f>IFERROR(X13/X16,"")</f>
        <v/>
      </c>
      <c r="Y14" s="42">
        <f>IFERROR(Y13/Y16,"")</f>
        <v/>
      </c>
      <c r="Z14" s="42">
        <f>IFERROR(Z13/Z16,"")</f>
        <v/>
      </c>
      <c r="AA14" s="42">
        <f>IFERROR(AA13/AA16,"")</f>
        <v/>
      </c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42" t="n"/>
      <c r="AV14" s="42" t="n"/>
      <c r="AW14" s="42" t="n"/>
      <c r="AX14" s="42" t="n"/>
      <c r="AY14" s="42" t="n"/>
      <c r="AZ14" s="42" t="n"/>
      <c r="BA14" s="42" t="n"/>
      <c r="BB14" s="42" t="n"/>
      <c r="BC14" s="42" t="n"/>
      <c r="BD14" s="42" t="n"/>
    </row>
    <row r="15" ht="15.75" customFormat="1" customHeight="1" s="16">
      <c r="A15" s="15" t="n"/>
      <c r="B15" s="40" t="inlineStr">
        <is>
          <t>% of Target - YTD</t>
        </is>
      </c>
      <c r="D15" s="8" t="inlineStr">
        <is>
          <t>%</t>
        </is>
      </c>
      <c r="E15" s="42">
        <f>IFERROR(SUM($E$13:E13)/SUM($E$16:E16),"")</f>
        <v/>
      </c>
      <c r="F15" s="42">
        <f>IFERROR(SUM($E$13:F13)/SUM($E$16:F16),"")</f>
        <v/>
      </c>
      <c r="G15" s="42">
        <f>IFERROR(SUM($E$13:G13)/SUM($E$16:G16),"")</f>
        <v/>
      </c>
      <c r="H15" s="42">
        <f>IFERROR(SUM($E$13:H13)/SUM($E$16:H16),"")</f>
        <v/>
      </c>
      <c r="I15" s="42">
        <f>IFERROR(SUM($E$13:I13)/SUM($E$16:I16),"")</f>
        <v/>
      </c>
      <c r="J15" s="42">
        <f>IFERROR(SUM($E$13:J13)/SUM($E$16:J16),"")</f>
        <v/>
      </c>
      <c r="K15" s="42">
        <f>IFERROR(SUM($E$13:K13)/SUM($E$16:K16),"")</f>
        <v/>
      </c>
      <c r="L15" s="42">
        <f>IFERROR(SUM($E$13:L13)/SUM($E$16:L16),"")</f>
        <v/>
      </c>
      <c r="M15" s="42">
        <f>IFERROR(SUM($E$13:M13)/SUM($E$16:M16),"")</f>
        <v/>
      </c>
      <c r="N15" s="42">
        <f>IFERROR(SUM($E$13:N13)/SUM($E$16:N16),"")</f>
        <v/>
      </c>
      <c r="O15" s="42">
        <f>IFERROR(SUM($E$13:O13)/SUM($E$16:O16),"")</f>
        <v/>
      </c>
      <c r="P15" s="42">
        <f>IFERROR(SUM($E$13:P13)/SUM($E$16:P16),"")</f>
        <v/>
      </c>
      <c r="Q15" s="42">
        <f>IFERROR(SUM($E$13:Q13)/SUM($E$16:Q16),"")</f>
        <v/>
      </c>
      <c r="R15" s="42">
        <f>IFERROR(SUM($E$13:R13)/SUM($E$16:R16),"")</f>
        <v/>
      </c>
      <c r="S15" s="42">
        <f>IFERROR(SUM($E$13:S13)/SUM($E$16:S16),"")</f>
        <v/>
      </c>
      <c r="T15" s="42">
        <f>IFERROR(SUM($E$13:T13)/SUM($E$16:T16),"")</f>
        <v/>
      </c>
      <c r="U15" s="42">
        <f>IFERROR(SUM($E$13:U13)/SUM($E$16:U16),"")</f>
        <v/>
      </c>
      <c r="V15" s="42">
        <f>IFERROR(SUM($E$13:V13)/SUM($E$16:V16),"")</f>
        <v/>
      </c>
      <c r="W15" s="42">
        <f>IFERROR(SUM($E$13:W13)/SUM($E$16:W16),"")</f>
        <v/>
      </c>
      <c r="X15" s="42">
        <f>IFERROR(SUM($E$13:X13)/SUM($E$16:X16),"")</f>
        <v/>
      </c>
      <c r="Y15" s="42">
        <f>IFERROR(SUM($E$13:Y13)/SUM($E$16:Y16),"")</f>
        <v/>
      </c>
      <c r="Z15" s="42">
        <f>IFERROR(SUM($E$13:Z13)/SUM($E$16:Z16),"")</f>
        <v/>
      </c>
      <c r="AA15" s="42">
        <f>IFERROR(SUM($E$13:AA13)/SUM($E$16:AA16),"")</f>
        <v/>
      </c>
      <c r="AB15" s="42" t="n"/>
      <c r="AC15" s="42" t="n"/>
      <c r="AD15" s="42" t="n"/>
      <c r="AE15" s="42" t="n"/>
      <c r="AF15" s="42" t="n"/>
      <c r="AG15" s="42" t="n"/>
      <c r="AH15" s="42" t="n"/>
      <c r="AI15" s="42" t="n"/>
      <c r="AJ15" s="42" t="n"/>
      <c r="AK15" s="42" t="n"/>
      <c r="AL15" s="42" t="n"/>
      <c r="AM15" s="42" t="n"/>
      <c r="AN15" s="42" t="n"/>
      <c r="AO15" s="42" t="n"/>
      <c r="AP15" s="42" t="n"/>
      <c r="AQ15" s="42" t="n"/>
      <c r="AR15" s="42" t="n"/>
      <c r="AS15" s="42" t="n"/>
      <c r="AT15" s="42" t="n"/>
      <c r="AU15" s="42" t="n"/>
      <c r="AV15" s="42" t="n"/>
      <c r="AW15" s="42" t="n"/>
      <c r="AX15" s="42" t="n"/>
      <c r="AY15" s="42" t="n"/>
      <c r="AZ15" s="42" t="n"/>
      <c r="BA15" s="42" t="n"/>
      <c r="BB15" s="42" t="n"/>
      <c r="BC15" s="42" t="n"/>
      <c r="BD15" s="42" t="n"/>
    </row>
    <row r="16" customFormat="1" s="13">
      <c r="A16" s="12" t="n"/>
      <c r="B16" s="13" t="inlineStr">
        <is>
          <t>Target</t>
        </is>
      </c>
      <c r="D16" s="14" t="inlineStr">
        <is>
          <t>#</t>
        </is>
      </c>
      <c r="E16" s="41">
        <f>E40+E92+E126+E160+E188</f>
        <v/>
      </c>
      <c r="F16" s="41">
        <f>F40+F92+F126+F160+F188</f>
        <v/>
      </c>
      <c r="G16" s="41">
        <f>G40+G92+G126+G160+G188</f>
        <v/>
      </c>
      <c r="H16" s="41">
        <f>H40+H92+H126+H160+H188</f>
        <v/>
      </c>
      <c r="I16" s="41">
        <f>I40+I92+I126+I160+I188</f>
        <v/>
      </c>
      <c r="J16" s="41">
        <f>J40+J92+J126+J160+J188</f>
        <v/>
      </c>
      <c r="K16" s="41">
        <f>K40+K92+K126+K160+K188</f>
        <v/>
      </c>
      <c r="L16" s="41">
        <f>L40+L92+L126+L160+L188</f>
        <v/>
      </c>
      <c r="M16" s="41">
        <f>M40+M92+M126+M160+M188</f>
        <v/>
      </c>
      <c r="N16" s="41">
        <f>N40+N92+N126+N160+N188</f>
        <v/>
      </c>
      <c r="O16" s="41">
        <f>O40+O92+O126+O160+O188</f>
        <v/>
      </c>
      <c r="P16" s="41">
        <f>P40+P92+P126+P160+P188</f>
        <v/>
      </c>
      <c r="Q16" s="41">
        <f>Q40+Q92+Q126+Q160+Q188</f>
        <v/>
      </c>
      <c r="R16" s="41">
        <f>R40+R92+R126+R160+R188</f>
        <v/>
      </c>
      <c r="S16" s="41">
        <f>S40+S92+S126+S160+S188</f>
        <v/>
      </c>
      <c r="T16" s="41">
        <f>T40+T92+T126+T160+T188</f>
        <v/>
      </c>
      <c r="U16" s="41">
        <f>U40+U92+U126+U160+U188</f>
        <v/>
      </c>
      <c r="V16" s="41">
        <f>V40+V92+V126+V160+V188</f>
        <v/>
      </c>
      <c r="W16" s="41">
        <f>W40+W92+W126+W160+W188</f>
        <v/>
      </c>
      <c r="X16" s="41">
        <f>X40+X92+X126+X160+X188</f>
        <v/>
      </c>
      <c r="Y16" s="41">
        <f>Y40+Y92+Y126+Y160+Y188</f>
        <v/>
      </c>
      <c r="Z16" s="41">
        <f>Z40+Z92+Z126+Z160+Z188</f>
        <v/>
      </c>
      <c r="AA16" s="41">
        <f>AA40+AA92+AA126+AA160+AA188</f>
        <v/>
      </c>
      <c r="AB16" s="41" t="n"/>
      <c r="AC16" s="41" t="n"/>
      <c r="AD16" s="41" t="n"/>
      <c r="AE16" s="41" t="n"/>
      <c r="AF16" s="41" t="n"/>
      <c r="AG16" s="41" t="n"/>
      <c r="AH16" s="41" t="n"/>
      <c r="AI16" s="41" t="n"/>
      <c r="AJ16" s="41" t="n"/>
      <c r="AK16" s="41" t="n"/>
      <c r="AL16" s="41" t="n"/>
      <c r="AM16" s="41" t="n"/>
      <c r="AN16" s="41" t="n"/>
      <c r="AO16" s="41" t="n"/>
      <c r="AP16" s="41" t="n"/>
      <c r="AQ16" s="41" t="n"/>
      <c r="AR16" s="41" t="n"/>
      <c r="AS16" s="41" t="n"/>
      <c r="AT16" s="41" t="n"/>
      <c r="AU16" s="41" t="n"/>
      <c r="AV16" s="41" t="n"/>
      <c r="AW16" s="41" t="n"/>
      <c r="AX16" s="41" t="n"/>
      <c r="AY16" s="41" t="n"/>
      <c r="AZ16" s="41" t="n"/>
      <c r="BA16" s="41" t="n"/>
      <c r="BB16" s="41" t="n"/>
      <c r="BC16" s="41" t="n"/>
      <c r="BD16" s="41" t="n"/>
    </row>
    <row r="17">
      <c r="C17" s="11" t="inlineStr">
        <is>
          <t xml:space="preserve">Cam </t>
        </is>
      </c>
      <c r="D17" s="6" t="inlineStr">
        <is>
          <t>#</t>
        </is>
      </c>
      <c r="E17" s="41">
        <f>E41+E93+E127+E161+E189</f>
        <v/>
      </c>
      <c r="F17" s="41">
        <f>F41+F93+F127+F161+F189</f>
        <v/>
      </c>
      <c r="G17" s="41">
        <f>G41+G93+G127+G161+G189</f>
        <v/>
      </c>
      <c r="H17" s="41">
        <f>H41+H93+H127+H161+H189</f>
        <v/>
      </c>
      <c r="I17" s="41">
        <f>I41+I93+I127+I161+I189</f>
        <v/>
      </c>
      <c r="J17" s="41">
        <f>J41+J93+J127+J161+J189</f>
        <v/>
      </c>
      <c r="K17" s="41">
        <f>K41+K93+K127+K161+K189</f>
        <v/>
      </c>
      <c r="L17" s="41">
        <f>L41+L93+L127+L161+L189</f>
        <v/>
      </c>
      <c r="M17" s="41">
        <f>M41+M93+M127+M161+M189</f>
        <v/>
      </c>
      <c r="N17" s="41">
        <f>N41+N93+N127+N161+N189</f>
        <v/>
      </c>
      <c r="O17" s="41">
        <f>O41+O93+O127+O161+O189</f>
        <v/>
      </c>
      <c r="P17" s="41">
        <f>P41+P93+P127+P161+P189</f>
        <v/>
      </c>
      <c r="Q17" s="41">
        <f>Q41+Q93+Q127+Q161+Q189</f>
        <v/>
      </c>
      <c r="R17" s="41">
        <f>R41+R93+R127+R161+R189</f>
        <v/>
      </c>
      <c r="S17" s="41">
        <f>S41+S93+S127+S161+S189</f>
        <v/>
      </c>
      <c r="T17" s="41">
        <f>T41+T93+T127+T161+T189</f>
        <v/>
      </c>
      <c r="U17" s="41">
        <f>U41+U93+U127+U161+U189</f>
        <v/>
      </c>
      <c r="V17" s="41">
        <f>V41+V93+V127+V161+V189</f>
        <v/>
      </c>
      <c r="W17" s="41">
        <f>W41+W93+W127+W161+W189</f>
        <v/>
      </c>
      <c r="X17" s="41">
        <f>X41+X93+X127+X161+X189</f>
        <v/>
      </c>
      <c r="Y17" s="41">
        <f>Y41+Y93+Y127+Y161+Y189</f>
        <v/>
      </c>
      <c r="Z17" s="41">
        <f>Z41+Z93+Z127+Z161+Z189</f>
        <v/>
      </c>
      <c r="AA17" s="41">
        <f>AA41+AA93+AA127+AA161+AA189</f>
        <v/>
      </c>
      <c r="AB17" s="41" t="n"/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1" t="n"/>
      <c r="AL17" s="41" t="n"/>
      <c r="AM17" s="41" t="n"/>
      <c r="AN17" s="41" t="n"/>
      <c r="AO17" s="41" t="n"/>
      <c r="AP17" s="41" t="n"/>
      <c r="AQ17" s="41" t="n"/>
      <c r="AR17" s="41" t="n"/>
      <c r="AS17" s="41" t="n"/>
      <c r="AT17" s="41" t="n"/>
      <c r="AU17" s="41" t="n"/>
      <c r="AV17" s="41" t="n"/>
      <c r="AW17" s="41" t="n"/>
      <c r="AX17" s="41" t="n"/>
      <c r="AY17" s="41" t="n"/>
      <c r="AZ17" s="41" t="n"/>
      <c r="BA17" s="41" t="n"/>
      <c r="BB17" s="41" t="n"/>
      <c r="BC17" s="41" t="n"/>
      <c r="BD17" s="41" t="n"/>
    </row>
    <row r="18">
      <c r="C18" s="11" t="inlineStr">
        <is>
          <t>Non Cam</t>
        </is>
      </c>
      <c r="D18" s="6" t="inlineStr">
        <is>
          <t>#</t>
        </is>
      </c>
      <c r="E18" s="41">
        <f>E42+E94+E128+E162+E190</f>
        <v/>
      </c>
      <c r="F18" s="41">
        <f>F42+F94+F128+F162+F190</f>
        <v/>
      </c>
      <c r="G18" s="41">
        <f>G42+G94+G128+G162+G190</f>
        <v/>
      </c>
      <c r="H18" s="41">
        <f>H42+H94+H128+H162+H190</f>
        <v/>
      </c>
      <c r="I18" s="41">
        <f>I42+I94+I128+I162+I190</f>
        <v/>
      </c>
      <c r="J18" s="41">
        <f>J42+J94+J128+J162+J190</f>
        <v/>
      </c>
      <c r="K18" s="41">
        <f>K42+K94+K128+K162+K190</f>
        <v/>
      </c>
      <c r="L18" s="41">
        <f>L42+L94+L128+L162+L190</f>
        <v/>
      </c>
      <c r="M18" s="41">
        <f>M42+M94+M128+M162+M190</f>
        <v/>
      </c>
      <c r="N18" s="41">
        <f>N42+N94+N128+N162+N190</f>
        <v/>
      </c>
      <c r="O18" s="41">
        <f>O42+O94+O128+O162+O190</f>
        <v/>
      </c>
      <c r="P18" s="41">
        <f>P42+P94+P128+P162+P190</f>
        <v/>
      </c>
      <c r="Q18" s="41">
        <f>Q42+Q94+Q128+Q162+Q190</f>
        <v/>
      </c>
      <c r="R18" s="41">
        <f>R42+R94+R128+R162+R190</f>
        <v/>
      </c>
      <c r="S18" s="41">
        <f>S42+S94+S128+S162+S190</f>
        <v/>
      </c>
      <c r="T18" s="41">
        <f>T42+T94+T128+T162+T190</f>
        <v/>
      </c>
      <c r="U18" s="41">
        <f>U42+U94+U128+U162+U190</f>
        <v/>
      </c>
      <c r="V18" s="41">
        <f>V42+V94+V128+V162+V190</f>
        <v/>
      </c>
      <c r="W18" s="41">
        <f>W42+W94+W128+W162+W190</f>
        <v/>
      </c>
      <c r="X18" s="41">
        <f>X42+X94+X128+X162+X190</f>
        <v/>
      </c>
      <c r="Y18" s="41">
        <f>Y42+Y94+Y128+Y162+Y190</f>
        <v/>
      </c>
      <c r="Z18" s="41">
        <f>Z42+Z94+Z128+Z162+Z190</f>
        <v/>
      </c>
      <c r="AA18" s="41">
        <f>AA42+AA94+AA128+AA162+AA190</f>
        <v/>
      </c>
      <c r="AB18" s="41" t="n"/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1" t="n"/>
      <c r="AL18" s="41" t="n"/>
      <c r="AM18" s="41" t="n"/>
      <c r="AN18" s="41" t="n"/>
      <c r="AO18" s="41" t="n"/>
      <c r="AP18" s="41" t="n"/>
      <c r="AQ18" s="41" t="n"/>
      <c r="AR18" s="41" t="n"/>
      <c r="AS18" s="41" t="n"/>
      <c r="AT18" s="41" t="n"/>
      <c r="AU18" s="41" t="n"/>
      <c r="AV18" s="41" t="n"/>
      <c r="AW18" s="41" t="n"/>
      <c r="AX18" s="41" t="n"/>
      <c r="AY18" s="41" t="n"/>
      <c r="AZ18" s="41" t="n"/>
      <c r="BA18" s="41" t="n"/>
      <c r="BB18" s="41" t="n"/>
      <c r="BC18" s="41" t="n"/>
      <c r="BD18" s="41" t="n"/>
    </row>
    <row r="19">
      <c r="C19" s="6" t="n"/>
    </row>
    <row r="20">
      <c r="A20" s="1" t="inlineStr">
        <is>
          <t>New Customers</t>
        </is>
      </c>
      <c r="C20" s="6" t="n"/>
      <c r="D20" s="24" t="inlineStr">
        <is>
          <t># ppl</t>
        </is>
      </c>
      <c r="E20" s="41" t="n">
        <v>31336</v>
      </c>
      <c r="F20" s="41" t="n">
        <v>29131</v>
      </c>
      <c r="G20" s="41" t="n">
        <v>26783</v>
      </c>
      <c r="H20" s="41" t="n">
        <v>24488</v>
      </c>
      <c r="I20" s="41" t="n">
        <v>22194</v>
      </c>
      <c r="J20" s="41" t="n">
        <v>23450</v>
      </c>
      <c r="K20" s="41" t="n">
        <v>23505</v>
      </c>
      <c r="L20" s="41" t="n">
        <v>25285</v>
      </c>
      <c r="M20" s="41" t="n">
        <v>25856</v>
      </c>
      <c r="N20" s="41" t="n">
        <v>26676</v>
      </c>
      <c r="O20" s="41" t="n">
        <v>25687</v>
      </c>
      <c r="P20" s="41" t="n">
        <v>24255</v>
      </c>
      <c r="Q20" s="41" t="n">
        <v>25681</v>
      </c>
      <c r="R20" s="41" t="n">
        <v>26232</v>
      </c>
      <c r="S20" s="41" t="n">
        <v>25490</v>
      </c>
      <c r="T20" s="41" t="n">
        <v>25894</v>
      </c>
      <c r="U20" s="41" t="n">
        <v>24841</v>
      </c>
      <c r="V20" s="41" t="n">
        <v>24280</v>
      </c>
      <c r="W20" s="41" t="n">
        <v>23926</v>
      </c>
      <c r="X20" s="41" t="n">
        <v>23430</v>
      </c>
      <c r="Y20" s="41" t="n">
        <v>24071</v>
      </c>
      <c r="Z20" s="41" t="n">
        <v>25195</v>
      </c>
      <c r="AA20" s="41" t="n">
        <v>25695</v>
      </c>
      <c r="AB20" s="41" t="n"/>
      <c r="AC20" s="41" t="n"/>
      <c r="AD20" s="41" t="n"/>
      <c r="AE20" s="41" t="n"/>
      <c r="AF20" s="41" t="n"/>
      <c r="AG20" s="41" t="n"/>
      <c r="AH20" s="41" t="n"/>
      <c r="AI20" s="41" t="n"/>
      <c r="AJ20" s="41" t="n"/>
      <c r="AK20" s="41" t="n"/>
      <c r="AL20" s="41" t="n"/>
      <c r="AM20" s="41" t="n"/>
      <c r="AN20" s="41" t="n"/>
      <c r="AO20" s="41" t="n"/>
      <c r="AP20" s="41" t="n"/>
      <c r="AQ20" s="41" t="n"/>
      <c r="AR20" s="41" t="n"/>
      <c r="AS20" s="41" t="n"/>
      <c r="AT20" s="41" t="n"/>
      <c r="AU20" s="41" t="n"/>
      <c r="AV20" s="41" t="n"/>
      <c r="AW20" s="41" t="n"/>
      <c r="AX20" s="41" t="n"/>
      <c r="AY20" s="41" t="n"/>
      <c r="AZ20" s="41" t="n"/>
      <c r="BA20" s="41" t="n"/>
      <c r="BB20" s="41" t="n"/>
      <c r="BC20" s="41" t="n"/>
      <c r="BD20" s="41" t="n"/>
    </row>
    <row r="21">
      <c r="A21" s="1" t="n"/>
      <c r="B21" t="inlineStr">
        <is>
          <t>As % of all units</t>
        </is>
      </c>
      <c r="C21" s="6" t="n"/>
      <c r="D21" s="6" t="inlineStr">
        <is>
          <t>%</t>
        </is>
      </c>
      <c r="E21" s="42">
        <f>IFERROR(E20/E13,"")</f>
        <v/>
      </c>
      <c r="F21" s="42">
        <f>IFERROR(F20/F13,"")</f>
        <v/>
      </c>
      <c r="G21" s="42">
        <f>IFERROR(G20/G13,"")</f>
        <v/>
      </c>
      <c r="H21" s="42">
        <f>IFERROR(H20/H13,"")</f>
        <v/>
      </c>
      <c r="I21" s="42">
        <f>IFERROR(I20/I13,"")</f>
        <v/>
      </c>
      <c r="J21" s="42">
        <f>IFERROR(J20/J13,"")</f>
        <v/>
      </c>
      <c r="K21" s="42">
        <f>IFERROR(K20/K13,"")</f>
        <v/>
      </c>
      <c r="L21" s="42">
        <f>IFERROR(L20/L13,"")</f>
        <v/>
      </c>
      <c r="M21" s="42">
        <f>IFERROR(M20/M13,"")</f>
        <v/>
      </c>
      <c r="N21" s="42">
        <f>IFERROR(N20/N13,"")</f>
        <v/>
      </c>
      <c r="O21" s="42">
        <f>IFERROR(O20/O13,"")</f>
        <v/>
      </c>
      <c r="P21" s="42">
        <f>IFERROR(P20/P13,"")</f>
        <v/>
      </c>
      <c r="Q21" s="42">
        <f>IFERROR(Q20/Q13,"")</f>
        <v/>
      </c>
      <c r="R21" s="42">
        <f>IFERROR(R20/R13,"")</f>
        <v/>
      </c>
      <c r="S21" s="42">
        <f>IFERROR(S20/S13,"")</f>
        <v/>
      </c>
      <c r="T21" s="42">
        <f>IFERROR(T20/T13,"")</f>
        <v/>
      </c>
      <c r="U21" s="42">
        <f>IFERROR(U20/U13,"")</f>
        <v/>
      </c>
      <c r="V21" s="42">
        <f>IFERROR(V20/V13,"")</f>
        <v/>
      </c>
      <c r="W21" s="42">
        <f>IFERROR(W20/W13,"")</f>
        <v/>
      </c>
      <c r="X21" s="42">
        <f>IFERROR(X20/X13,"")</f>
        <v/>
      </c>
      <c r="Y21" s="42">
        <f>IFERROR(Y20/Y13,"")</f>
        <v/>
      </c>
      <c r="Z21" s="42">
        <f>IFERROR(Z20/Z13,"")</f>
        <v/>
      </c>
      <c r="AA21" s="42">
        <f>IFERROR(AA20/AA13,"")</f>
        <v/>
      </c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2" t="n"/>
      <c r="AO21" s="42" t="n"/>
      <c r="AP21" s="42" t="n"/>
      <c r="AQ21" s="42" t="n"/>
      <c r="AR21" s="42" t="n"/>
      <c r="AS21" s="42" t="n"/>
      <c r="AT21" s="42" t="n"/>
      <c r="AU21" s="42" t="n"/>
      <c r="AV21" s="42" t="n"/>
      <c r="AW21" s="42" t="n"/>
      <c r="AX21" s="42" t="n"/>
      <c r="AY21" s="42" t="n"/>
      <c r="AZ21" s="42" t="n"/>
      <c r="BA21" s="42" t="n"/>
      <c r="BB21" s="42" t="n"/>
      <c r="BC21" s="42" t="n"/>
      <c r="BD21" s="42" t="n"/>
    </row>
    <row r="22">
      <c r="B22" s="40" t="inlineStr">
        <is>
          <t>% of Target</t>
        </is>
      </c>
      <c r="C22" s="6" t="n"/>
      <c r="D22" s="17" t="inlineStr">
        <is>
          <t>%</t>
        </is>
      </c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42" t="n"/>
      <c r="AM22" s="42" t="n"/>
      <c r="AN22" s="42" t="n"/>
      <c r="AO22" s="42" t="n"/>
      <c r="AP22" s="42" t="n"/>
      <c r="AQ22" s="42" t="n"/>
      <c r="AR22" s="42" t="n"/>
      <c r="AS22" s="42" t="n"/>
      <c r="AT22" s="42" t="n"/>
      <c r="AU22" s="42" t="n"/>
      <c r="AV22" s="42" t="n"/>
      <c r="AW22" s="42" t="n"/>
      <c r="AX22" s="42" t="n"/>
      <c r="AY22" s="42" t="n"/>
      <c r="AZ22" s="42" t="n"/>
      <c r="BA22" s="42" t="n"/>
      <c r="BB22" s="42" t="n"/>
      <c r="BC22" s="42" t="n"/>
      <c r="BD22" s="42" t="n"/>
    </row>
    <row r="23" ht="15.75" customHeight="1">
      <c r="B23" s="40" t="inlineStr">
        <is>
          <t>% of Target - YTD</t>
        </is>
      </c>
      <c r="C23" s="6" t="n"/>
      <c r="D23" s="17" t="inlineStr">
        <is>
          <t>%</t>
        </is>
      </c>
      <c r="E23" s="42">
        <f>IFERROR(SUM($E$20:E20)/SUM($E$24:E24),"")</f>
        <v/>
      </c>
      <c r="F23" s="42">
        <f>IFERROR(SUM($E$20:F20)/SUM($E$24:F24),"")</f>
        <v/>
      </c>
      <c r="G23" s="42">
        <f>IFERROR(SUM($E$20:G20)/SUM($E$24:G24),"")</f>
        <v/>
      </c>
      <c r="H23" s="42">
        <f>IFERROR(SUM($E$20:H20)/SUM($E$24:H24),"")</f>
        <v/>
      </c>
      <c r="I23" s="42">
        <f>IFERROR(SUM($E$20:I20)/SUM($E$24:I24),"")</f>
        <v/>
      </c>
      <c r="J23" s="42">
        <f>IFERROR(SUM($E$20:J20)/SUM($E$24:J24),"")</f>
        <v/>
      </c>
      <c r="K23" s="42">
        <f>IFERROR(SUM($E$20:K20)/SUM($E$24:K24),"")</f>
        <v/>
      </c>
      <c r="L23" s="42">
        <f>IFERROR(SUM($E$20:L20)/SUM($E$24:L24),"")</f>
        <v/>
      </c>
      <c r="M23" s="42">
        <f>IFERROR(SUM($E$20:M20)/SUM($E$24:M24),"")</f>
        <v/>
      </c>
      <c r="N23" s="42">
        <f>IFERROR(SUM($E$20:N20)/SUM($E$24:N24),"")</f>
        <v/>
      </c>
      <c r="O23" s="42">
        <f>IFERROR(SUM($E$20:O20)/SUM($E$24:O24),"")</f>
        <v/>
      </c>
      <c r="P23" s="42">
        <f>IFERROR(SUM($E$20:P20)/SUM($E$24:P24),"")</f>
        <v/>
      </c>
      <c r="Q23" s="42">
        <f>IFERROR(SUM($E$20:Q20)/SUM($E$24:Q24),"")</f>
        <v/>
      </c>
      <c r="R23" s="42">
        <f>IFERROR(SUM($E$20:R20)/SUM($E$24:R24),"")</f>
        <v/>
      </c>
      <c r="S23" s="42">
        <f>IFERROR(SUM($E$20:S20)/SUM($E$24:S24),"")</f>
        <v/>
      </c>
      <c r="T23" s="42">
        <f>IFERROR(SUM($E$20:T20)/SUM($E$24:T24),"")</f>
        <v/>
      </c>
      <c r="U23" s="42">
        <f>IFERROR(SUM($E$20:U20)/SUM($E$24:U24),"")</f>
        <v/>
      </c>
      <c r="V23" s="42">
        <f>IFERROR(SUM($E$20:V20)/SUM($E$24:V24),"")</f>
        <v/>
      </c>
      <c r="W23" s="42">
        <f>IFERROR(SUM($E$20:W20)/SUM($E$24:W24),"")</f>
        <v/>
      </c>
      <c r="X23" s="42">
        <f>IFERROR(SUM($E$20:X20)/SUM($E$24:X24),"")</f>
        <v/>
      </c>
      <c r="Y23" s="42">
        <f>IFERROR(SUM($E$20:Y20)/SUM($E$24:Y24),"")</f>
        <v/>
      </c>
      <c r="Z23" s="42">
        <f>IFERROR(SUM($E$20:Z20)/SUM($E$24:Z24),"")</f>
        <v/>
      </c>
      <c r="AA23" s="42">
        <f>IFERROR(SUM($E$20:AA20)/SUM($E$24:AA24),"")</f>
        <v/>
      </c>
      <c r="AB23" s="42" t="n"/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2" t="n"/>
      <c r="AO23" s="42" t="n"/>
      <c r="AP23" s="42" t="n"/>
      <c r="AQ23" s="42" t="n"/>
      <c r="AR23" s="42" t="n"/>
      <c r="AS23" s="42" t="n"/>
      <c r="AT23" s="42" t="n"/>
      <c r="AU23" s="42" t="n"/>
      <c r="AV23" s="42" t="n"/>
      <c r="AW23" s="42" t="n"/>
      <c r="AX23" s="42" t="n"/>
      <c r="AY23" s="42" t="n"/>
      <c r="AZ23" s="42" t="n"/>
      <c r="BA23" s="42" t="n"/>
      <c r="BB23" s="42" t="n"/>
      <c r="BC23" s="42" t="n"/>
      <c r="BD23" s="42" t="n"/>
    </row>
    <row r="24">
      <c r="B24" s="9" t="inlineStr">
        <is>
          <t>Target</t>
        </is>
      </c>
      <c r="C24" s="6" t="n"/>
      <c r="D24" s="14" t="inlineStr">
        <is>
          <t>#</t>
        </is>
      </c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1" t="n"/>
      <c r="AH24" s="41" t="n"/>
      <c r="AI24" s="41" t="n"/>
      <c r="AJ24" s="41" t="n"/>
      <c r="AK24" s="41" t="n"/>
      <c r="AL24" s="41" t="n"/>
      <c r="AM24" s="41" t="n"/>
      <c r="AN24" s="41" t="n"/>
      <c r="AO24" s="41" t="n"/>
      <c r="AP24" s="41" t="n"/>
      <c r="AQ24" s="41" t="n"/>
      <c r="AR24" s="41" t="n"/>
      <c r="AS24" s="41" t="n"/>
      <c r="AT24" s="41" t="n"/>
      <c r="AU24" s="41" t="n"/>
      <c r="AV24" s="41" t="n"/>
      <c r="AW24" s="41" t="n"/>
      <c r="AX24" s="41" t="n"/>
      <c r="AY24" s="41" t="n"/>
      <c r="AZ24" s="41" t="n"/>
      <c r="BA24" s="41" t="n"/>
      <c r="BB24" s="41" t="n"/>
      <c r="BC24" s="41" t="n"/>
      <c r="BD24" s="41" t="n"/>
    </row>
    <row r="25">
      <c r="C25" s="11" t="inlineStr">
        <is>
          <t xml:space="preserve">Cam </t>
        </is>
      </c>
      <c r="D25" s="6" t="inlineStr">
        <is>
          <t>#</t>
        </is>
      </c>
      <c r="E25" s="41" t="n">
        <v>24004</v>
      </c>
      <c r="F25" s="41" t="n">
        <v>21976</v>
      </c>
      <c r="G25" s="41" t="n">
        <v>20994</v>
      </c>
      <c r="H25" s="41" t="n">
        <v>19158</v>
      </c>
      <c r="I25" s="41" t="n">
        <v>17586</v>
      </c>
      <c r="J25" s="41" t="n">
        <v>18671</v>
      </c>
      <c r="K25" s="41" t="n">
        <v>18864</v>
      </c>
      <c r="L25" s="41" t="n">
        <v>20529</v>
      </c>
      <c r="M25" s="41" t="n">
        <v>21257</v>
      </c>
      <c r="N25" s="41" t="n">
        <v>22144</v>
      </c>
      <c r="O25" s="41" t="n">
        <v>21253</v>
      </c>
      <c r="P25" s="41" t="n">
        <v>20093</v>
      </c>
      <c r="Q25" s="41" t="n">
        <v>21363</v>
      </c>
      <c r="R25" s="41" t="n">
        <v>21828</v>
      </c>
      <c r="S25" s="41" t="n">
        <v>21280</v>
      </c>
      <c r="T25" s="41" t="n">
        <v>21742</v>
      </c>
      <c r="U25" s="41" t="n">
        <v>20856</v>
      </c>
      <c r="V25" s="41" t="n">
        <v>20008</v>
      </c>
      <c r="W25" s="41" t="n">
        <v>19812</v>
      </c>
      <c r="X25" s="41" t="n">
        <v>19680</v>
      </c>
      <c r="Y25" s="41" t="n">
        <v>20278</v>
      </c>
      <c r="Z25" s="41" t="n">
        <v>20920</v>
      </c>
      <c r="AA25" s="41" t="n">
        <v>21456</v>
      </c>
      <c r="AB25" s="41" t="n"/>
      <c r="AC25" s="41" t="n"/>
      <c r="AD25" s="41" t="n"/>
      <c r="AE25" s="41" t="n"/>
      <c r="AF25" s="41" t="n"/>
      <c r="AG25" s="41" t="n"/>
      <c r="AH25" s="41" t="n"/>
      <c r="AI25" s="41" t="n"/>
      <c r="AJ25" s="41" t="n"/>
      <c r="AK25" s="41" t="n"/>
      <c r="AL25" s="41" t="n"/>
      <c r="AM25" s="41" t="n"/>
      <c r="AN25" s="41" t="n"/>
      <c r="AO25" s="41" t="n"/>
      <c r="AP25" s="41" t="n"/>
      <c r="AQ25" s="41" t="n"/>
      <c r="AR25" s="41" t="n"/>
      <c r="AS25" s="41" t="n"/>
      <c r="AT25" s="41" t="n"/>
      <c r="AU25" s="41" t="n"/>
      <c r="AV25" s="41" t="n"/>
      <c r="AW25" s="41" t="n"/>
      <c r="AX25" s="41" t="n"/>
      <c r="AY25" s="41" t="n"/>
      <c r="AZ25" s="41" t="n"/>
      <c r="BA25" s="41" t="n"/>
      <c r="BB25" s="41" t="n"/>
      <c r="BC25" s="41" t="n"/>
      <c r="BD25" s="41" t="n"/>
    </row>
    <row r="26">
      <c r="C26" s="11" t="inlineStr">
        <is>
          <t>Non Cam</t>
        </is>
      </c>
      <c r="D26" s="6" t="inlineStr">
        <is>
          <t>#</t>
        </is>
      </c>
      <c r="E26" s="41" t="n">
        <v>7332</v>
      </c>
      <c r="F26" s="41" t="n">
        <v>7155</v>
      </c>
      <c r="G26" s="41" t="n">
        <v>5789</v>
      </c>
      <c r="H26" s="41" t="n">
        <v>5330</v>
      </c>
      <c r="I26" s="41" t="n">
        <v>4608</v>
      </c>
      <c r="J26" s="41" t="n">
        <v>4779</v>
      </c>
      <c r="K26" s="41" t="n">
        <v>4641</v>
      </c>
      <c r="L26" s="41" t="n">
        <v>4756</v>
      </c>
      <c r="M26" s="41" t="n">
        <v>4599</v>
      </c>
      <c r="N26" s="41" t="n">
        <v>4532</v>
      </c>
      <c r="O26" s="41" t="n">
        <v>4434</v>
      </c>
      <c r="P26" s="41" t="n">
        <v>4162</v>
      </c>
      <c r="Q26" s="41" t="n">
        <v>4318</v>
      </c>
      <c r="R26" s="41" t="n">
        <v>4404</v>
      </c>
      <c r="S26" s="41" t="n">
        <v>4210</v>
      </c>
      <c r="T26" s="41" t="n">
        <v>4152</v>
      </c>
      <c r="U26" s="41" t="n">
        <v>3985</v>
      </c>
      <c r="V26" s="41" t="n">
        <v>4272</v>
      </c>
      <c r="W26" s="41" t="n">
        <v>4114</v>
      </c>
      <c r="X26" s="41" t="n">
        <v>3750</v>
      </c>
      <c r="Y26" s="41" t="n">
        <v>3793</v>
      </c>
      <c r="Z26" s="41" t="n">
        <v>4275</v>
      </c>
      <c r="AA26" s="41" t="n">
        <v>4239</v>
      </c>
      <c r="AB26" s="41" t="n"/>
      <c r="AC26" s="41" t="n"/>
      <c r="AD26" s="41" t="n"/>
      <c r="AE26" s="41" t="n"/>
      <c r="AF26" s="41" t="n"/>
      <c r="AG26" s="41" t="n"/>
      <c r="AH26" s="41" t="n"/>
      <c r="AI26" s="41" t="n"/>
      <c r="AJ26" s="41" t="n"/>
      <c r="AK26" s="41" t="n"/>
      <c r="AL26" s="41" t="n"/>
      <c r="AM26" s="41" t="n"/>
      <c r="AN26" s="41" t="n"/>
      <c r="AO26" s="41" t="n"/>
      <c r="AP26" s="41" t="n"/>
      <c r="AQ26" s="41" t="n"/>
      <c r="AR26" s="41" t="n"/>
      <c r="AS26" s="41" t="n"/>
      <c r="AT26" s="41" t="n"/>
      <c r="AU26" s="41" t="n"/>
      <c r="AV26" s="41" t="n"/>
      <c r="AW26" s="41" t="n"/>
      <c r="AX26" s="41" t="n"/>
      <c r="AY26" s="41" t="n"/>
      <c r="AZ26" s="41" t="n"/>
      <c r="BA26" s="41" t="n"/>
      <c r="BB26" s="41" t="n"/>
      <c r="BC26" s="41" t="n"/>
      <c r="BD26" s="41" t="n"/>
    </row>
    <row r="27"/>
    <row r="28"/>
    <row r="29" customFormat="1" s="21">
      <c r="A29" s="23" t="inlineStr">
        <is>
          <t>Amazon</t>
        </is>
      </c>
      <c r="D29" s="22" t="n"/>
    </row>
    <row r="30">
      <c r="A30" s="1" t="inlineStr">
        <is>
          <t>Sell-in value</t>
        </is>
      </c>
      <c r="D30" s="24" t="inlineStr">
        <is>
          <t>$k</t>
        </is>
      </c>
      <c r="E30" s="41" t="n">
        <v>477.558</v>
      </c>
      <c r="F30" s="41" t="n">
        <v>657.735</v>
      </c>
      <c r="G30" s="41" t="n">
        <v>1031.807</v>
      </c>
      <c r="H30" s="41" t="n">
        <v>375.815</v>
      </c>
      <c r="I30" s="41" t="n">
        <v>919.802</v>
      </c>
      <c r="J30" s="41" t="n">
        <v>743.9</v>
      </c>
      <c r="K30" s="41" t="n">
        <v>1122.401</v>
      </c>
      <c r="L30" s="41" t="n">
        <v>2015.756</v>
      </c>
      <c r="M30" s="41" t="n">
        <v>1845.494</v>
      </c>
      <c r="N30" s="41" t="n">
        <v>3412.268</v>
      </c>
      <c r="O30" s="41" t="n">
        <v>651.255</v>
      </c>
      <c r="P30" s="41" t="n">
        <v>2116.446</v>
      </c>
      <c r="Q30" s="41" t="n">
        <v>519.106</v>
      </c>
      <c r="R30" s="41" t="n">
        <v>1907.646</v>
      </c>
      <c r="S30" s="41" t="n">
        <v>1186.938</v>
      </c>
      <c r="T30" s="41" t="n">
        <v>1421.368</v>
      </c>
      <c r="U30" s="41" t="n">
        <v>1162.305</v>
      </c>
      <c r="V30" s="41" t="n">
        <v>1254.842</v>
      </c>
      <c r="W30" s="41" t="n">
        <v>3374.807</v>
      </c>
      <c r="X30" s="41" t="n">
        <v>1461.043</v>
      </c>
      <c r="Y30" s="41" t="n">
        <v>5579.827</v>
      </c>
      <c r="Z30" s="41" t="n">
        <v>455.199</v>
      </c>
      <c r="AA30" s="41" t="n">
        <v>1990.631</v>
      </c>
      <c r="AB30" s="41" t="n"/>
      <c r="AC30" s="41" t="n"/>
      <c r="AD30" s="41" t="n"/>
      <c r="AE30" s="41" t="n"/>
      <c r="AF30" s="41" t="n"/>
      <c r="AG30" s="41" t="n"/>
      <c r="AH30" s="41" t="n"/>
      <c r="AI30" s="41" t="n"/>
      <c r="AJ30" s="41" t="n"/>
      <c r="AK30" s="41" t="n"/>
      <c r="AL30" s="41" t="n"/>
      <c r="AM30" s="41" t="n"/>
      <c r="AN30" s="41" t="n"/>
      <c r="AO30" s="41" t="n"/>
      <c r="AP30" s="41" t="n"/>
      <c r="AQ30" s="41" t="n"/>
      <c r="AR30" s="41" t="n"/>
      <c r="AS30" s="41" t="n"/>
      <c r="AT30" s="41" t="n"/>
      <c r="AU30" s="41" t="n"/>
      <c r="AV30" s="41" t="n"/>
      <c r="AW30" s="41" t="n"/>
      <c r="AX30" s="41" t="n"/>
      <c r="AY30" s="41" t="n"/>
      <c r="AZ30" s="41" t="n"/>
      <c r="BA30" s="41" t="n"/>
      <c r="BB30" s="41" t="n"/>
      <c r="BC30" s="41" t="n"/>
      <c r="BD30" s="41" t="n"/>
    </row>
    <row r="31" customFormat="1" s="4">
      <c r="A31" s="3" t="n"/>
      <c r="B31" s="4" t="inlineStr">
        <is>
          <t>% of Total - YTD</t>
        </is>
      </c>
      <c r="D31" s="33" t="inlineStr">
        <is>
          <t>%</t>
        </is>
      </c>
      <c r="E31" s="42">
        <f>IFERROR(SUM($E$30:E30)/SUM($E$3:E3),"")</f>
        <v/>
      </c>
      <c r="F31" s="42">
        <f>IFERROR(SUM($E$30:F30)/SUM($E$3:F3),"")</f>
        <v/>
      </c>
      <c r="G31" s="42">
        <f>IFERROR(SUM($E$30:G30)/SUM($E$3:G3),"")</f>
        <v/>
      </c>
      <c r="H31" s="42">
        <f>IFERROR(SUM($E$30:H30)/SUM($E$3:H3),"")</f>
        <v/>
      </c>
      <c r="I31" s="42">
        <f>IFERROR(SUM($E$30:I30)/SUM($E$3:I3),"")</f>
        <v/>
      </c>
      <c r="J31" s="42">
        <f>IFERROR(SUM($E$30:J30)/SUM($E$3:J3),"")</f>
        <v/>
      </c>
      <c r="K31" s="42">
        <f>IFERROR(SUM($E$30:K30)/SUM($E$3:K3),"")</f>
        <v/>
      </c>
      <c r="L31" s="42">
        <f>IFERROR(SUM($E$30:L30)/SUM($E$3:L3),"")</f>
        <v/>
      </c>
      <c r="M31" s="42">
        <f>IFERROR(SUM($E$30:M30)/SUM($E$3:M3),"")</f>
        <v/>
      </c>
      <c r="N31" s="42">
        <f>IFERROR(SUM($E$30:N30)/SUM($E$3:N3),"")</f>
        <v/>
      </c>
      <c r="O31" s="42">
        <f>IFERROR(SUM($E$30:O30)/SUM($E$3:O3),"")</f>
        <v/>
      </c>
      <c r="P31" s="42">
        <f>IFERROR(SUM($E$30:P30)/SUM($E$3:P3),"")</f>
        <v/>
      </c>
      <c r="Q31" s="42">
        <f>IFERROR(SUM($E$30:Q30)/SUM($E$3:Q3),"")</f>
        <v/>
      </c>
      <c r="R31" s="42">
        <f>IFERROR(SUM($E$30:R30)/SUM($E$3:R3),"")</f>
        <v/>
      </c>
      <c r="S31" s="42">
        <f>IFERROR(SUM($E$30:S30)/SUM($E$3:S3),"")</f>
        <v/>
      </c>
      <c r="T31" s="42">
        <f>IFERROR(SUM($E$30:T30)/SUM($E$3:T3),"")</f>
        <v/>
      </c>
      <c r="U31" s="42">
        <f>IFERROR(SUM($E$30:U30)/SUM($E$3:U3),"")</f>
        <v/>
      </c>
      <c r="V31" s="42">
        <f>IFERROR(SUM($E$30:V30)/SUM($E$3:V3),"")</f>
        <v/>
      </c>
      <c r="W31" s="42">
        <f>IFERROR(SUM($E$30:W30)/SUM($E$3:W3),"")</f>
        <v/>
      </c>
      <c r="X31" s="42">
        <f>IFERROR(SUM($E$30:X30)/SUM($E$3:X3),"")</f>
        <v/>
      </c>
      <c r="Y31" s="42">
        <f>IFERROR(SUM($E$30:Y30)/SUM($E$3:Y3),"")</f>
        <v/>
      </c>
      <c r="Z31" s="42">
        <f>IFERROR(SUM($E$30:Z30)/SUM($E$3:Z3),"")</f>
        <v/>
      </c>
      <c r="AA31" s="42">
        <f>IFERROR(SUM($E$30:AA30)/SUM($E$3:AA3),"")</f>
        <v/>
      </c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42" t="n"/>
      <c r="AO31" s="42" t="n"/>
      <c r="AP31" s="42" t="n"/>
      <c r="AQ31" s="42" t="n"/>
      <c r="AR31" s="42" t="n"/>
      <c r="AS31" s="42" t="n"/>
      <c r="AT31" s="42" t="n"/>
      <c r="AU31" s="42" t="n"/>
      <c r="AV31" s="42" t="n"/>
      <c r="AW31" s="42" t="n"/>
      <c r="AX31" s="42" t="n"/>
      <c r="AY31" s="42" t="n"/>
      <c r="AZ31" s="42" t="n"/>
      <c r="BA31" s="42" t="n"/>
      <c r="BB31" s="42" t="n"/>
      <c r="BC31" s="42" t="n"/>
      <c r="BD31" s="42" t="n"/>
    </row>
    <row r="32" customFormat="1" s="40">
      <c r="B32" s="40" t="inlineStr">
        <is>
          <t>% of Target</t>
        </is>
      </c>
      <c r="D32" s="8" t="inlineStr">
        <is>
          <t>%</t>
        </is>
      </c>
      <c r="E32" s="42">
        <f>IFERROR(E30/E34,"")</f>
        <v/>
      </c>
      <c r="F32" s="42">
        <f>IFERROR(F30/F34,"")</f>
        <v/>
      </c>
      <c r="G32" s="42">
        <f>IFERROR(G30/G34,"")</f>
        <v/>
      </c>
      <c r="H32" s="42">
        <f>IFERROR(H30/H34,"")</f>
        <v/>
      </c>
      <c r="I32" s="42">
        <f>IFERROR(I30/I34,"")</f>
        <v/>
      </c>
      <c r="J32" s="42">
        <f>IFERROR(J30/J34,"")</f>
        <v/>
      </c>
      <c r="K32" s="42">
        <f>IFERROR(K30/K34,"")</f>
        <v/>
      </c>
      <c r="L32" s="42">
        <f>IFERROR(L30/L34,"")</f>
        <v/>
      </c>
      <c r="M32" s="42">
        <f>IFERROR(M30/M34,"")</f>
        <v/>
      </c>
      <c r="N32" s="42">
        <f>IFERROR(N30/N34,"")</f>
        <v/>
      </c>
      <c r="O32" s="42">
        <f>IFERROR(O30/O34,"")</f>
        <v/>
      </c>
      <c r="P32" s="42">
        <f>IFERROR(P30/P34,"")</f>
        <v/>
      </c>
      <c r="Q32" s="42">
        <f>IFERROR(Q30/Q34,"")</f>
        <v/>
      </c>
      <c r="R32" s="42">
        <f>IFERROR(R30/R34,"")</f>
        <v/>
      </c>
      <c r="S32" s="42">
        <f>IFERROR(S30/S34,"")</f>
        <v/>
      </c>
      <c r="T32" s="42">
        <f>IFERROR(T30/T34,"")</f>
        <v/>
      </c>
      <c r="U32" s="42">
        <f>IFERROR(U30/U34,"")</f>
        <v/>
      </c>
      <c r="V32" s="42">
        <f>IFERROR(V30/V34,"")</f>
        <v/>
      </c>
      <c r="W32" s="42">
        <f>IFERROR(W30/W34,"")</f>
        <v/>
      </c>
      <c r="X32" s="42">
        <f>IFERROR(X30/X34,"")</f>
        <v/>
      </c>
      <c r="Y32" s="42">
        <f>IFERROR(Y30/Y34,"")</f>
        <v/>
      </c>
      <c r="Z32" s="42">
        <f>IFERROR(Z30/Z34,"")</f>
        <v/>
      </c>
      <c r="AA32" s="42">
        <f>IFERROR(AA30/AA34,"")</f>
        <v/>
      </c>
      <c r="AB32" s="42" t="n"/>
      <c r="AC32" s="42" t="n"/>
      <c r="AD32" s="42" t="n"/>
      <c r="AE32" s="42" t="n"/>
      <c r="AF32" s="42" t="n"/>
      <c r="AG32" s="42" t="n"/>
      <c r="AH32" s="42" t="n"/>
      <c r="AI32" s="42" t="n"/>
      <c r="AJ32" s="42" t="n"/>
      <c r="AK32" s="42" t="n"/>
      <c r="AL32" s="42" t="n"/>
      <c r="AM32" s="42" t="n"/>
      <c r="AN32" s="42" t="n"/>
      <c r="AO32" s="42" t="n"/>
      <c r="AP32" s="42" t="n"/>
      <c r="AQ32" s="42" t="n"/>
      <c r="AR32" s="42" t="n"/>
      <c r="AS32" s="42" t="n"/>
      <c r="AT32" s="42" t="n"/>
      <c r="AU32" s="42" t="n"/>
      <c r="AV32" s="42" t="n"/>
      <c r="AW32" s="42" t="n"/>
      <c r="AX32" s="42" t="n"/>
      <c r="AY32" s="42" t="n"/>
      <c r="AZ32" s="42" t="n"/>
      <c r="BA32" s="42" t="n"/>
      <c r="BB32" s="42" t="n"/>
      <c r="BC32" s="42" t="n"/>
      <c r="BD32" s="42" t="n"/>
    </row>
    <row r="33" ht="15.75" customFormat="1" customHeight="1" s="40">
      <c r="B33" s="40" t="inlineStr">
        <is>
          <t>% of Target - YTD</t>
        </is>
      </c>
      <c r="D33" s="8" t="inlineStr">
        <is>
          <t>%</t>
        </is>
      </c>
      <c r="E33" s="42">
        <f>IFERROR(SUM($E$30:E30)/SUM($E$34:E34),"")</f>
        <v/>
      </c>
      <c r="F33" s="42">
        <f>IFERROR(SUM($E$30:F30)/SUM($E$34:F34),"")</f>
        <v/>
      </c>
      <c r="G33" s="42">
        <f>IFERROR(SUM($E$30:G30)/SUM($E$34:G34),"")</f>
        <v/>
      </c>
      <c r="H33" s="42">
        <f>IFERROR(SUM($E$30:H30)/SUM($E$34:H34),"")</f>
        <v/>
      </c>
      <c r="I33" s="42">
        <f>IFERROR(SUM($E$30:I30)/SUM($E$34:I34),"")</f>
        <v/>
      </c>
      <c r="J33" s="42">
        <f>IFERROR(SUM($E$30:J30)/SUM($E$34:J34),"")</f>
        <v/>
      </c>
      <c r="K33" s="42">
        <f>IFERROR(SUM($E$30:K30)/SUM($E$34:K34),"")</f>
        <v/>
      </c>
      <c r="L33" s="42">
        <f>IFERROR(SUM($E$30:L30)/SUM($E$34:L34),"")</f>
        <v/>
      </c>
      <c r="M33" s="42">
        <f>IFERROR(SUM($E$30:M30)/SUM($E$34:M34),"")</f>
        <v/>
      </c>
      <c r="N33" s="42">
        <f>IFERROR(SUM($E$30:N30)/SUM($E$34:N34),"")</f>
        <v/>
      </c>
      <c r="O33" s="42">
        <f>IFERROR(SUM($E$30:O30)/SUM($E$34:O34),"")</f>
        <v/>
      </c>
      <c r="P33" s="42">
        <f>IFERROR(SUM($E$30:P30)/SUM($E$34:P34),"")</f>
        <v/>
      </c>
      <c r="Q33" s="42">
        <f>IFERROR(SUM($E$30:Q30)/SUM($E$34:Q34),"")</f>
        <v/>
      </c>
      <c r="R33" s="42">
        <f>IFERROR(SUM($E$30:R30)/SUM($E$34:R34),"")</f>
        <v/>
      </c>
      <c r="S33" s="42">
        <f>IFERROR(SUM($E$30:S30)/SUM($E$34:S34),"")</f>
        <v/>
      </c>
      <c r="T33" s="42">
        <f>IFERROR(SUM($E$30:T30)/SUM($E$34:T34),"")</f>
        <v/>
      </c>
      <c r="U33" s="42">
        <f>IFERROR(SUM($E$30:U30)/SUM($E$34:U34),"")</f>
        <v/>
      </c>
      <c r="V33" s="42">
        <f>IFERROR(SUM($E$30:V30)/SUM($E$34:V34),"")</f>
        <v/>
      </c>
      <c r="W33" s="42">
        <f>IFERROR(SUM($E$30:W30)/SUM($E$34:W34),"")</f>
        <v/>
      </c>
      <c r="X33" s="42">
        <f>IFERROR(SUM($E$30:X30)/SUM($E$34:X34),"")</f>
        <v/>
      </c>
      <c r="Y33" s="42">
        <f>IFERROR(SUM($E$30:Y30)/SUM($E$34:Y34),"")</f>
        <v/>
      </c>
      <c r="Z33" s="42">
        <f>IFERROR(SUM($E$30:Z30)/SUM($E$34:Z34),"")</f>
        <v/>
      </c>
      <c r="AA33" s="42">
        <f>IFERROR(SUM($E$30:AA30)/SUM($E$34:AA34),"")</f>
        <v/>
      </c>
      <c r="AB33" s="42" t="n"/>
      <c r="AC33" s="42" t="n"/>
      <c r="AD33" s="42" t="n"/>
      <c r="AE33" s="42" t="n"/>
      <c r="AF33" s="42" t="n"/>
      <c r="AG33" s="42" t="n"/>
      <c r="AH33" s="42" t="n"/>
      <c r="AI33" s="42" t="n"/>
      <c r="AJ33" s="42" t="n"/>
      <c r="AK33" s="42" t="n"/>
      <c r="AL33" s="42" t="n"/>
      <c r="AM33" s="42" t="n"/>
      <c r="AN33" s="42" t="n"/>
      <c r="AO33" s="42" t="n"/>
      <c r="AP33" s="42" t="n"/>
      <c r="AQ33" s="42" t="n"/>
      <c r="AR33" s="42" t="n"/>
      <c r="AS33" s="42" t="n"/>
      <c r="AT33" s="42" t="n"/>
      <c r="AU33" s="42" t="n"/>
      <c r="AV33" s="42" t="n"/>
      <c r="AW33" s="42" t="n"/>
      <c r="AX33" s="42" t="n"/>
      <c r="AY33" s="42" t="n"/>
      <c r="AZ33" s="42" t="n"/>
      <c r="BA33" s="42" t="n"/>
      <c r="BB33" s="42" t="n"/>
      <c r="BC33" s="42" t="n"/>
      <c r="BD33" s="42" t="n"/>
    </row>
    <row r="34" customFormat="1" s="9">
      <c r="B34" s="9" t="inlineStr">
        <is>
          <t>Target</t>
        </is>
      </c>
      <c r="D34" s="10" t="inlineStr">
        <is>
          <t>$k</t>
        </is>
      </c>
      <c r="E34" s="41" t="n">
        <v>455.453798768</v>
      </c>
      <c r="F34" s="41" t="n">
        <v>797.044147844</v>
      </c>
      <c r="G34" s="41" t="n">
        <v>797.044147844</v>
      </c>
      <c r="H34" s="41" t="n">
        <v>797.044147844</v>
      </c>
      <c r="I34" s="41" t="n">
        <v>862.6127626839999</v>
      </c>
      <c r="J34" s="41" t="n">
        <v>1256.0345</v>
      </c>
      <c r="K34" s="41" t="n">
        <v>1256.0345</v>
      </c>
      <c r="L34" s="41" t="n">
        <v>1256.0345</v>
      </c>
      <c r="M34" s="41" t="n">
        <v>1226.77500609</v>
      </c>
      <c r="N34" s="41" t="n">
        <v>1051.207994354</v>
      </c>
      <c r="O34" s="41" t="n">
        <v>1051.207994354</v>
      </c>
      <c r="P34" s="41" t="n">
        <v>1051.207994354</v>
      </c>
      <c r="Q34" s="41" t="n">
        <v>1051.207994354</v>
      </c>
      <c r="R34" s="41" t="n">
        <v>1004.767383419</v>
      </c>
      <c r="S34" s="41" t="n">
        <v>986.1877578249999</v>
      </c>
      <c r="T34" s="41" t="n">
        <v>986.1877578249999</v>
      </c>
      <c r="U34" s="41" t="n">
        <v>986.1877578249999</v>
      </c>
      <c r="V34" s="41" t="n">
        <v>1123.787621189</v>
      </c>
      <c r="W34" s="41" t="n">
        <v>1307.255514516</v>
      </c>
      <c r="X34" s="41" t="n">
        <v>1307.255514516</v>
      </c>
      <c r="Y34" s="41" t="n">
        <v>1307.255514516</v>
      </c>
      <c r="Z34" s="41" t="n">
        <v>1307.255514516</v>
      </c>
      <c r="AA34" s="41" t="n">
        <v>2523.950927684</v>
      </c>
      <c r="AB34" s="41" t="n"/>
      <c r="AC34" s="41" t="n"/>
      <c r="AD34" s="41" t="n"/>
      <c r="AE34" s="41" t="n"/>
      <c r="AF34" s="41" t="n"/>
      <c r="AG34" s="41" t="n"/>
      <c r="AH34" s="41" t="n"/>
      <c r="AI34" s="41" t="n"/>
      <c r="AJ34" s="41" t="n"/>
      <c r="AK34" s="41" t="n"/>
      <c r="AL34" s="41" t="n"/>
      <c r="AM34" s="41" t="n"/>
      <c r="AN34" s="41" t="n"/>
      <c r="AO34" s="41" t="n"/>
      <c r="AP34" s="41" t="n"/>
      <c r="AQ34" s="41" t="n"/>
      <c r="AR34" s="41" t="n"/>
      <c r="AS34" s="41" t="n"/>
      <c r="AT34" s="41" t="n"/>
      <c r="AU34" s="41" t="n"/>
      <c r="AV34" s="41" t="n"/>
      <c r="AW34" s="41" t="n"/>
      <c r="AX34" s="41" t="n"/>
      <c r="AY34" s="41" t="n"/>
      <c r="AZ34" s="41" t="n"/>
      <c r="BA34" s="41" t="n"/>
      <c r="BB34" s="41" t="n"/>
      <c r="BC34" s="41" t="n"/>
      <c r="BD34" s="41" t="n"/>
    </row>
    <row r="35"/>
    <row r="36">
      <c r="A36" s="1" t="inlineStr">
        <is>
          <t xml:space="preserve">Sell-through units </t>
        </is>
      </c>
      <c r="D36" s="24" t="inlineStr">
        <is>
          <t>#</t>
        </is>
      </c>
      <c r="E36" s="41" t="n">
        <v>34858</v>
      </c>
      <c r="F36" s="41" t="n">
        <v>37220</v>
      </c>
      <c r="G36" s="41" t="n">
        <v>39813</v>
      </c>
      <c r="H36" s="41" t="n">
        <v>35886</v>
      </c>
      <c r="I36" s="41" t="n">
        <v>32741</v>
      </c>
      <c r="J36" s="41" t="n">
        <v>36540</v>
      </c>
      <c r="K36" s="41" t="n">
        <v>37823</v>
      </c>
      <c r="L36" s="41" t="n">
        <v>41180</v>
      </c>
      <c r="M36" s="41" t="n">
        <v>38691</v>
      </c>
      <c r="N36" s="41" t="n">
        <v>38110</v>
      </c>
      <c r="O36" s="41" t="n">
        <v>37873</v>
      </c>
      <c r="P36" s="41" t="n">
        <v>35396</v>
      </c>
      <c r="Q36" s="41" t="n">
        <v>45167</v>
      </c>
      <c r="R36" s="41" t="n">
        <v>43794</v>
      </c>
      <c r="S36" s="41" t="n">
        <v>40363</v>
      </c>
      <c r="T36" s="41" t="n">
        <v>45034</v>
      </c>
      <c r="U36" s="41" t="n">
        <v>32833</v>
      </c>
      <c r="V36" s="41" t="n">
        <v>30719</v>
      </c>
      <c r="W36" s="41" t="n">
        <v>33824</v>
      </c>
      <c r="X36" s="41" t="n">
        <v>35388</v>
      </c>
      <c r="Y36" s="41" t="n">
        <v>41024</v>
      </c>
      <c r="Z36" s="41" t="n">
        <v>38112</v>
      </c>
      <c r="AA36" s="41" t="n">
        <v>38195</v>
      </c>
      <c r="AB36" s="41" t="n"/>
      <c r="AC36" s="41" t="n"/>
      <c r="AD36" s="41" t="n"/>
      <c r="AE36" s="41" t="n"/>
      <c r="AF36" s="41" t="n"/>
      <c r="AG36" s="41" t="n"/>
      <c r="AH36" s="41" t="n"/>
      <c r="AI36" s="41" t="n"/>
      <c r="AJ36" s="41" t="n"/>
      <c r="AK36" s="41" t="n"/>
      <c r="AL36" s="41" t="n"/>
      <c r="AM36" s="41" t="n"/>
      <c r="AN36" s="41" t="n"/>
      <c r="AO36" s="41" t="n"/>
      <c r="AP36" s="41" t="n"/>
      <c r="AQ36" s="41" t="n"/>
      <c r="AR36" s="41" t="n"/>
      <c r="AS36" s="41" t="n"/>
      <c r="AT36" s="41" t="n"/>
      <c r="AU36" s="41" t="n"/>
      <c r="AV36" s="41" t="n"/>
      <c r="AW36" s="41" t="n"/>
      <c r="AX36" s="41" t="n"/>
      <c r="AY36" s="41" t="n"/>
      <c r="AZ36" s="41" t="n"/>
      <c r="BA36" s="41" t="n"/>
      <c r="BB36" s="41" t="n"/>
      <c r="BC36" s="41" t="n"/>
      <c r="BD36" s="41" t="n"/>
    </row>
    <row r="37" customFormat="1" s="4">
      <c r="A37" s="3" t="n"/>
      <c r="B37" s="4" t="inlineStr">
        <is>
          <t>% of Total - YTD</t>
        </is>
      </c>
      <c r="D37" s="33" t="inlineStr">
        <is>
          <t>%</t>
        </is>
      </c>
      <c r="E37" s="42">
        <f>IFERROR(SUM($E$36:E36)/SUM($E$4:E4),"")</f>
        <v/>
      </c>
      <c r="F37" s="42">
        <f>IFERROR(SUM($E$36:F36)/SUM($E$4:F4),"")</f>
        <v/>
      </c>
      <c r="G37" s="42">
        <f>IFERROR(SUM($E$36:G36)/SUM($E$4:G4),"")</f>
        <v/>
      </c>
      <c r="H37" s="42">
        <f>IFERROR(SUM($E$36:H36)/SUM($E$4:H4),"")</f>
        <v/>
      </c>
      <c r="I37" s="42">
        <f>IFERROR(SUM($E$36:I36)/SUM($E$4:I4),"")</f>
        <v/>
      </c>
      <c r="J37" s="42">
        <f>IFERROR(SUM($E$36:J36)/SUM($E$4:J4),"")</f>
        <v/>
      </c>
      <c r="K37" s="42">
        <f>IFERROR(SUM($E$36:K36)/SUM($E$4:K4),"")</f>
        <v/>
      </c>
      <c r="L37" s="42">
        <f>IFERROR(SUM($E$36:L36)/SUM($E$4:L4),"")</f>
        <v/>
      </c>
      <c r="M37" s="42">
        <f>IFERROR(SUM($E$36:M36)/SUM($E$4:M4),"")</f>
        <v/>
      </c>
      <c r="N37" s="42">
        <f>IFERROR(SUM($E$36:N36)/SUM($E$4:N4),"")</f>
        <v/>
      </c>
      <c r="O37" s="42">
        <f>IFERROR(SUM($E$36:O36)/SUM($E$4:O4),"")</f>
        <v/>
      </c>
      <c r="P37" s="42">
        <f>IFERROR(SUM($E$36:P36)/SUM($E$4:P4),"")</f>
        <v/>
      </c>
      <c r="Q37" s="42">
        <f>IFERROR(SUM($E$36:Q36)/SUM($E$4:Q4),"")</f>
        <v/>
      </c>
      <c r="R37" s="42">
        <f>IFERROR(SUM($E$36:R36)/SUM($E$4:R4),"")</f>
        <v/>
      </c>
      <c r="S37" s="42">
        <f>IFERROR(SUM($E$36:S36)/SUM($E$4:S4),"")</f>
        <v/>
      </c>
      <c r="T37" s="42">
        <f>IFERROR(SUM($E$36:T36)/SUM($E$4:T4),"")</f>
        <v/>
      </c>
      <c r="U37" s="42">
        <f>IFERROR(SUM($E$36:U36)/SUM($E$4:U4),"")</f>
        <v/>
      </c>
      <c r="V37" s="42">
        <f>IFERROR(SUM($E$36:V36)/SUM($E$4:V4),"")</f>
        <v/>
      </c>
      <c r="W37" s="42">
        <f>IFERROR(SUM($E$36:W36)/SUM($E$4:W4),"")</f>
        <v/>
      </c>
      <c r="X37" s="42">
        <f>IFERROR(SUM($E$36:X36)/SUM($E$4:X4),"")</f>
        <v/>
      </c>
      <c r="Y37" s="42">
        <f>IFERROR(SUM($E$36:Y36)/SUM($E$4:Y4),"")</f>
        <v/>
      </c>
      <c r="Z37" s="42">
        <f>IFERROR(SUM($E$36:Z36)/SUM($E$4:Z4),"")</f>
        <v/>
      </c>
      <c r="AA37" s="42">
        <f>IFERROR(SUM($E$36:AA36)/SUM($E$4:AA4),"")</f>
        <v/>
      </c>
      <c r="AB37" s="42" t="n"/>
      <c r="AC37" s="42" t="n"/>
      <c r="AD37" s="42" t="n"/>
      <c r="AE37" s="42" t="n"/>
      <c r="AF37" s="42" t="n"/>
      <c r="AG37" s="42" t="n"/>
      <c r="AH37" s="42" t="n"/>
      <c r="AI37" s="42" t="n"/>
      <c r="AJ37" s="42" t="n"/>
      <c r="AK37" s="42" t="n"/>
      <c r="AL37" s="42" t="n"/>
      <c r="AM37" s="42" t="n"/>
      <c r="AN37" s="42" t="n"/>
      <c r="AO37" s="42" t="n"/>
      <c r="AP37" s="42" t="n"/>
      <c r="AQ37" s="42" t="n"/>
      <c r="AR37" s="42" t="n"/>
      <c r="AS37" s="42" t="n"/>
      <c r="AT37" s="42" t="n"/>
      <c r="AU37" s="42" t="n"/>
      <c r="AV37" s="42" t="n"/>
      <c r="AW37" s="42" t="n"/>
      <c r="AX37" s="42" t="n"/>
      <c r="AY37" s="42" t="n"/>
      <c r="AZ37" s="42" t="n"/>
      <c r="BA37" s="42" t="n"/>
      <c r="BB37" s="42" t="n"/>
      <c r="BC37" s="42" t="n"/>
      <c r="BD37" s="42" t="n"/>
    </row>
    <row r="38" customFormat="1" s="16">
      <c r="A38" s="15" t="n"/>
      <c r="B38" s="16" t="inlineStr">
        <is>
          <t>% of Target</t>
        </is>
      </c>
      <c r="D38" s="17" t="inlineStr">
        <is>
          <t>%</t>
        </is>
      </c>
      <c r="E38" s="42">
        <f>IFERROR(E36/E40,"")</f>
        <v/>
      </c>
      <c r="F38" s="42">
        <f>IFERROR(F36/F40,"")</f>
        <v/>
      </c>
      <c r="G38" s="42">
        <f>IFERROR(G36/G40,"")</f>
        <v/>
      </c>
      <c r="H38" s="42">
        <f>IFERROR(H36/H40,"")</f>
        <v/>
      </c>
      <c r="I38" s="42">
        <f>IFERROR(I36/I40,"")</f>
        <v/>
      </c>
      <c r="J38" s="42">
        <f>IFERROR(J36/J40,"")</f>
        <v/>
      </c>
      <c r="K38" s="42">
        <f>IFERROR(K36/K40,"")</f>
        <v/>
      </c>
      <c r="L38" s="42">
        <f>IFERROR(L36/L40,"")</f>
        <v/>
      </c>
      <c r="M38" s="42">
        <f>IFERROR(M36/M40,"")</f>
        <v/>
      </c>
      <c r="N38" s="42">
        <f>IFERROR(N36/N40,"")</f>
        <v/>
      </c>
      <c r="O38" s="42">
        <f>IFERROR(O36/O40,"")</f>
        <v/>
      </c>
      <c r="P38" s="42">
        <f>IFERROR(P36/P40,"")</f>
        <v/>
      </c>
      <c r="Q38" s="42">
        <f>IFERROR(Q36/Q40,"")</f>
        <v/>
      </c>
      <c r="R38" s="42">
        <f>IFERROR(R36/R40,"")</f>
        <v/>
      </c>
      <c r="S38" s="42">
        <f>IFERROR(S36/S40,"")</f>
        <v/>
      </c>
      <c r="T38" s="42">
        <f>IFERROR(T36/T40,"")</f>
        <v/>
      </c>
      <c r="U38" s="42">
        <f>IFERROR(U36/U40,"")</f>
        <v/>
      </c>
      <c r="V38" s="42">
        <f>IFERROR(V36/V40,"")</f>
        <v/>
      </c>
      <c r="W38" s="42">
        <f>IFERROR(W36/W40,"")</f>
        <v/>
      </c>
      <c r="X38" s="42">
        <f>IFERROR(X36/X40,"")</f>
        <v/>
      </c>
      <c r="Y38" s="42">
        <f>IFERROR(Y36/Y40,"")</f>
        <v/>
      </c>
      <c r="Z38" s="42">
        <f>IFERROR(Z36/Z40,"")</f>
        <v/>
      </c>
      <c r="AA38" s="42">
        <f>IFERROR(AA36/AA40,"")</f>
        <v/>
      </c>
      <c r="AB38" s="42" t="n"/>
      <c r="AC38" s="42" t="n"/>
      <c r="AD38" s="42" t="n"/>
      <c r="AE38" s="42" t="n"/>
      <c r="AF38" s="42" t="n"/>
      <c r="AG38" s="42" t="n"/>
      <c r="AH38" s="42" t="n"/>
      <c r="AI38" s="42" t="n"/>
      <c r="AJ38" s="42" t="n"/>
      <c r="AK38" s="42" t="n"/>
      <c r="AL38" s="42" t="n"/>
      <c r="AM38" s="42" t="n"/>
      <c r="AN38" s="42" t="n"/>
      <c r="AO38" s="42" t="n"/>
      <c r="AP38" s="42" t="n"/>
      <c r="AQ38" s="42" t="n"/>
      <c r="AR38" s="42" t="n"/>
      <c r="AS38" s="42" t="n"/>
      <c r="AT38" s="42" t="n"/>
      <c r="AU38" s="42" t="n"/>
      <c r="AV38" s="42" t="n"/>
      <c r="AW38" s="42" t="n"/>
      <c r="AX38" s="42" t="n"/>
      <c r="AY38" s="42" t="n"/>
      <c r="AZ38" s="42" t="n"/>
      <c r="BA38" s="42" t="n"/>
      <c r="BB38" s="42" t="n"/>
      <c r="BC38" s="42" t="n"/>
      <c r="BD38" s="42" t="n"/>
    </row>
    <row r="39" ht="15.75" customFormat="1" customHeight="1" s="16">
      <c r="A39" s="15" t="n"/>
      <c r="B39" s="40" t="inlineStr">
        <is>
          <t>% of Target - YTD</t>
        </is>
      </c>
      <c r="D39" s="17" t="inlineStr">
        <is>
          <t>%</t>
        </is>
      </c>
      <c r="E39" s="42">
        <f>IFERROR(SUM($E$36:E36)/SUM($E$40:E40),"")</f>
        <v/>
      </c>
      <c r="F39" s="42">
        <f>IFERROR(SUM($E$36:F36)/SUM($E$40:F40),"")</f>
        <v/>
      </c>
      <c r="G39" s="42">
        <f>IFERROR(SUM($E$36:G36)/SUM($E$40:G40),"")</f>
        <v/>
      </c>
      <c r="H39" s="42">
        <f>IFERROR(SUM($E$36:H36)/SUM($E$40:H40),"")</f>
        <v/>
      </c>
      <c r="I39" s="42">
        <f>IFERROR(SUM($E$36:I36)/SUM($E$40:I40),"")</f>
        <v/>
      </c>
      <c r="J39" s="42">
        <f>IFERROR(SUM($E$36:J36)/SUM($E$40:J40),"")</f>
        <v/>
      </c>
      <c r="K39" s="42">
        <f>IFERROR(SUM($E$36:K36)/SUM($E$40:K40),"")</f>
        <v/>
      </c>
      <c r="L39" s="42">
        <f>IFERROR(SUM($E$36:L36)/SUM($E$40:L40),"")</f>
        <v/>
      </c>
      <c r="M39" s="42">
        <f>IFERROR(SUM($E$36:M36)/SUM($E$40:M40),"")</f>
        <v/>
      </c>
      <c r="N39" s="42">
        <f>IFERROR(SUM($E$36:N36)/SUM($E$40:N40),"")</f>
        <v/>
      </c>
      <c r="O39" s="42">
        <f>IFERROR(SUM($E$36:O36)/SUM($E$40:O40),"")</f>
        <v/>
      </c>
      <c r="P39" s="42">
        <f>IFERROR(SUM($E$36:P36)/SUM($E$40:P40),"")</f>
        <v/>
      </c>
      <c r="Q39" s="42">
        <f>IFERROR(SUM($E$36:Q36)/SUM($E$40:Q40),"")</f>
        <v/>
      </c>
      <c r="R39" s="42">
        <f>IFERROR(SUM($E$36:R36)/SUM($E$40:R40),"")</f>
        <v/>
      </c>
      <c r="S39" s="42">
        <f>IFERROR(SUM($E$36:S36)/SUM($E$40:S40),"")</f>
        <v/>
      </c>
      <c r="T39" s="42">
        <f>IFERROR(SUM($E$36:T36)/SUM($E$40:T40),"")</f>
        <v/>
      </c>
      <c r="U39" s="42">
        <f>IFERROR(SUM($E$36:U36)/SUM($E$40:U40),"")</f>
        <v/>
      </c>
      <c r="V39" s="42">
        <f>IFERROR(SUM($E$36:V36)/SUM($E$40:V40),"")</f>
        <v/>
      </c>
      <c r="W39" s="42">
        <f>IFERROR(SUM($E$36:W36)/SUM($E$40:W40),"")</f>
        <v/>
      </c>
      <c r="X39" s="42">
        <f>IFERROR(SUM($E$36:X36)/SUM($E$40:X40),"")</f>
        <v/>
      </c>
      <c r="Y39" s="42">
        <f>IFERROR(SUM($E$36:Y36)/SUM($E$40:Y40),"")</f>
        <v/>
      </c>
      <c r="Z39" s="42">
        <f>IFERROR(SUM($E$36:Z36)/SUM($E$40:Z40),"")</f>
        <v/>
      </c>
      <c r="AA39" s="42">
        <f>IFERROR(SUM($E$36:AA36)/SUM($E$40:AA40),"")</f>
        <v/>
      </c>
      <c r="AB39" s="42" t="n"/>
      <c r="AC39" s="42" t="n"/>
      <c r="AD39" s="42" t="n"/>
      <c r="AE39" s="42" t="n"/>
      <c r="AF39" s="42" t="n"/>
      <c r="AG39" s="42" t="n"/>
      <c r="AH39" s="42" t="n"/>
      <c r="AI39" s="42" t="n"/>
      <c r="AJ39" s="42" t="n"/>
      <c r="AK39" s="42" t="n"/>
      <c r="AL39" s="42" t="n"/>
      <c r="AM39" s="42" t="n"/>
      <c r="AN39" s="42" t="n"/>
      <c r="AO39" s="42" t="n"/>
      <c r="AP39" s="42" t="n"/>
      <c r="AQ39" s="42" t="n"/>
      <c r="AR39" s="42" t="n"/>
      <c r="AS39" s="42" t="n"/>
      <c r="AT39" s="42" t="n"/>
      <c r="AU39" s="42" t="n"/>
      <c r="AV39" s="42" t="n"/>
      <c r="AW39" s="42" t="n"/>
      <c r="AX39" s="42" t="n"/>
      <c r="AY39" s="42" t="n"/>
      <c r="AZ39" s="42" t="n"/>
      <c r="BA39" s="42" t="n"/>
      <c r="BB39" s="42" t="n"/>
      <c r="BC39" s="42" t="n"/>
      <c r="BD39" s="42" t="n"/>
    </row>
    <row r="40" customFormat="1" s="13">
      <c r="A40" s="12" t="n"/>
      <c r="B40" s="13" t="inlineStr">
        <is>
          <t>Target</t>
        </is>
      </c>
      <c r="D40" s="14" t="inlineStr">
        <is>
          <t>#</t>
        </is>
      </c>
      <c r="E40" s="41" t="n"/>
      <c r="F40" s="41" t="n">
        <v>20086</v>
      </c>
      <c r="G40" s="41" t="n">
        <v>20091</v>
      </c>
      <c r="H40" s="41" t="n">
        <v>20091</v>
      </c>
      <c r="I40" s="41" t="n">
        <v>20280</v>
      </c>
      <c r="J40" s="41" t="n">
        <v>22514</v>
      </c>
      <c r="K40" s="41" t="n">
        <v>22598</v>
      </c>
      <c r="L40" s="41" t="n">
        <v>22593</v>
      </c>
      <c r="M40" s="41" t="n">
        <v>22941</v>
      </c>
      <c r="N40" s="41" t="n">
        <v>18220</v>
      </c>
      <c r="O40" s="41" t="n">
        <v>18226</v>
      </c>
      <c r="P40" s="41" t="n">
        <v>18224</v>
      </c>
      <c r="Q40" s="41" t="n">
        <v>45832</v>
      </c>
      <c r="R40" s="41" t="n">
        <v>18227</v>
      </c>
      <c r="S40" s="41" t="n">
        <v>18185</v>
      </c>
      <c r="T40" s="41" t="n">
        <v>49571</v>
      </c>
      <c r="U40" s="41" t="n">
        <v>18812</v>
      </c>
      <c r="V40" s="41" t="n">
        <v>19241</v>
      </c>
      <c r="W40" s="41" t="n">
        <v>21500</v>
      </c>
      <c r="X40" s="41" t="n">
        <v>21067</v>
      </c>
      <c r="Y40" s="41" t="n">
        <v>42386</v>
      </c>
      <c r="Z40" s="41" t="n">
        <v>21298</v>
      </c>
      <c r="AA40" s="41" t="n">
        <v>21324</v>
      </c>
      <c r="AB40" s="41" t="n"/>
      <c r="AC40" s="41" t="n"/>
      <c r="AD40" s="41" t="n"/>
      <c r="AE40" s="41" t="n"/>
      <c r="AF40" s="41" t="n"/>
      <c r="AG40" s="41" t="n"/>
      <c r="AH40" s="41" t="n"/>
      <c r="AI40" s="41" t="n"/>
      <c r="AJ40" s="41" t="n"/>
      <c r="AK40" s="41" t="n"/>
      <c r="AL40" s="41" t="n"/>
      <c r="AM40" s="41" t="n"/>
      <c r="AN40" s="41" t="n"/>
      <c r="AO40" s="41" t="n"/>
      <c r="AP40" s="41" t="n"/>
      <c r="AQ40" s="41" t="n"/>
      <c r="AR40" s="41" t="n"/>
      <c r="AS40" s="41" t="n"/>
      <c r="AT40" s="41" t="n"/>
      <c r="AU40" s="41" t="n"/>
      <c r="AV40" s="41" t="n"/>
      <c r="AW40" s="41" t="n"/>
      <c r="AX40" s="41" t="n"/>
      <c r="AY40" s="41" t="n"/>
      <c r="AZ40" s="41" t="n"/>
      <c r="BA40" s="41" t="n"/>
      <c r="BB40" s="41" t="n"/>
      <c r="BC40" s="41" t="n"/>
      <c r="BD40" s="41" t="n"/>
    </row>
    <row r="41">
      <c r="C41" s="11" t="inlineStr">
        <is>
          <t xml:space="preserve">Cam </t>
        </is>
      </c>
      <c r="D41" s="6" t="inlineStr">
        <is>
          <t>#</t>
        </is>
      </c>
      <c r="E41" s="41" t="n">
        <v>25147</v>
      </c>
      <c r="F41" s="41" t="n">
        <v>27642</v>
      </c>
      <c r="G41" s="41" t="n">
        <v>28704</v>
      </c>
      <c r="H41" s="41" t="n">
        <v>26213</v>
      </c>
      <c r="I41" s="41" t="n">
        <v>25390</v>
      </c>
      <c r="J41" s="41" t="n">
        <v>29406</v>
      </c>
      <c r="K41" s="41" t="n">
        <v>30384</v>
      </c>
      <c r="L41" s="41" t="n">
        <v>34306</v>
      </c>
      <c r="M41" s="41" t="n">
        <v>32680</v>
      </c>
      <c r="N41" s="41" t="n">
        <v>32474</v>
      </c>
      <c r="O41" s="41" t="n">
        <v>31668</v>
      </c>
      <c r="P41" s="41" t="n">
        <v>29566</v>
      </c>
      <c r="Q41" s="41" t="n">
        <v>39186</v>
      </c>
      <c r="R41" s="41" t="n">
        <v>37731</v>
      </c>
      <c r="S41" s="41" t="n">
        <v>33786</v>
      </c>
      <c r="T41" s="41" t="n">
        <v>38465</v>
      </c>
      <c r="U41" s="41" t="n">
        <v>28103</v>
      </c>
      <c r="V41" s="41" t="n">
        <v>26032</v>
      </c>
      <c r="W41" s="41" t="n">
        <v>28000</v>
      </c>
      <c r="X41" s="41" t="n">
        <v>29313</v>
      </c>
      <c r="Y41" s="41" t="n">
        <v>34220</v>
      </c>
      <c r="Z41" s="41" t="n">
        <v>31661</v>
      </c>
      <c r="AA41" s="41" t="n">
        <v>32158</v>
      </c>
      <c r="AB41" s="41" t="n"/>
      <c r="AC41" s="41" t="n"/>
      <c r="AD41" s="41" t="n"/>
      <c r="AE41" s="41" t="n"/>
      <c r="AF41" s="41" t="n"/>
      <c r="AG41" s="41" t="n"/>
      <c r="AH41" s="41" t="n"/>
      <c r="AI41" s="41" t="n"/>
      <c r="AJ41" s="41" t="n"/>
      <c r="AK41" s="41" t="n"/>
      <c r="AL41" s="41" t="n"/>
      <c r="AM41" s="41" t="n"/>
      <c r="AN41" s="41" t="n"/>
      <c r="AO41" s="41" t="n"/>
      <c r="AP41" s="41" t="n"/>
      <c r="AQ41" s="41" t="n"/>
      <c r="AR41" s="41" t="n"/>
      <c r="AS41" s="41" t="n"/>
      <c r="AT41" s="41" t="n"/>
      <c r="AU41" s="41" t="n"/>
      <c r="AV41" s="41" t="n"/>
      <c r="AW41" s="41" t="n"/>
      <c r="AX41" s="41" t="n"/>
      <c r="AY41" s="41" t="n"/>
      <c r="AZ41" s="41" t="n"/>
      <c r="BA41" s="41" t="n"/>
      <c r="BB41" s="41" t="n"/>
      <c r="BC41" s="41" t="n"/>
      <c r="BD41" s="41" t="n"/>
    </row>
    <row r="42">
      <c r="C42" s="11" t="inlineStr">
        <is>
          <t>Non Cam</t>
        </is>
      </c>
      <c r="D42" s="6" t="inlineStr">
        <is>
          <t>#</t>
        </is>
      </c>
      <c r="E42" s="41" t="n">
        <v>9711</v>
      </c>
      <c r="F42" s="41" t="n">
        <v>9578</v>
      </c>
      <c r="G42" s="41" t="n">
        <v>11109</v>
      </c>
      <c r="H42" s="41" t="n">
        <v>9673</v>
      </c>
      <c r="I42" s="41" t="n">
        <v>7351</v>
      </c>
      <c r="J42" s="41" t="n">
        <v>7134</v>
      </c>
      <c r="K42" s="41" t="n">
        <v>7439</v>
      </c>
      <c r="L42" s="41" t="n">
        <v>6874</v>
      </c>
      <c r="M42" s="41" t="n">
        <v>6011</v>
      </c>
      <c r="N42" s="41" t="n">
        <v>5636</v>
      </c>
      <c r="O42" s="41" t="n">
        <v>6205</v>
      </c>
      <c r="P42" s="41" t="n">
        <v>5830</v>
      </c>
      <c r="Q42" s="41" t="n">
        <v>5981</v>
      </c>
      <c r="R42" s="41" t="n">
        <v>6063</v>
      </c>
      <c r="S42" s="41" t="n">
        <v>6577</v>
      </c>
      <c r="T42" s="41" t="n">
        <v>6569</v>
      </c>
      <c r="U42" s="41" t="n">
        <v>4730</v>
      </c>
      <c r="V42" s="41" t="n">
        <v>4687</v>
      </c>
      <c r="W42" s="41" t="n">
        <v>5824</v>
      </c>
      <c r="X42" s="41" t="n">
        <v>6075</v>
      </c>
      <c r="Y42" s="41" t="n">
        <v>6804</v>
      </c>
      <c r="Z42" s="41" t="n">
        <v>6451</v>
      </c>
      <c r="AA42" s="41" t="n">
        <v>6037</v>
      </c>
      <c r="AB42" s="41" t="n"/>
      <c r="AC42" s="41" t="n"/>
      <c r="AD42" s="41" t="n"/>
      <c r="AE42" s="41" t="n"/>
      <c r="AF42" s="41" t="n"/>
      <c r="AG42" s="41" t="n"/>
      <c r="AH42" s="41" t="n"/>
      <c r="AI42" s="41" t="n"/>
      <c r="AJ42" s="41" t="n"/>
      <c r="AK42" s="41" t="n"/>
      <c r="AL42" s="41" t="n"/>
      <c r="AM42" s="41" t="n"/>
      <c r="AN42" s="41" t="n"/>
      <c r="AO42" s="41" t="n"/>
      <c r="AP42" s="41" t="n"/>
      <c r="AQ42" s="41" t="n"/>
      <c r="AR42" s="41" t="n"/>
      <c r="AS42" s="41" t="n"/>
      <c r="AT42" s="41" t="n"/>
      <c r="AU42" s="41" t="n"/>
      <c r="AV42" s="41" t="n"/>
      <c r="AW42" s="41" t="n"/>
      <c r="AX42" s="41" t="n"/>
      <c r="AY42" s="41" t="n"/>
      <c r="AZ42" s="41" t="n"/>
      <c r="BA42" s="41" t="n"/>
      <c r="BB42" s="41" t="n"/>
      <c r="BC42" s="41" t="n"/>
      <c r="BD42" s="41" t="n"/>
    </row>
    <row r="43">
      <c r="C43" s="6" t="n"/>
    </row>
    <row r="44">
      <c r="A44" s="1" t="inlineStr">
        <is>
          <t>New Customers (Ads attributed)</t>
        </is>
      </c>
      <c r="C44" s="6" t="n"/>
      <c r="D44" s="24" t="inlineStr">
        <is>
          <t># ppl</t>
        </is>
      </c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1" t="n"/>
      <c r="Q44" s="41" t="n">
        <v>826</v>
      </c>
      <c r="R44" s="41" t="n">
        <v>1413</v>
      </c>
      <c r="S44" s="41" t="n">
        <v>1469</v>
      </c>
      <c r="T44" s="41" t="n">
        <v>1706</v>
      </c>
      <c r="U44" s="41" t="n">
        <v>1352</v>
      </c>
      <c r="V44" s="41" t="n">
        <v>1294</v>
      </c>
      <c r="W44" s="41" t="n">
        <v>1161</v>
      </c>
      <c r="X44" s="41" t="n">
        <v>1287</v>
      </c>
      <c r="Y44" s="41" t="n">
        <v>1614</v>
      </c>
      <c r="Z44" s="41" t="n">
        <v>1573</v>
      </c>
      <c r="AA44" s="41" t="n">
        <v>1442</v>
      </c>
      <c r="AB44" s="41" t="n"/>
      <c r="AC44" s="41" t="n"/>
      <c r="AD44" s="41" t="n"/>
      <c r="AE44" s="41" t="n"/>
      <c r="AF44" s="41" t="n"/>
      <c r="AG44" s="41" t="n"/>
      <c r="AH44" s="41" t="n"/>
      <c r="AI44" s="41" t="n"/>
      <c r="AJ44" s="41" t="n"/>
      <c r="AK44" s="41" t="n"/>
      <c r="AL44" s="41" t="n"/>
      <c r="AM44" s="41" t="n"/>
      <c r="AN44" s="41" t="n"/>
      <c r="AO44" s="41" t="n"/>
      <c r="AP44" s="41" t="n"/>
      <c r="AQ44" s="41" t="n"/>
      <c r="AR44" s="41" t="n"/>
      <c r="AS44" s="41" t="n"/>
      <c r="AT44" s="41" t="n"/>
      <c r="AU44" s="41" t="n"/>
      <c r="AV44" s="41" t="n"/>
      <c r="AW44" s="41" t="n"/>
      <c r="AX44" s="41" t="n"/>
      <c r="AY44" s="41" t="n"/>
      <c r="AZ44" s="41" t="n"/>
      <c r="BA44" s="41" t="n"/>
      <c r="BB44" s="41" t="n"/>
      <c r="BC44" s="41" t="n"/>
      <c r="BD44" s="41" t="n"/>
    </row>
    <row r="45">
      <c r="A45" s="1" t="n"/>
      <c r="B45" t="inlineStr">
        <is>
          <t>As % of sales units (ads attributed)</t>
        </is>
      </c>
      <c r="C45" s="6" t="n"/>
      <c r="D45" s="6" t="inlineStr">
        <is>
          <t>%</t>
        </is>
      </c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  <c r="AD45" s="42" t="n"/>
      <c r="AE45" s="42" t="n"/>
      <c r="AF45" s="42" t="n"/>
      <c r="AG45" s="42" t="n"/>
      <c r="AH45" s="42" t="n"/>
      <c r="AI45" s="42" t="n"/>
      <c r="AJ45" s="42" t="n"/>
      <c r="AK45" s="42" t="n"/>
      <c r="AL45" s="42" t="n"/>
      <c r="AM45" s="42" t="n"/>
      <c r="AN45" s="42" t="n"/>
      <c r="AO45" s="42" t="n"/>
      <c r="AP45" s="42" t="n"/>
      <c r="AQ45" s="42" t="n"/>
      <c r="AR45" s="42" t="n"/>
      <c r="AS45" s="42" t="n"/>
      <c r="AT45" s="42" t="n"/>
      <c r="AU45" s="42" t="n"/>
      <c r="AV45" s="42" t="n"/>
      <c r="AW45" s="42" t="n"/>
      <c r="AX45" s="42" t="n"/>
      <c r="AY45" s="42" t="n"/>
      <c r="AZ45" s="42" t="n"/>
      <c r="BA45" s="42" t="n"/>
      <c r="BB45" s="42" t="n"/>
      <c r="BC45" s="42" t="n"/>
      <c r="BD45" s="42" t="n"/>
    </row>
    <row r="46">
      <c r="B46" s="40" t="inlineStr">
        <is>
          <t>% of Target</t>
        </is>
      </c>
      <c r="C46" s="6" t="n"/>
      <c r="D46" s="17" t="inlineStr">
        <is>
          <t>%</t>
        </is>
      </c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  <c r="AA46" s="42" t="n"/>
      <c r="AB46" s="42" t="n"/>
      <c r="AC46" s="42" t="n"/>
      <c r="AD46" s="42" t="n"/>
      <c r="AE46" s="42" t="n"/>
      <c r="AF46" s="42" t="n"/>
      <c r="AG46" s="42" t="n"/>
      <c r="AH46" s="42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  <c r="AV46" s="42" t="n"/>
      <c r="AW46" s="42" t="n"/>
      <c r="AX46" s="42" t="n"/>
      <c r="AY46" s="42" t="n"/>
      <c r="AZ46" s="42" t="n"/>
      <c r="BA46" s="42" t="n"/>
      <c r="BB46" s="42" t="n"/>
      <c r="BC46" s="42" t="n"/>
      <c r="BD46" s="42" t="n"/>
    </row>
    <row r="47" ht="15.75" customHeight="1">
      <c r="B47" s="40" t="inlineStr">
        <is>
          <t>% of Target - YTD</t>
        </is>
      </c>
      <c r="C47" s="16" t="n"/>
      <c r="D47" s="17" t="inlineStr">
        <is>
          <t>%</t>
        </is>
      </c>
      <c r="E47" s="42">
        <f>IFERROR(SUM($E$44:E44)/SUM($E$48:E48),"")</f>
        <v/>
      </c>
      <c r="F47" s="42">
        <f>IFERROR(SUM($E$44:F44)/SUM($E$48:F48),"")</f>
        <v/>
      </c>
      <c r="G47" s="42">
        <f>IFERROR(SUM($E$44:G44)/SUM($E$48:G48),"")</f>
        <v/>
      </c>
      <c r="H47" s="42">
        <f>IFERROR(SUM($E$44:H44)/SUM($E$48:H48),"")</f>
        <v/>
      </c>
      <c r="I47" s="42">
        <f>IFERROR(SUM($E$44:I44)/SUM($E$48:I48),"")</f>
        <v/>
      </c>
      <c r="J47" s="42">
        <f>IFERROR(SUM($E$44:J44)/SUM($E$48:J48),"")</f>
        <v/>
      </c>
      <c r="K47" s="42">
        <f>IFERROR(SUM($E$44:K44)/SUM($E$48:K48),"")</f>
        <v/>
      </c>
      <c r="L47" s="42">
        <f>IFERROR(SUM($E$44:L44)/SUM($E$48:L48),"")</f>
        <v/>
      </c>
      <c r="M47" s="42">
        <f>IFERROR(SUM($E$44:M44)/SUM($E$48:M48),"")</f>
        <v/>
      </c>
      <c r="N47" s="42">
        <f>IFERROR(SUM($E$44:N44)/SUM($E$48:N48),"")</f>
        <v/>
      </c>
      <c r="O47" s="42">
        <f>IFERROR(SUM($E$44:O44)/SUM($E$48:O48),"")</f>
        <v/>
      </c>
      <c r="P47" s="42">
        <f>IFERROR(SUM($E$44:P44)/SUM($E$48:P48),"")</f>
        <v/>
      </c>
      <c r="Q47" s="42">
        <f>IFERROR(SUM($E$44:Q44)/SUM($E$48:Q48),"")</f>
        <v/>
      </c>
      <c r="R47" s="42">
        <f>IFERROR(SUM($E$44:R44)/SUM($E$48:R48),"")</f>
        <v/>
      </c>
      <c r="S47" s="42">
        <f>IFERROR(SUM($E$44:S44)/SUM($E$48:S48),"")</f>
        <v/>
      </c>
      <c r="T47" s="42">
        <f>IFERROR(SUM($E$44:T44)/SUM($E$48:T48),"")</f>
        <v/>
      </c>
      <c r="U47" s="42">
        <f>IFERROR(SUM($E$44:U44)/SUM($E$48:U48),"")</f>
        <v/>
      </c>
      <c r="V47" s="42">
        <f>IFERROR(SUM($E$44:V44)/SUM($E$48:V48),"")</f>
        <v/>
      </c>
      <c r="W47" s="42">
        <f>IFERROR(SUM($E$44:W44)/SUM($E$48:W48),"")</f>
        <v/>
      </c>
      <c r="X47" s="42">
        <f>IFERROR(SUM($E$44:X44)/SUM($E$48:X48),"")</f>
        <v/>
      </c>
      <c r="Y47" s="42">
        <f>IFERROR(SUM($E$44:Y44)/SUM($E$48:Y48),"")</f>
        <v/>
      </c>
      <c r="Z47" s="42">
        <f>IFERROR(SUM($E$44:Z44)/SUM($E$48:Z48),"")</f>
        <v/>
      </c>
      <c r="AA47" s="42">
        <f>IFERROR(SUM($E$44:AA44)/SUM($E$48:AA48),"")</f>
        <v/>
      </c>
      <c r="AB47" s="42" t="n"/>
      <c r="AC47" s="42" t="n"/>
      <c r="AD47" s="42" t="n"/>
      <c r="AE47" s="42" t="n"/>
      <c r="AF47" s="42" t="n"/>
      <c r="AG47" s="42" t="n"/>
      <c r="AH47" s="42" t="n"/>
      <c r="AI47" s="42" t="n"/>
      <c r="AJ47" s="42" t="n"/>
      <c r="AK47" s="42" t="n"/>
      <c r="AL47" s="42" t="n"/>
      <c r="AM47" s="42" t="n"/>
      <c r="AN47" s="42" t="n"/>
      <c r="AO47" s="42" t="n"/>
      <c r="AP47" s="42" t="n"/>
      <c r="AQ47" s="42" t="n"/>
      <c r="AR47" s="42" t="n"/>
      <c r="AS47" s="42" t="n"/>
      <c r="AT47" s="42" t="n"/>
      <c r="AU47" s="42" t="n"/>
      <c r="AV47" s="42" t="n"/>
      <c r="AW47" s="42" t="n"/>
      <c r="AX47" s="42" t="n"/>
      <c r="AY47" s="42" t="n"/>
      <c r="AZ47" s="42" t="n"/>
      <c r="BA47" s="42" t="n"/>
      <c r="BB47" s="42" t="n"/>
      <c r="BC47" s="42" t="n"/>
      <c r="BD47" s="42" t="n"/>
    </row>
    <row r="48">
      <c r="B48" s="9" t="inlineStr">
        <is>
          <t>Target</t>
        </is>
      </c>
      <c r="C48" s="6" t="n"/>
      <c r="D48" s="14" t="inlineStr">
        <is>
          <t>#</t>
        </is>
      </c>
      <c r="E48" s="41" t="n"/>
      <c r="F48" s="41" t="n"/>
      <c r="G48" s="41" t="n"/>
      <c r="H48" s="41" t="n"/>
      <c r="I48" s="41" t="n"/>
      <c r="J48" s="41" t="n"/>
      <c r="K48" s="41" t="n"/>
      <c r="L48" s="41" t="n"/>
      <c r="M48" s="41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  <c r="AA48" s="41" t="n"/>
      <c r="AB48" s="41" t="n"/>
      <c r="AC48" s="41" t="n"/>
      <c r="AD48" s="41" t="n"/>
      <c r="AE48" s="41" t="n"/>
      <c r="AF48" s="41" t="n"/>
      <c r="AG48" s="41" t="n"/>
      <c r="AH48" s="41" t="n"/>
      <c r="AI48" s="41" t="n"/>
      <c r="AJ48" s="41" t="n"/>
      <c r="AK48" s="41" t="n"/>
      <c r="AL48" s="41" t="n"/>
      <c r="AM48" s="41" t="n"/>
      <c r="AN48" s="41" t="n"/>
      <c r="AO48" s="41" t="n"/>
      <c r="AP48" s="41" t="n"/>
      <c r="AQ48" s="41" t="n"/>
      <c r="AR48" s="41" t="n"/>
      <c r="AS48" s="41" t="n"/>
      <c r="AT48" s="41" t="n"/>
      <c r="AU48" s="41" t="n"/>
      <c r="AV48" s="41" t="n"/>
      <c r="AW48" s="41" t="n"/>
      <c r="AX48" s="41" t="n"/>
      <c r="AY48" s="41" t="n"/>
      <c r="AZ48" s="41" t="n"/>
      <c r="BA48" s="41" t="n"/>
      <c r="BB48" s="41" t="n"/>
      <c r="BC48" s="41" t="n"/>
      <c r="BD48" s="41" t="n"/>
    </row>
    <row r="49"/>
    <row r="50" customFormat="1" s="1">
      <c r="A50" s="1" t="inlineStr">
        <is>
          <t xml:space="preserve">Promo </t>
        </is>
      </c>
      <c r="D50" s="24" t="inlineStr">
        <is>
          <t>$k</t>
        </is>
      </c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  <c r="P50" s="41" t="n"/>
      <c r="Q50" s="41" t="n">
        <v>201.34681</v>
      </c>
      <c r="R50" s="41" t="n">
        <v>77.75161999999999</v>
      </c>
      <c r="S50" s="41" t="n">
        <v>123.677</v>
      </c>
      <c r="T50" s="41" t="n">
        <v>149.84</v>
      </c>
      <c r="U50" s="41" t="n">
        <v>11.15</v>
      </c>
      <c r="V50" s="41" t="n">
        <v>4.05</v>
      </c>
      <c r="W50" s="41" t="n">
        <v>11.05</v>
      </c>
      <c r="X50" s="41" t="n">
        <v>17.6</v>
      </c>
      <c r="Y50" s="41" t="n">
        <v>189.881</v>
      </c>
      <c r="Z50" s="41" t="n">
        <v>80.19499999999999</v>
      </c>
      <c r="AA50" s="41" t="n">
        <v>33.1</v>
      </c>
      <c r="AB50" s="41" t="n"/>
      <c r="AC50" s="41" t="n"/>
      <c r="AD50" s="41" t="n"/>
      <c r="AE50" s="41" t="n"/>
      <c r="AF50" s="41" t="n"/>
      <c r="AG50" s="41" t="n"/>
      <c r="AH50" s="41" t="n"/>
      <c r="AI50" s="41" t="n"/>
      <c r="AJ50" s="41" t="n"/>
      <c r="AK50" s="41" t="n"/>
      <c r="AL50" s="41" t="n"/>
      <c r="AM50" s="41" t="n"/>
      <c r="AN50" s="41" t="n"/>
      <c r="AO50" s="41" t="n"/>
      <c r="AP50" s="41" t="n"/>
      <c r="AQ50" s="41" t="n"/>
      <c r="AR50" s="41" t="n"/>
      <c r="AS50" s="41" t="n"/>
      <c r="AT50" s="41" t="n"/>
      <c r="AU50" s="41" t="n"/>
      <c r="AV50" s="41" t="n"/>
      <c r="AW50" s="41" t="n"/>
      <c r="AX50" s="41" t="n"/>
      <c r="AY50" s="41" t="n"/>
      <c r="AZ50" s="41" t="n"/>
      <c r="BA50" s="41" t="n"/>
      <c r="BB50" s="41" t="n"/>
      <c r="BC50" s="41" t="n"/>
      <c r="BD50" s="41" t="n"/>
    </row>
    <row r="51" ht="15.75" customFormat="1" customHeight="1" s="1">
      <c r="B51" s="31" t="inlineStr">
        <is>
          <t>Finance Actuals (Monthly)</t>
        </is>
      </c>
      <c r="D51" s="32" t="inlineStr">
        <is>
          <t>$k</t>
        </is>
      </c>
      <c r="E51" s="41" t="n"/>
      <c r="F51" s="41" t="n"/>
      <c r="G51" s="41" t="n"/>
      <c r="H51" s="41" t="n">
        <v>1.8234</v>
      </c>
      <c r="I51" s="41" t="n"/>
      <c r="J51" s="41" t="n"/>
      <c r="K51" s="41" t="n"/>
      <c r="L51" s="41" t="n">
        <v>42.29267</v>
      </c>
      <c r="M51" s="41" t="n"/>
      <c r="N51" s="41" t="n"/>
      <c r="O51" s="41" t="n"/>
      <c r="P51" s="41" t="n"/>
      <c r="Q51" s="41" t="n">
        <v>356.90044</v>
      </c>
      <c r="R51" s="41" t="n"/>
      <c r="S51" s="41" t="n"/>
      <c r="T51" s="41" t="n"/>
      <c r="U51" s="41" t="n">
        <v>339.88061</v>
      </c>
      <c r="V51" s="41" t="n"/>
      <c r="W51" s="41" t="n"/>
      <c r="X51" s="41" t="n"/>
      <c r="Y51" s="41" t="n"/>
      <c r="Z51" s="41" t="n">
        <v>399.10493</v>
      </c>
      <c r="AA51" s="41" t="n"/>
      <c r="AB51" s="41" t="n"/>
      <c r="AC51" s="41" t="n"/>
      <c r="AD51" s="41" t="n"/>
      <c r="AE51" s="41" t="n"/>
      <c r="AF51" s="41" t="n"/>
      <c r="AG51" s="41" t="n"/>
      <c r="AH51" s="41" t="n"/>
      <c r="AI51" s="41" t="n"/>
      <c r="AJ51" s="41" t="n"/>
      <c r="AK51" s="41" t="n"/>
      <c r="AL51" s="41" t="n"/>
      <c r="AM51" s="41" t="n"/>
      <c r="AN51" s="41" t="n"/>
      <c r="AO51" s="41" t="n"/>
      <c r="AP51" s="41" t="n"/>
      <c r="AQ51" s="41" t="n"/>
      <c r="AR51" s="41" t="n"/>
      <c r="AS51" s="41" t="n"/>
      <c r="AT51" s="41" t="n"/>
      <c r="AU51" s="41" t="n"/>
      <c r="AV51" s="41" t="n"/>
      <c r="AW51" s="41" t="n"/>
      <c r="AX51" s="41" t="n"/>
      <c r="AY51" s="41" t="n"/>
      <c r="AZ51" s="41" t="n"/>
      <c r="BA51" s="41" t="n"/>
      <c r="BB51" s="41" t="n"/>
      <c r="BC51" s="41" t="n"/>
      <c r="BD51" s="41" t="n"/>
    </row>
    <row r="52" ht="15.75" customFormat="1" customHeight="1" s="9">
      <c r="B52" s="9" t="inlineStr">
        <is>
          <t>Budgeted (Monthly)</t>
        </is>
      </c>
      <c r="D52" s="10" t="inlineStr">
        <is>
          <t>$k</t>
        </is>
      </c>
      <c r="E52" s="41" t="n"/>
      <c r="F52" s="41" t="n"/>
      <c r="G52" s="41" t="n"/>
      <c r="H52" s="41" t="n">
        <v>0</v>
      </c>
      <c r="I52" s="41" t="n"/>
      <c r="J52" s="41" t="n"/>
      <c r="K52" s="41" t="n"/>
      <c r="L52" s="41" t="n">
        <v>0</v>
      </c>
      <c r="M52" s="41" t="n"/>
      <c r="N52" s="41" t="n"/>
      <c r="O52" s="41" t="n"/>
      <c r="P52" s="41" t="n"/>
      <c r="Q52" s="41" t="n">
        <v>301.141</v>
      </c>
      <c r="R52" s="41" t="n"/>
      <c r="S52" s="41" t="n"/>
      <c r="T52" s="41" t="n"/>
      <c r="U52" s="41" t="n">
        <v>266.459</v>
      </c>
      <c r="V52" s="41" t="n"/>
      <c r="W52" s="41" t="n"/>
      <c r="X52" s="41" t="n"/>
      <c r="Y52" s="41" t="n"/>
      <c r="Z52" s="41" t="n">
        <v>130.269</v>
      </c>
      <c r="AA52" s="41" t="n"/>
      <c r="AB52" s="41" t="n"/>
      <c r="AC52" s="41" t="n"/>
      <c r="AD52" s="41" t="n">
        <v>373.997</v>
      </c>
      <c r="AE52" s="41" t="n"/>
      <c r="AF52" s="41" t="n"/>
      <c r="AG52" s="41" t="n"/>
      <c r="AH52" s="41" t="n">
        <v>1931.059</v>
      </c>
      <c r="AI52" s="41" t="n"/>
      <c r="AJ52" s="41" t="n"/>
      <c r="AK52" s="41" t="n"/>
      <c r="AL52" s="41" t="n"/>
      <c r="AM52" s="41" t="n">
        <v>45.196</v>
      </c>
      <c r="AN52" s="41" t="n"/>
      <c r="AO52" s="41" t="n"/>
      <c r="AP52" s="41" t="n"/>
      <c r="AQ52" s="41" t="n">
        <v>105.737</v>
      </c>
      <c r="AR52" s="41" t="n"/>
      <c r="AS52" s="41" t="n"/>
      <c r="AT52" s="41" t="n"/>
      <c r="AU52" s="41" t="n">
        <v>609.049</v>
      </c>
      <c r="AV52" s="41" t="n"/>
      <c r="AW52" s="41" t="n"/>
      <c r="AX52" s="41" t="n"/>
      <c r="AY52" s="41" t="n"/>
      <c r="AZ52" s="41" t="n">
        <v>2587.696</v>
      </c>
      <c r="BA52" s="41" t="n"/>
      <c r="BB52" s="41" t="n"/>
      <c r="BC52" s="41" t="n"/>
      <c r="BD52" s="41" t="n">
        <v>2051.057</v>
      </c>
    </row>
    <row r="53">
      <c r="B53" t="inlineStr">
        <is>
          <t>As % of budget - this month</t>
        </is>
      </c>
      <c r="D53" s="6" t="inlineStr">
        <is>
          <t>%</t>
        </is>
      </c>
      <c r="E53" s="42" t="n"/>
      <c r="F53" s="42" t="n"/>
      <c r="G53" s="42" t="n"/>
      <c r="H53" s="42">
        <f>IFERROR(SUM(E50:H50)/H52,"")</f>
        <v/>
      </c>
      <c r="I53" s="42" t="n"/>
      <c r="J53" s="42" t="n"/>
      <c r="K53" s="42" t="n"/>
      <c r="L53" s="42">
        <f>IFERROR(SUM(I50:L50)/L52,"")</f>
        <v/>
      </c>
      <c r="M53" s="42" t="n"/>
      <c r="N53" s="42" t="n"/>
      <c r="O53" s="42" t="n"/>
      <c r="P53" s="42" t="n"/>
      <c r="Q53" s="42">
        <f>IFERROR(SUM(M50:Q50)/Q52,"")</f>
        <v/>
      </c>
      <c r="R53" s="42" t="n"/>
      <c r="S53" s="42" t="n"/>
      <c r="T53" s="42" t="n"/>
      <c r="U53" s="42">
        <f>IFERROR(SUM(R50:U50)/U52,"")</f>
        <v/>
      </c>
      <c r="V53" s="42" t="n"/>
      <c r="W53" s="42" t="n"/>
      <c r="X53" s="42" t="n"/>
      <c r="Y53" s="42" t="n"/>
      <c r="Z53" s="42">
        <f>IFERROR(SUM(V50:Z50)/Z52,"")</f>
        <v/>
      </c>
      <c r="AA53" s="42" t="n"/>
      <c r="AB53" s="42" t="n"/>
      <c r="AC53" s="42" t="n"/>
      <c r="AD53" s="42" t="n"/>
      <c r="AE53" s="42" t="n"/>
      <c r="AF53" s="42" t="n"/>
      <c r="AG53" s="42" t="n"/>
      <c r="AH53" s="42" t="n"/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S53" s="42" t="n"/>
      <c r="AT53" s="42" t="n"/>
      <c r="AU53" s="42" t="n"/>
      <c r="AV53" s="42" t="n"/>
      <c r="AW53" s="42" t="n"/>
      <c r="AX53" s="42" t="n"/>
      <c r="AY53" s="42" t="n"/>
      <c r="AZ53" s="42" t="n"/>
      <c r="BA53" s="42" t="n"/>
      <c r="BB53" s="42" t="n"/>
      <c r="BC53" s="42" t="n"/>
      <c r="BD53" s="42" t="n"/>
    </row>
    <row r="54">
      <c r="B54" t="inlineStr">
        <is>
          <t>As % of budget - YTD</t>
        </is>
      </c>
      <c r="D54" s="6" t="inlineStr">
        <is>
          <t>%</t>
        </is>
      </c>
      <c r="E54" s="42" t="n"/>
      <c r="F54" s="42" t="n"/>
      <c r="G54" s="42" t="n"/>
      <c r="H54" s="42">
        <f>IFERROR(SUM($E$50:H50)/SUM($E$52:H52),"")</f>
        <v/>
      </c>
      <c r="I54" s="42" t="n"/>
      <c r="J54" s="42" t="n"/>
      <c r="K54" s="42" t="n"/>
      <c r="L54" s="42">
        <f>IFERROR(SUM($E$50:L50)/SUM($E$52:L52),"")</f>
        <v/>
      </c>
      <c r="M54" s="42" t="n"/>
      <c r="N54" s="42" t="n"/>
      <c r="O54" s="42" t="n"/>
      <c r="P54" s="42" t="n"/>
      <c r="Q54" s="42">
        <f>IFERROR(SUM($E$50:Q50)/SUM($E$52:Q52),"")</f>
        <v/>
      </c>
      <c r="R54" s="42" t="n"/>
      <c r="S54" s="42" t="n"/>
      <c r="T54" s="42" t="n"/>
      <c r="U54" s="42">
        <f>IFERROR(SUM($E$50:U50)/SUM($E$52:U52),"")</f>
        <v/>
      </c>
      <c r="V54" s="42" t="n"/>
      <c r="W54" s="42" t="n"/>
      <c r="X54" s="42" t="n"/>
      <c r="Y54" s="42" t="n"/>
      <c r="Z54" s="42">
        <f>IFERROR(SUM($E$50:Z50)/SUM($E$52:Z52),"")</f>
        <v/>
      </c>
      <c r="AA54" s="42" t="n"/>
      <c r="AB54" s="42" t="n"/>
      <c r="AC54" s="42" t="n"/>
      <c r="AD54" s="42" t="n"/>
      <c r="AE54" s="42" t="n"/>
      <c r="AF54" s="42" t="n"/>
      <c r="AG54" s="42" t="n"/>
      <c r="AH54" s="42" t="n"/>
      <c r="AI54" s="42" t="n"/>
      <c r="AJ54" s="42" t="n"/>
      <c r="AK54" s="42" t="n"/>
      <c r="AL54" s="42" t="n"/>
      <c r="AM54" s="42" t="n"/>
      <c r="AN54" s="42" t="n"/>
      <c r="AO54" s="42" t="n"/>
      <c r="AP54" s="42" t="n"/>
      <c r="AQ54" s="42" t="n"/>
      <c r="AR54" s="42" t="n"/>
      <c r="AS54" s="42" t="n"/>
      <c r="AT54" s="42" t="n"/>
      <c r="AU54" s="42" t="n"/>
      <c r="AV54" s="42" t="n"/>
      <c r="AW54" s="42" t="n"/>
      <c r="AX54" s="42" t="n"/>
      <c r="AY54" s="42" t="n"/>
      <c r="AZ54" s="42" t="n"/>
      <c r="BA54" s="42" t="n"/>
      <c r="BB54" s="42" t="n"/>
      <c r="BC54" s="42" t="n"/>
      <c r="BD54" s="42" t="n"/>
    </row>
    <row r="55"/>
    <row r="56">
      <c r="A56" s="1" t="inlineStr">
        <is>
          <t>Ads - On-site</t>
        </is>
      </c>
      <c r="B56" s="1" t="n"/>
      <c r="C56" s="1" t="n"/>
      <c r="D56" s="24" t="inlineStr">
        <is>
          <t>$k</t>
        </is>
      </c>
      <c r="E56" s="41" t="n"/>
      <c r="F56" s="41" t="n"/>
      <c r="G56" s="41" t="n"/>
      <c r="H56" s="41" t="n"/>
      <c r="I56" s="41" t="n"/>
      <c r="J56" s="41" t="n">
        <v>43.9118</v>
      </c>
      <c r="K56" s="41" t="n">
        <v>51.72735</v>
      </c>
      <c r="L56" s="41" t="n">
        <v>51.55761</v>
      </c>
      <c r="M56" s="41" t="n">
        <v>48.37319</v>
      </c>
      <c r="N56" s="41" t="n">
        <v>45.75354</v>
      </c>
      <c r="O56" s="41" t="n">
        <v>44.56591</v>
      </c>
      <c r="P56" s="41" t="n">
        <v>43.45617</v>
      </c>
      <c r="Q56" s="41" t="n">
        <v>51.82136</v>
      </c>
      <c r="R56" s="41" t="n">
        <v>43.78395</v>
      </c>
      <c r="S56" s="41" t="n">
        <v>44.39185</v>
      </c>
      <c r="T56" s="41" t="n">
        <v>51.95358</v>
      </c>
      <c r="U56" s="41" t="n">
        <v>43.527</v>
      </c>
      <c r="V56" s="41" t="n">
        <v>44.14662000000001</v>
      </c>
      <c r="W56" s="41" t="n">
        <v>41.57694</v>
      </c>
      <c r="X56" s="41" t="n">
        <v>41.89388</v>
      </c>
      <c r="Y56" s="41" t="n">
        <v>46.87757</v>
      </c>
      <c r="Z56" s="41" t="n">
        <v>47.55178</v>
      </c>
      <c r="AA56" s="41" t="n">
        <v>44.92541000000001</v>
      </c>
      <c r="AB56" s="41" t="n"/>
      <c r="AC56" s="41" t="n"/>
      <c r="AD56" s="41" t="n"/>
      <c r="AE56" s="41" t="n"/>
      <c r="AF56" s="41" t="n"/>
      <c r="AG56" s="41" t="n"/>
      <c r="AH56" s="41" t="n"/>
      <c r="AI56" s="41" t="n"/>
      <c r="AJ56" s="41" t="n"/>
      <c r="AK56" s="41" t="n"/>
      <c r="AL56" s="41" t="n"/>
      <c r="AM56" s="41" t="n"/>
      <c r="AN56" s="41" t="n"/>
      <c r="AO56" s="41" t="n"/>
      <c r="AP56" s="41" t="n"/>
      <c r="AQ56" s="41" t="n"/>
      <c r="AR56" s="41" t="n"/>
      <c r="AS56" s="41" t="n"/>
      <c r="AT56" s="41" t="n"/>
      <c r="AU56" s="41" t="n"/>
      <c r="AV56" s="41" t="n"/>
      <c r="AW56" s="41" t="n"/>
      <c r="AX56" s="41" t="n"/>
      <c r="AY56" s="41" t="n"/>
      <c r="AZ56" s="41" t="n"/>
      <c r="BA56" s="41" t="n"/>
      <c r="BB56" s="41" t="n"/>
      <c r="BC56" s="41" t="n"/>
      <c r="BD56" s="41" t="n"/>
    </row>
    <row r="57" ht="15.75" customHeight="1">
      <c r="A57" s="1" t="n"/>
      <c r="B57" s="31" t="inlineStr">
        <is>
          <t>Finance Actuals (Monthly)</t>
        </is>
      </c>
      <c r="C57" s="1" t="n"/>
      <c r="D57" s="32" t="inlineStr">
        <is>
          <t>$k</t>
        </is>
      </c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  <c r="AB57" s="41" t="n"/>
      <c r="AC57" s="41" t="n"/>
      <c r="AD57" s="41" t="n"/>
      <c r="AE57" s="41" t="n"/>
      <c r="AF57" s="41" t="n"/>
      <c r="AG57" s="41" t="n"/>
      <c r="AH57" s="41" t="n"/>
      <c r="AI57" s="41" t="n"/>
      <c r="AJ57" s="41" t="n"/>
      <c r="AK57" s="41" t="n"/>
      <c r="AL57" s="41" t="n"/>
      <c r="AM57" s="41" t="n"/>
      <c r="AN57" s="41" t="n"/>
      <c r="AO57" s="41" t="n"/>
      <c r="AP57" s="41" t="n"/>
      <c r="AQ57" s="41" t="n"/>
      <c r="AR57" s="41" t="n"/>
      <c r="AS57" s="41" t="n"/>
      <c r="AT57" s="41" t="n"/>
      <c r="AU57" s="41" t="n"/>
      <c r="AV57" s="41" t="n"/>
      <c r="AW57" s="41" t="n"/>
      <c r="AX57" s="41" t="n"/>
      <c r="AY57" s="41" t="n"/>
      <c r="AZ57" s="41" t="n"/>
      <c r="BA57" s="41" t="n"/>
      <c r="BB57" s="41" t="n"/>
      <c r="BC57" s="41" t="n"/>
      <c r="BD57" s="41" t="n"/>
    </row>
    <row r="58" ht="15.75" customHeight="1">
      <c r="B58" s="9" t="inlineStr">
        <is>
          <t>Budgeted (Monthly) - On-site</t>
        </is>
      </c>
      <c r="D58" s="10" t="inlineStr">
        <is>
          <t>$k</t>
        </is>
      </c>
      <c r="E58" s="41" t="n"/>
      <c r="F58" s="41" t="n"/>
      <c r="G58" s="41" t="n"/>
      <c r="H58" s="41" t="n">
        <v>164.137</v>
      </c>
      <c r="I58" s="41" t="n"/>
      <c r="J58" s="41" t="n"/>
      <c r="K58" s="41" t="n"/>
      <c r="L58" s="41" t="n">
        <v>131.311</v>
      </c>
      <c r="M58" s="41" t="n"/>
      <c r="N58" s="41" t="n"/>
      <c r="O58" s="41" t="n"/>
      <c r="P58" s="41" t="n"/>
      <c r="Q58" s="41" t="n">
        <v>145.379</v>
      </c>
      <c r="R58" s="41" t="n"/>
      <c r="S58" s="41" t="n"/>
      <c r="T58" s="41" t="n"/>
      <c r="U58" s="41" t="n">
        <v>140.688</v>
      </c>
      <c r="V58" s="41" t="n"/>
      <c r="W58" s="41" t="n"/>
      <c r="X58" s="41" t="n"/>
      <c r="Y58" s="41" t="n"/>
      <c r="Z58" s="41" t="n">
        <v>150.039</v>
      </c>
      <c r="AA58" s="41" t="n"/>
      <c r="AB58" s="41" t="n"/>
      <c r="AC58" s="41" t="n"/>
      <c r="AD58" s="41" t="n">
        <v>145.509</v>
      </c>
      <c r="AE58" s="41" t="n"/>
      <c r="AF58" s="41" t="n"/>
      <c r="AG58" s="41" t="n"/>
      <c r="AH58" s="41" t="n">
        <v>150.36</v>
      </c>
      <c r="AI58" s="41" t="n"/>
      <c r="AJ58" s="41" t="n"/>
      <c r="AK58" s="41" t="n"/>
      <c r="AL58" s="41" t="n"/>
      <c r="AM58" s="41" t="n">
        <v>151.359</v>
      </c>
      <c r="AN58" s="41" t="n"/>
      <c r="AO58" s="41" t="n"/>
      <c r="AP58" s="41" t="n"/>
      <c r="AQ58" s="41" t="n">
        <v>160.507</v>
      </c>
      <c r="AR58" s="41" t="n"/>
      <c r="AS58" s="41" t="n"/>
      <c r="AT58" s="41" t="n"/>
      <c r="AU58" s="41" t="n">
        <v>165.857</v>
      </c>
      <c r="AV58" s="41" t="n"/>
      <c r="AW58" s="41" t="n"/>
      <c r="AX58" s="41" t="n"/>
      <c r="AY58" s="41" t="n"/>
      <c r="AZ58" s="41" t="n">
        <v>160.507</v>
      </c>
      <c r="BA58" s="41" t="n"/>
      <c r="BB58" s="41" t="n"/>
      <c r="BC58" s="41" t="n"/>
      <c r="BD58" s="41" t="n">
        <v>139.107</v>
      </c>
    </row>
    <row r="59">
      <c r="B59" t="inlineStr">
        <is>
          <t>As % of budget - this month</t>
        </is>
      </c>
      <c r="D59" s="6" t="inlineStr">
        <is>
          <t>%</t>
        </is>
      </c>
      <c r="E59" s="42" t="n"/>
      <c r="F59" s="42" t="n"/>
      <c r="G59" s="42" t="n"/>
      <c r="H59" s="42">
        <f>IFERROR(SUM(E56:H56)/H58,"")</f>
        <v/>
      </c>
      <c r="I59" s="42" t="n"/>
      <c r="J59" s="42" t="n"/>
      <c r="K59" s="42" t="n"/>
      <c r="L59" s="42">
        <f>IFERROR(SUM(I56:L56)/L58,"")</f>
        <v/>
      </c>
      <c r="M59" s="42" t="n"/>
      <c r="N59" s="42" t="n"/>
      <c r="O59" s="42" t="n"/>
      <c r="P59" s="42" t="n"/>
      <c r="Q59" s="42">
        <f>IFERROR(SUM(M56:Q56)/Q58,"")</f>
        <v/>
      </c>
      <c r="R59" s="42" t="n"/>
      <c r="S59" s="42" t="n"/>
      <c r="T59" s="42" t="n"/>
      <c r="U59" s="42">
        <f>IFERROR(SUM(R56:U56)/U58,"")</f>
        <v/>
      </c>
      <c r="V59" s="42" t="n"/>
      <c r="W59" s="42" t="n"/>
      <c r="X59" s="42" t="n"/>
      <c r="Y59" s="42" t="n"/>
      <c r="Z59" s="42">
        <f>IFERROR(SUM(V56:Z56)/Z58,"")</f>
        <v/>
      </c>
      <c r="AA59" s="42" t="n"/>
      <c r="AB59" s="42" t="n"/>
      <c r="AC59" s="42" t="n"/>
      <c r="AD59" s="42" t="n"/>
      <c r="AE59" s="42" t="n"/>
      <c r="AF59" s="42" t="n"/>
      <c r="AG59" s="42" t="n"/>
      <c r="AH59" s="42" t="n"/>
      <c r="AI59" s="42" t="n"/>
      <c r="AJ59" s="42" t="n"/>
      <c r="AK59" s="42" t="n"/>
      <c r="AL59" s="42" t="n"/>
      <c r="AM59" s="42" t="n"/>
      <c r="AN59" s="42" t="n"/>
      <c r="AO59" s="42" t="n"/>
      <c r="AP59" s="42" t="n"/>
      <c r="AQ59" s="42" t="n"/>
      <c r="AR59" s="42" t="n"/>
      <c r="AS59" s="42" t="n"/>
      <c r="AT59" s="42" t="n"/>
      <c r="AU59" s="42" t="n"/>
      <c r="AV59" s="42" t="n"/>
      <c r="AW59" s="42" t="n"/>
      <c r="AX59" s="42" t="n"/>
      <c r="AY59" s="42" t="n"/>
      <c r="AZ59" s="42" t="n"/>
      <c r="BA59" s="42" t="n"/>
      <c r="BB59" s="42" t="n"/>
      <c r="BC59" s="42" t="n"/>
      <c r="BD59" s="42" t="n"/>
    </row>
    <row r="60">
      <c r="B60" t="inlineStr">
        <is>
          <t>As % of budget - YTD</t>
        </is>
      </c>
      <c r="D60" s="6" t="inlineStr">
        <is>
          <t>%</t>
        </is>
      </c>
      <c r="E60" s="42" t="n"/>
      <c r="F60" s="42" t="n"/>
      <c r="G60" s="42" t="n"/>
      <c r="H60" s="42">
        <f>IFERROR(SUM($E$56:H56)/SUM($E$58:H58),"")</f>
        <v/>
      </c>
      <c r="I60" s="42" t="n"/>
      <c r="J60" s="42" t="n"/>
      <c r="K60" s="42" t="n"/>
      <c r="L60" s="42">
        <f>IFERROR(SUM($E$56:L56)/SUM($E$58:L58),"")</f>
        <v/>
      </c>
      <c r="M60" s="42" t="n"/>
      <c r="N60" s="42" t="n"/>
      <c r="O60" s="42" t="n"/>
      <c r="P60" s="42" t="n"/>
      <c r="Q60" s="42">
        <f>IFERROR(SUM($E$56:Q56)/SUM($E$58:Q58),"")</f>
        <v/>
      </c>
      <c r="R60" s="42" t="n"/>
      <c r="S60" s="42" t="n"/>
      <c r="T60" s="42" t="n"/>
      <c r="U60" s="42">
        <f>IFERROR(SUM($E$56:U56)/SUM($E$58:U58),"")</f>
        <v/>
      </c>
      <c r="V60" s="42" t="n"/>
      <c r="W60" s="42" t="n"/>
      <c r="X60" s="42" t="n"/>
      <c r="Y60" s="42" t="n"/>
      <c r="Z60" s="42">
        <f>IFERROR(SUM($E$56:Z56)/SUM($E$58:Z58),"")</f>
        <v/>
      </c>
      <c r="AA60" s="42" t="n"/>
      <c r="AB60" s="42" t="n"/>
      <c r="AC60" s="42" t="n"/>
      <c r="AD60" s="42" t="n"/>
      <c r="AE60" s="42" t="n"/>
      <c r="AF60" s="42" t="n"/>
      <c r="AG60" s="42" t="n"/>
      <c r="AH60" s="42" t="n"/>
      <c r="AI60" s="42" t="n"/>
      <c r="AJ60" s="42" t="n"/>
      <c r="AK60" s="42" t="n"/>
      <c r="AL60" s="42" t="n"/>
      <c r="AM60" s="42" t="n"/>
      <c r="AN60" s="42" t="n"/>
      <c r="AO60" s="42" t="n"/>
      <c r="AP60" s="42" t="n"/>
      <c r="AQ60" s="42" t="n"/>
      <c r="AR60" s="42" t="n"/>
      <c r="AS60" s="42" t="n"/>
      <c r="AT60" s="42" t="n"/>
      <c r="AU60" s="42" t="n"/>
      <c r="AV60" s="42" t="n"/>
      <c r="AW60" s="42" t="n"/>
      <c r="AX60" s="42" t="n"/>
      <c r="AY60" s="42" t="n"/>
      <c r="AZ60" s="42" t="n"/>
      <c r="BA60" s="42" t="n"/>
      <c r="BB60" s="42" t="n"/>
      <c r="BC60" s="42" t="n"/>
      <c r="BD60" s="42" t="n"/>
    </row>
    <row r="61"/>
    <row r="62">
      <c r="A62" s="1" t="inlineStr">
        <is>
          <t>Ads - DSP</t>
        </is>
      </c>
      <c r="B62" s="1" t="n"/>
      <c r="C62" s="1" t="n"/>
      <c r="D62" s="24" t="inlineStr">
        <is>
          <t>$k</t>
        </is>
      </c>
      <c r="E62" s="41" t="n">
        <v>3.54796</v>
      </c>
      <c r="F62" s="41" t="n">
        <v>5.75428</v>
      </c>
      <c r="G62" s="41" t="n">
        <v>4.30798</v>
      </c>
      <c r="H62" s="41" t="n">
        <v>5.47452</v>
      </c>
      <c r="I62" s="41" t="n">
        <v>6.75321</v>
      </c>
      <c r="J62" s="41" t="n">
        <v>8.345030000000001</v>
      </c>
      <c r="K62" s="41" t="n">
        <v>7.8492</v>
      </c>
      <c r="L62" s="41" t="n">
        <v>7.36939</v>
      </c>
      <c r="M62" s="41" t="n">
        <v>6.31522</v>
      </c>
      <c r="N62" s="41" t="n">
        <v>7.600890000000001</v>
      </c>
      <c r="O62" s="41" t="n">
        <v>7.82422</v>
      </c>
      <c r="P62" s="41" t="n">
        <v>7.56384</v>
      </c>
      <c r="Q62" s="41" t="n">
        <v>8.79857</v>
      </c>
      <c r="R62" s="41" t="n">
        <v>8.025600000000001</v>
      </c>
      <c r="S62" s="41" t="n">
        <v>9.043340000000001</v>
      </c>
      <c r="T62" s="41" t="n">
        <v>8.501959999999999</v>
      </c>
      <c r="U62" s="41" t="n">
        <v>7.87561</v>
      </c>
      <c r="V62" s="41" t="n">
        <v>6.81076</v>
      </c>
      <c r="W62" s="41" t="n">
        <v>8.074020000000001</v>
      </c>
      <c r="X62" s="41" t="n">
        <v>8.19957</v>
      </c>
      <c r="Y62" s="41" t="n">
        <v>8.184749999999999</v>
      </c>
      <c r="Z62" s="41" t="n">
        <v>7.65325</v>
      </c>
      <c r="AA62" s="41" t="n">
        <v>12.891</v>
      </c>
      <c r="AB62" s="41" t="n"/>
      <c r="AC62" s="41" t="n"/>
      <c r="AD62" s="41" t="n"/>
      <c r="AE62" s="41" t="n"/>
      <c r="AF62" s="41" t="n"/>
      <c r="AG62" s="41" t="n"/>
      <c r="AH62" s="41" t="n"/>
      <c r="AI62" s="41" t="n"/>
      <c r="AJ62" s="41" t="n"/>
      <c r="AK62" s="41" t="n"/>
      <c r="AL62" s="41" t="n"/>
      <c r="AM62" s="41" t="n"/>
      <c r="AN62" s="41" t="n"/>
      <c r="AO62" s="41" t="n"/>
      <c r="AP62" s="41" t="n"/>
      <c r="AQ62" s="41" t="n"/>
      <c r="AR62" s="41" t="n"/>
      <c r="AS62" s="41" t="n"/>
      <c r="AT62" s="41" t="n"/>
      <c r="AU62" s="41" t="n"/>
      <c r="AV62" s="41" t="n"/>
      <c r="AW62" s="41" t="n"/>
      <c r="AX62" s="41" t="n"/>
      <c r="AY62" s="41" t="n"/>
      <c r="AZ62" s="41" t="n"/>
      <c r="BA62" s="41" t="n"/>
      <c r="BB62" s="41" t="n"/>
      <c r="BC62" s="41" t="n"/>
      <c r="BD62" s="41" t="n"/>
    </row>
    <row r="63" ht="15.75" customHeight="1">
      <c r="A63" s="1" t="n"/>
      <c r="B63" s="31" t="inlineStr">
        <is>
          <t>Finance Actuals (Monthly)</t>
        </is>
      </c>
      <c r="C63" s="1" t="n"/>
      <c r="D63" s="32" t="inlineStr">
        <is>
          <t>$k</t>
        </is>
      </c>
      <c r="E63" s="41" t="n"/>
      <c r="F63" s="41" t="n"/>
      <c r="G63" s="41" t="n"/>
      <c r="H63" s="41" t="n"/>
      <c r="I63" s="41" t="n"/>
      <c r="J63" s="41" t="n"/>
      <c r="K63" s="41" t="n"/>
      <c r="L63" s="41" t="n"/>
      <c r="M63" s="41" t="n"/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  <c r="AA63" s="41" t="n"/>
      <c r="AB63" s="41" t="n"/>
      <c r="AC63" s="41" t="n"/>
      <c r="AD63" s="41" t="n"/>
      <c r="AE63" s="41" t="n"/>
      <c r="AF63" s="41" t="n"/>
      <c r="AG63" s="41" t="n"/>
      <c r="AH63" s="41" t="n"/>
      <c r="AI63" s="41" t="n"/>
      <c r="AJ63" s="41" t="n"/>
      <c r="AK63" s="41" t="n"/>
      <c r="AL63" s="41" t="n"/>
      <c r="AM63" s="41" t="n"/>
      <c r="AN63" s="41" t="n"/>
      <c r="AO63" s="41" t="n"/>
      <c r="AP63" s="41" t="n"/>
      <c r="AQ63" s="41" t="n"/>
      <c r="AR63" s="41" t="n"/>
      <c r="AS63" s="41" t="n"/>
      <c r="AT63" s="41" t="n"/>
      <c r="AU63" s="41" t="n"/>
      <c r="AV63" s="41" t="n"/>
      <c r="AW63" s="41" t="n"/>
      <c r="AX63" s="41" t="n"/>
      <c r="AY63" s="41" t="n"/>
      <c r="AZ63" s="41" t="n"/>
      <c r="BA63" s="41" t="n"/>
      <c r="BB63" s="41" t="n"/>
      <c r="BC63" s="41" t="n"/>
      <c r="BD63" s="41" t="n"/>
    </row>
    <row r="64" ht="15.75" customHeight="1">
      <c r="B64" s="9" t="inlineStr">
        <is>
          <t>Budgeted (Monthly) - DSP</t>
        </is>
      </c>
      <c r="D64" s="10" t="inlineStr">
        <is>
          <t>$k</t>
        </is>
      </c>
      <c r="E64" s="41" t="n"/>
      <c r="F64" s="41" t="n"/>
      <c r="G64" s="41" t="n"/>
      <c r="H64" s="41" t="n">
        <v>25</v>
      </c>
      <c r="I64" s="41" t="n"/>
      <c r="J64" s="41" t="n"/>
      <c r="K64" s="41" t="n"/>
      <c r="L64" s="41" t="n">
        <v>30</v>
      </c>
      <c r="M64" s="41" t="n"/>
      <c r="N64" s="41" t="n"/>
      <c r="O64" s="41" t="n"/>
      <c r="P64" s="41" t="n"/>
      <c r="Q64" s="41" t="n">
        <v>35</v>
      </c>
      <c r="R64" s="41" t="n"/>
      <c r="S64" s="41" t="n"/>
      <c r="T64" s="41" t="n"/>
      <c r="U64" s="41" t="n">
        <v>25</v>
      </c>
      <c r="V64" s="41" t="n"/>
      <c r="W64" s="41" t="n"/>
      <c r="X64" s="41" t="n"/>
      <c r="Y64" s="41" t="n"/>
      <c r="Z64" s="41" t="n">
        <v>25</v>
      </c>
      <c r="AA64" s="41" t="n"/>
      <c r="AB64" s="41" t="n"/>
      <c r="AC64" s="41" t="n"/>
      <c r="AD64" s="41" t="n">
        <v>25</v>
      </c>
      <c r="AE64" s="41" t="n"/>
      <c r="AF64" s="41" t="n"/>
      <c r="AG64" s="41" t="n"/>
      <c r="AH64" s="41" t="n">
        <v>45</v>
      </c>
      <c r="AI64" s="41" t="n"/>
      <c r="AJ64" s="41" t="n"/>
      <c r="AK64" s="41" t="n"/>
      <c r="AL64" s="41" t="n"/>
      <c r="AM64" s="41" t="n">
        <v>25</v>
      </c>
      <c r="AN64" s="41" t="n"/>
      <c r="AO64" s="41" t="n"/>
      <c r="AP64" s="41" t="n"/>
      <c r="AQ64" s="41" t="n">
        <v>25</v>
      </c>
      <c r="AR64" s="41" t="n"/>
      <c r="AS64" s="41" t="n"/>
      <c r="AT64" s="41" t="n"/>
      <c r="AU64" s="41" t="n">
        <v>35</v>
      </c>
      <c r="AV64" s="41" t="n"/>
      <c r="AW64" s="41" t="n"/>
      <c r="AX64" s="41" t="n"/>
      <c r="AY64" s="41" t="n"/>
      <c r="AZ64" s="41" t="n">
        <v>45</v>
      </c>
      <c r="BA64" s="41" t="n"/>
      <c r="BB64" s="41" t="n"/>
      <c r="BC64" s="41" t="n"/>
      <c r="BD64" s="41" t="n">
        <v>30</v>
      </c>
    </row>
    <row r="65">
      <c r="B65" t="inlineStr">
        <is>
          <t>As % of budget - this month</t>
        </is>
      </c>
      <c r="D65" s="6" t="inlineStr">
        <is>
          <t>%</t>
        </is>
      </c>
      <c r="E65" s="42" t="n"/>
      <c r="F65" s="42" t="n"/>
      <c r="G65" s="42" t="n"/>
      <c r="H65" s="42">
        <f>IFERROR(SUM(E62:H62)/H64,"")</f>
        <v/>
      </c>
      <c r="I65" s="42" t="n"/>
      <c r="J65" s="42" t="n"/>
      <c r="K65" s="42" t="n"/>
      <c r="L65" s="42">
        <f>IFERROR(SUM(I62:L62)/L64,"")</f>
        <v/>
      </c>
      <c r="M65" s="42" t="n"/>
      <c r="N65" s="42" t="n"/>
      <c r="O65" s="42" t="n"/>
      <c r="P65" s="42" t="n"/>
      <c r="Q65" s="42">
        <f>IFERROR(SUM(M62:Q62)/Q64,"")</f>
        <v/>
      </c>
      <c r="R65" s="42" t="n"/>
      <c r="S65" s="42" t="n"/>
      <c r="T65" s="42" t="n"/>
      <c r="U65" s="42">
        <f>IFERROR(SUM(R62:U62)/U64,"")</f>
        <v/>
      </c>
      <c r="V65" s="42" t="n"/>
      <c r="W65" s="42" t="n"/>
      <c r="X65" s="42" t="n"/>
      <c r="Y65" s="42" t="n"/>
      <c r="Z65" s="42">
        <f>IFERROR(SUM(V62:Z62)/Z64,"")</f>
        <v/>
      </c>
      <c r="AA65" s="42" t="n"/>
      <c r="AB65" s="42" t="n"/>
      <c r="AC65" s="42" t="n"/>
      <c r="AD65" s="42" t="n"/>
      <c r="AE65" s="42" t="n"/>
      <c r="AF65" s="42" t="n"/>
      <c r="AG65" s="42" t="n"/>
      <c r="AH65" s="42" t="n"/>
      <c r="AI65" s="42" t="n"/>
      <c r="AJ65" s="42" t="n"/>
      <c r="AK65" s="42" t="n"/>
      <c r="AL65" s="42" t="n"/>
      <c r="AM65" s="42" t="n"/>
      <c r="AN65" s="42" t="n"/>
      <c r="AO65" s="42" t="n"/>
      <c r="AP65" s="42" t="n"/>
      <c r="AQ65" s="42" t="n"/>
      <c r="AR65" s="42" t="n"/>
      <c r="AS65" s="42" t="n"/>
      <c r="AT65" s="42" t="n"/>
      <c r="AU65" s="42" t="n"/>
      <c r="AV65" s="42" t="n"/>
      <c r="AW65" s="42" t="n"/>
      <c r="AX65" s="42" t="n"/>
      <c r="AY65" s="42" t="n"/>
      <c r="AZ65" s="42" t="n"/>
      <c r="BA65" s="42" t="n"/>
      <c r="BB65" s="42" t="n"/>
      <c r="BC65" s="42" t="n"/>
      <c r="BD65" s="42" t="n"/>
    </row>
    <row r="66">
      <c r="B66" t="inlineStr">
        <is>
          <t>As % of budget - YTD</t>
        </is>
      </c>
      <c r="D66" s="6" t="inlineStr">
        <is>
          <t>%</t>
        </is>
      </c>
      <c r="E66" s="42" t="n"/>
      <c r="F66" s="42" t="n"/>
      <c r="G66" s="42" t="n"/>
      <c r="H66" s="42">
        <f>IFERROR(SUM($E$62:H62)/SUM($E$64:H64),"")</f>
        <v/>
      </c>
      <c r="I66" s="42" t="n"/>
      <c r="J66" s="42" t="n"/>
      <c r="K66" s="42" t="n"/>
      <c r="L66" s="42">
        <f>IFERROR(SUM($E$62:L62)/SUM($E$64:L64),"")</f>
        <v/>
      </c>
      <c r="M66" s="42" t="n"/>
      <c r="N66" s="42" t="n"/>
      <c r="O66" s="42" t="n"/>
      <c r="P66" s="42" t="n"/>
      <c r="Q66" s="42">
        <f>IFERROR(SUM($E$62:Q62)/SUM($E$64:Q64),"")</f>
        <v/>
      </c>
      <c r="R66" s="42" t="n"/>
      <c r="S66" s="42" t="n"/>
      <c r="T66" s="42" t="n"/>
      <c r="U66" s="42">
        <f>IFERROR(SUM($E$62:U62)/SUM($E$64:U64),"")</f>
        <v/>
      </c>
      <c r="V66" s="42" t="n"/>
      <c r="W66" s="42" t="n"/>
      <c r="X66" s="42" t="n"/>
      <c r="Y66" s="42" t="n"/>
      <c r="Z66" s="42">
        <f>IFERROR(SUM($E$62:Z62)/SUM($E$64:Z64),"")</f>
        <v/>
      </c>
      <c r="AA66" s="42" t="n"/>
      <c r="AB66" s="42" t="n"/>
      <c r="AC66" s="42" t="n"/>
      <c r="AD66" s="42" t="n"/>
      <c r="AE66" s="42" t="n"/>
      <c r="AF66" s="42" t="n"/>
      <c r="AG66" s="42" t="n"/>
      <c r="AH66" s="42" t="n"/>
      <c r="AI66" s="42" t="n"/>
      <c r="AJ66" s="42" t="n"/>
      <c r="AK66" s="42" t="n"/>
      <c r="AL66" s="42" t="n"/>
      <c r="AM66" s="42" t="n"/>
      <c r="AN66" s="42" t="n"/>
      <c r="AO66" s="42" t="n"/>
      <c r="AP66" s="42" t="n"/>
      <c r="AQ66" s="42" t="n"/>
      <c r="AR66" s="42" t="n"/>
      <c r="AS66" s="42" t="n"/>
      <c r="AT66" s="42" t="n"/>
      <c r="AU66" s="42" t="n"/>
      <c r="AV66" s="42" t="n"/>
      <c r="AW66" s="42" t="n"/>
      <c r="AX66" s="42" t="n"/>
      <c r="AY66" s="42" t="n"/>
      <c r="AZ66" s="42" t="n"/>
      <c r="BA66" s="42" t="n"/>
      <c r="BB66" s="42" t="n"/>
      <c r="BC66" s="42" t="n"/>
      <c r="BD66" s="42" t="n"/>
    </row>
    <row r="67"/>
    <row r="68" customFormat="1" s="1">
      <c r="A68" s="1" t="inlineStr">
        <is>
          <t>Ads (On-site + DSP)</t>
        </is>
      </c>
      <c r="D68" s="24" t="inlineStr">
        <is>
          <t>$k</t>
        </is>
      </c>
      <c r="E68" s="41">
        <f>E56+E62</f>
        <v/>
      </c>
      <c r="F68" s="41">
        <f>F56+F62</f>
        <v/>
      </c>
      <c r="G68" s="41">
        <f>G56+G62</f>
        <v/>
      </c>
      <c r="H68" s="41">
        <f>H56+H62</f>
        <v/>
      </c>
      <c r="I68" s="41">
        <f>I56+I62</f>
        <v/>
      </c>
      <c r="J68" s="41">
        <f>J56+J62</f>
        <v/>
      </c>
      <c r="K68" s="41">
        <f>K56+K62</f>
        <v/>
      </c>
      <c r="L68" s="41">
        <f>L56+L62</f>
        <v/>
      </c>
      <c r="M68" s="41">
        <f>M56+M62</f>
        <v/>
      </c>
      <c r="N68" s="41">
        <f>N56+N62</f>
        <v/>
      </c>
      <c r="O68" s="41">
        <f>O56+O62</f>
        <v/>
      </c>
      <c r="P68" s="41">
        <f>P56+P62</f>
        <v/>
      </c>
      <c r="Q68" s="41">
        <f>Q56+Q62</f>
        <v/>
      </c>
      <c r="R68" s="41">
        <f>R56+R62</f>
        <v/>
      </c>
      <c r="S68" s="41">
        <f>S56+S62</f>
        <v/>
      </c>
      <c r="T68" s="41">
        <f>T56+T62</f>
        <v/>
      </c>
      <c r="U68" s="41">
        <f>U56+U62</f>
        <v/>
      </c>
      <c r="V68" s="41">
        <f>V56+V62</f>
        <v/>
      </c>
      <c r="W68" s="41">
        <f>W56+W62</f>
        <v/>
      </c>
      <c r="X68" s="41">
        <f>X56+X62</f>
        <v/>
      </c>
      <c r="Y68" s="41">
        <f>Y56+Y62</f>
        <v/>
      </c>
      <c r="Z68" s="41">
        <f>Z56+Z62</f>
        <v/>
      </c>
      <c r="AA68" s="41">
        <f>AA56+AA62</f>
        <v/>
      </c>
      <c r="AB68" s="41" t="n"/>
      <c r="AC68" s="41" t="n"/>
      <c r="AD68" s="41" t="n"/>
      <c r="AE68" s="41" t="n"/>
      <c r="AF68" s="41" t="n"/>
      <c r="AG68" s="41" t="n"/>
      <c r="AH68" s="41" t="n"/>
      <c r="AI68" s="41" t="n"/>
      <c r="AJ68" s="41" t="n"/>
      <c r="AK68" s="41" t="n"/>
      <c r="AL68" s="41" t="n"/>
      <c r="AM68" s="41" t="n"/>
      <c r="AN68" s="41" t="n"/>
      <c r="AO68" s="41" t="n"/>
      <c r="AP68" s="41" t="n"/>
      <c r="AQ68" s="41" t="n"/>
      <c r="AR68" s="41" t="n"/>
      <c r="AS68" s="41" t="n"/>
      <c r="AT68" s="41" t="n"/>
      <c r="AU68" s="41" t="n"/>
      <c r="AV68" s="41" t="n"/>
      <c r="AW68" s="41" t="n"/>
      <c r="AX68" s="41" t="n"/>
      <c r="AY68" s="41" t="n"/>
      <c r="AZ68" s="41" t="n"/>
      <c r="BA68" s="41" t="n"/>
      <c r="BB68" s="41" t="n"/>
      <c r="BC68" s="41" t="n"/>
      <c r="BD68" s="41" t="n"/>
    </row>
    <row r="69" ht="15.75" customFormat="1" customHeight="1" s="1">
      <c r="B69" s="31" t="inlineStr">
        <is>
          <t>Finance Actuals (Monthly)</t>
        </is>
      </c>
      <c r="D69" s="32" t="inlineStr">
        <is>
          <t>$k</t>
        </is>
      </c>
      <c r="E69" s="41" t="n"/>
      <c r="F69" s="41" t="n"/>
      <c r="G69" s="41" t="n"/>
      <c r="H69" s="41" t="n"/>
      <c r="I69" s="41" t="n"/>
      <c r="J69" s="41" t="n"/>
      <c r="K69" s="41" t="n"/>
      <c r="L69" s="41" t="n"/>
      <c r="M69" s="41" t="n"/>
      <c r="N69" s="41" t="n"/>
      <c r="O69" s="41" t="n"/>
      <c r="P69" s="41" t="n"/>
      <c r="Q69" s="41" t="n"/>
      <c r="R69" s="41" t="n"/>
      <c r="S69" s="41" t="n"/>
      <c r="T69" s="41" t="n"/>
      <c r="U69" s="41" t="n"/>
      <c r="V69" s="41" t="n"/>
      <c r="W69" s="41" t="n"/>
      <c r="X69" s="41" t="n"/>
      <c r="Y69" s="41" t="n"/>
      <c r="Z69" s="41" t="n"/>
      <c r="AA69" s="41" t="n"/>
      <c r="AB69" s="41" t="n"/>
      <c r="AC69" s="41" t="n"/>
      <c r="AD69" s="41" t="n"/>
      <c r="AE69" s="41" t="n"/>
      <c r="AF69" s="41" t="n"/>
      <c r="AG69" s="41" t="n"/>
      <c r="AH69" s="41" t="n"/>
      <c r="AI69" s="41" t="n"/>
      <c r="AJ69" s="41" t="n"/>
      <c r="AK69" s="41" t="n"/>
      <c r="AL69" s="41" t="n"/>
      <c r="AM69" s="41" t="n"/>
      <c r="AN69" s="41" t="n"/>
      <c r="AO69" s="41" t="n"/>
      <c r="AP69" s="41" t="n"/>
      <c r="AQ69" s="41" t="n"/>
      <c r="AR69" s="41" t="n"/>
      <c r="AS69" s="41" t="n"/>
      <c r="AT69" s="41" t="n"/>
      <c r="AU69" s="41" t="n"/>
      <c r="AV69" s="41" t="n"/>
      <c r="AW69" s="41" t="n"/>
      <c r="AX69" s="41" t="n"/>
      <c r="AY69" s="41" t="n"/>
      <c r="AZ69" s="41" t="n"/>
      <c r="BA69" s="41" t="n"/>
      <c r="BB69" s="41" t="n"/>
      <c r="BC69" s="41" t="n"/>
      <c r="BD69" s="41" t="n"/>
    </row>
    <row r="70" ht="15.75" customHeight="1">
      <c r="B70" s="9" t="inlineStr">
        <is>
          <t>Budgeted (Monthly)</t>
        </is>
      </c>
      <c r="D70" s="10" t="inlineStr">
        <is>
          <t>$k</t>
        </is>
      </c>
      <c r="E70" s="41" t="n"/>
      <c r="F70" s="41" t="n"/>
      <c r="G70" s="41" t="n"/>
      <c r="H70" s="41" t="n">
        <v>189.137</v>
      </c>
      <c r="I70" s="41" t="n"/>
      <c r="J70" s="41" t="n"/>
      <c r="K70" s="41" t="n"/>
      <c r="L70" s="41" t="n">
        <v>161.311</v>
      </c>
      <c r="M70" s="41" t="n"/>
      <c r="N70" s="41" t="n"/>
      <c r="O70" s="41" t="n"/>
      <c r="P70" s="41" t="n"/>
      <c r="Q70" s="41" t="n">
        <v>180.379</v>
      </c>
      <c r="R70" s="41" t="n"/>
      <c r="S70" s="41" t="n"/>
      <c r="T70" s="41" t="n"/>
      <c r="U70" s="41" t="n">
        <v>165.688</v>
      </c>
      <c r="V70" s="41" t="n"/>
      <c r="W70" s="41" t="n"/>
      <c r="X70" s="41" t="n"/>
      <c r="Y70" s="41" t="n"/>
      <c r="Z70" s="41" t="n">
        <v>175.039</v>
      </c>
      <c r="AA70" s="41" t="n"/>
      <c r="AB70" s="41" t="n"/>
      <c r="AC70" s="41" t="n"/>
      <c r="AD70" s="41" t="n">
        <v>170.509</v>
      </c>
      <c r="AE70" s="41" t="n"/>
      <c r="AF70" s="41" t="n"/>
      <c r="AG70" s="41" t="n"/>
      <c r="AH70" s="41" t="n">
        <v>195.36</v>
      </c>
      <c r="AI70" s="41" t="n"/>
      <c r="AJ70" s="41" t="n"/>
      <c r="AK70" s="41" t="n"/>
      <c r="AL70" s="41" t="n"/>
      <c r="AM70" s="41" t="n">
        <v>176.359</v>
      </c>
      <c r="AN70" s="41" t="n"/>
      <c r="AO70" s="41" t="n"/>
      <c r="AP70" s="41" t="n"/>
      <c r="AQ70" s="41" t="n">
        <v>185.507</v>
      </c>
      <c r="AR70" s="41" t="n"/>
      <c r="AS70" s="41" t="n"/>
      <c r="AT70" s="41" t="n"/>
      <c r="AU70" s="41" t="n">
        <v>200.857</v>
      </c>
      <c r="AV70" s="41" t="n"/>
      <c r="AW70" s="41" t="n"/>
      <c r="AX70" s="41" t="n"/>
      <c r="AY70" s="41" t="n"/>
      <c r="AZ70" s="41" t="n">
        <v>205.507</v>
      </c>
      <c r="BA70" s="41" t="n"/>
      <c r="BB70" s="41" t="n"/>
      <c r="BC70" s="41" t="n"/>
      <c r="BD70" s="41" t="n">
        <v>169.107</v>
      </c>
    </row>
    <row r="71">
      <c r="B71" t="inlineStr">
        <is>
          <t>As % of budget - this month</t>
        </is>
      </c>
      <c r="D71" s="6" t="inlineStr">
        <is>
          <t>%</t>
        </is>
      </c>
      <c r="E71" s="42" t="n"/>
      <c r="F71" s="42" t="n"/>
      <c r="G71" s="42" t="n"/>
      <c r="H71" s="42">
        <f>IFERROR(SUM(E68:H68)/H70,"")</f>
        <v/>
      </c>
      <c r="I71" s="42" t="n"/>
      <c r="J71" s="42" t="n"/>
      <c r="K71" s="42" t="n"/>
      <c r="L71" s="42">
        <f>IFERROR(SUM(I68:L68)/L70,"")</f>
        <v/>
      </c>
      <c r="M71" s="42" t="n"/>
      <c r="N71" s="42" t="n"/>
      <c r="O71" s="42" t="n"/>
      <c r="P71" s="42" t="n"/>
      <c r="Q71" s="42">
        <f>IFERROR(SUM(M68:Q68)/Q70,"")</f>
        <v/>
      </c>
      <c r="R71" s="42" t="n"/>
      <c r="S71" s="42" t="n"/>
      <c r="T71" s="42" t="n"/>
      <c r="U71" s="42">
        <f>IFERROR(SUM(R68:U68)/U70,"")</f>
        <v/>
      </c>
      <c r="V71" s="42" t="n"/>
      <c r="W71" s="42" t="n"/>
      <c r="X71" s="42" t="n"/>
      <c r="Y71" s="42" t="n"/>
      <c r="Z71" s="42">
        <f>IFERROR(SUM(V68:Z68)/Z70,"")</f>
        <v/>
      </c>
      <c r="AA71" s="42" t="n"/>
      <c r="AB71" s="42" t="n"/>
      <c r="AC71" s="42" t="n"/>
      <c r="AD71" s="42" t="n"/>
      <c r="AE71" s="42" t="n"/>
      <c r="AF71" s="42" t="n"/>
      <c r="AG71" s="42" t="n"/>
      <c r="AH71" s="42" t="n"/>
      <c r="AI71" s="42" t="n"/>
      <c r="AJ71" s="42" t="n"/>
      <c r="AK71" s="42" t="n"/>
      <c r="AL71" s="42" t="n"/>
      <c r="AM71" s="42" t="n"/>
      <c r="AN71" s="42" t="n"/>
      <c r="AO71" s="42" t="n"/>
      <c r="AP71" s="42" t="n"/>
      <c r="AQ71" s="42" t="n"/>
      <c r="AR71" s="42" t="n"/>
      <c r="AS71" s="42" t="n"/>
      <c r="AT71" s="42" t="n"/>
      <c r="AU71" s="42" t="n"/>
      <c r="AV71" s="42" t="n"/>
      <c r="AW71" s="42" t="n"/>
      <c r="AX71" s="42" t="n"/>
      <c r="AY71" s="42" t="n"/>
      <c r="AZ71" s="42" t="n"/>
      <c r="BA71" s="42" t="n"/>
      <c r="BB71" s="42" t="n"/>
      <c r="BC71" s="42" t="n"/>
      <c r="BD71" s="42" t="n"/>
    </row>
    <row r="72">
      <c r="B72" t="inlineStr">
        <is>
          <t>As % of budget - YTD</t>
        </is>
      </c>
      <c r="D72" s="6" t="inlineStr">
        <is>
          <t>%</t>
        </is>
      </c>
      <c r="E72" s="42" t="n"/>
      <c r="F72" s="42" t="n"/>
      <c r="G72" s="42" t="n"/>
      <c r="H72" s="42">
        <f>IFERROR(SUM($E$68:H68)/SUM($E$70:H70),"")</f>
        <v/>
      </c>
      <c r="I72" s="42" t="n"/>
      <c r="J72" s="42" t="n"/>
      <c r="K72" s="42" t="n"/>
      <c r="L72" s="42">
        <f>IFERROR(SUM($E$68:L68)/SUM($E$70:L70),"")</f>
        <v/>
      </c>
      <c r="M72" s="42" t="n"/>
      <c r="N72" s="42" t="n"/>
      <c r="O72" s="42" t="n"/>
      <c r="P72" s="42" t="n"/>
      <c r="Q72" s="42">
        <f>IFERROR(SUM($E$68:Q68)/SUM($E$70:Q70),"")</f>
        <v/>
      </c>
      <c r="R72" s="42" t="n"/>
      <c r="S72" s="42" t="n"/>
      <c r="T72" s="42" t="n"/>
      <c r="U72" s="42">
        <f>IFERROR(SUM($E$68:U68)/SUM($E$70:U70),"")</f>
        <v/>
      </c>
      <c r="V72" s="42" t="n"/>
      <c r="W72" s="42" t="n"/>
      <c r="X72" s="42" t="n"/>
      <c r="Y72" s="42" t="n"/>
      <c r="Z72" s="42">
        <f>IFERROR(SUM($E$68:Z68)/SUM($E$70:Z70),"")</f>
        <v/>
      </c>
      <c r="AA72" s="42" t="n"/>
      <c r="AB72" s="42" t="n"/>
      <c r="AC72" s="42" t="n"/>
      <c r="AD72" s="42" t="n"/>
      <c r="AE72" s="42" t="n"/>
      <c r="AF72" s="42" t="n"/>
      <c r="AG72" s="42" t="n"/>
      <c r="AH72" s="42" t="n"/>
      <c r="AI72" s="42" t="n"/>
      <c r="AJ72" s="42" t="n"/>
      <c r="AK72" s="42" t="n"/>
      <c r="AL72" s="42" t="n"/>
      <c r="AM72" s="42" t="n"/>
      <c r="AN72" s="42" t="n"/>
      <c r="AO72" s="42" t="n"/>
      <c r="AP72" s="42" t="n"/>
      <c r="AQ72" s="42" t="n"/>
      <c r="AR72" s="42" t="n"/>
      <c r="AS72" s="42" t="n"/>
      <c r="AT72" s="42" t="n"/>
      <c r="AU72" s="42" t="n"/>
      <c r="AV72" s="42" t="n"/>
      <c r="AW72" s="42" t="n"/>
      <c r="AX72" s="42" t="n"/>
      <c r="AY72" s="42" t="n"/>
      <c r="AZ72" s="42" t="n"/>
      <c r="BA72" s="42" t="n"/>
      <c r="BB72" s="42" t="n"/>
      <c r="BC72" s="42" t="n"/>
      <c r="BD72" s="42" t="n"/>
    </row>
    <row r="73"/>
    <row r="74" ht="15.75" customFormat="1" customHeight="1" s="1">
      <c r="A74" s="1" t="inlineStr">
        <is>
          <t>Other Marketing</t>
        </is>
      </c>
      <c r="D74" s="24" t="inlineStr">
        <is>
          <t>$k</t>
        </is>
      </c>
      <c r="E74" s="41" t="n"/>
      <c r="F74" s="41" t="n"/>
      <c r="G74" s="41" t="n"/>
      <c r="H74" s="41" t="n"/>
      <c r="I74" s="41" t="n"/>
      <c r="J74" s="41" t="n"/>
      <c r="K74" s="41" t="n"/>
      <c r="L74" s="41" t="n"/>
      <c r="M74" s="41" t="n"/>
      <c r="N74" s="41" t="n"/>
      <c r="O74" s="41" t="n"/>
      <c r="P74" s="41" t="n"/>
      <c r="Q74" s="41" t="n"/>
      <c r="R74" s="41" t="n"/>
      <c r="S74" s="41" t="n"/>
      <c r="T74" s="41" t="n"/>
      <c r="U74" s="41" t="n"/>
      <c r="V74" s="41" t="n"/>
      <c r="W74" s="41" t="n"/>
      <c r="X74" s="41" t="n"/>
      <c r="Y74" s="41" t="n"/>
      <c r="Z74" s="41" t="n"/>
      <c r="AA74" s="41" t="n"/>
      <c r="AB74" s="41" t="n"/>
      <c r="AC74" s="41" t="n"/>
      <c r="AD74" s="41" t="n"/>
      <c r="AE74" s="41" t="n"/>
      <c r="AF74" s="41" t="n"/>
      <c r="AG74" s="41" t="n"/>
      <c r="AH74" s="41" t="n"/>
      <c r="AI74" s="41" t="n"/>
      <c r="AJ74" s="41" t="n"/>
      <c r="AK74" s="41" t="n"/>
      <c r="AL74" s="41" t="n"/>
      <c r="AM74" s="41" t="n"/>
      <c r="AN74" s="41" t="n"/>
      <c r="AO74" s="41" t="n"/>
      <c r="AP74" s="41" t="n"/>
      <c r="AQ74" s="41" t="n"/>
      <c r="AR74" s="41" t="n"/>
      <c r="AS74" s="41" t="n"/>
      <c r="AT74" s="41" t="n"/>
      <c r="AU74" s="41" t="n"/>
      <c r="AV74" s="41" t="n"/>
      <c r="AW74" s="41" t="n"/>
      <c r="AX74" s="41" t="n"/>
      <c r="AY74" s="41" t="n"/>
      <c r="AZ74" s="41" t="n"/>
      <c r="BA74" s="41" t="n"/>
      <c r="BB74" s="41" t="n"/>
      <c r="BC74" s="41" t="n"/>
      <c r="BD74" s="41" t="n"/>
    </row>
    <row r="75" ht="15.75" customFormat="1" customHeight="1" s="1">
      <c r="B75" s="31" t="inlineStr">
        <is>
          <t>Finance Actuals (Monthly)</t>
        </is>
      </c>
      <c r="D75" s="32" t="inlineStr">
        <is>
          <t>$k</t>
        </is>
      </c>
      <c r="E75" s="41" t="n"/>
      <c r="F75" s="41" t="n"/>
      <c r="G75" s="41" t="n"/>
      <c r="H75" s="41" t="n">
        <v>398.95825</v>
      </c>
      <c r="I75" s="41" t="n"/>
      <c r="J75" s="41" t="n"/>
      <c r="K75" s="41" t="n"/>
      <c r="L75" s="41" t="n">
        <v>402.81291</v>
      </c>
      <c r="M75" s="41" t="n"/>
      <c r="N75" s="41" t="n"/>
      <c r="O75" s="41" t="n"/>
      <c r="P75" s="41" t="n"/>
      <c r="Q75" s="41" t="n">
        <v>424.87405</v>
      </c>
      <c r="R75" s="41" t="n"/>
      <c r="S75" s="41" t="n"/>
      <c r="T75" s="41" t="n"/>
      <c r="U75" s="41" t="n">
        <v>395.66668</v>
      </c>
      <c r="V75" s="41" t="n"/>
      <c r="W75" s="41" t="n"/>
      <c r="X75" s="41" t="n"/>
      <c r="Y75" s="41" t="n"/>
      <c r="Z75" s="41" t="n">
        <v>318.01278</v>
      </c>
      <c r="AA75" s="41" t="n"/>
      <c r="AB75" s="41" t="n"/>
      <c r="AC75" s="41" t="n"/>
      <c r="AD75" s="41" t="n"/>
      <c r="AE75" s="41" t="n"/>
      <c r="AF75" s="41" t="n"/>
      <c r="AG75" s="41" t="n"/>
      <c r="AH75" s="41" t="n"/>
      <c r="AI75" s="41" t="n"/>
      <c r="AJ75" s="41" t="n"/>
      <c r="AK75" s="41" t="n"/>
      <c r="AL75" s="41" t="n"/>
      <c r="AM75" s="41" t="n"/>
      <c r="AN75" s="41" t="n"/>
      <c r="AO75" s="41" t="n"/>
      <c r="AP75" s="41" t="n"/>
      <c r="AQ75" s="41" t="n"/>
      <c r="AR75" s="41" t="n"/>
      <c r="AS75" s="41" t="n"/>
      <c r="AT75" s="41" t="n"/>
      <c r="AU75" s="41" t="n"/>
      <c r="AV75" s="41" t="n"/>
      <c r="AW75" s="41" t="n"/>
      <c r="AX75" s="41" t="n"/>
      <c r="AY75" s="41" t="n"/>
      <c r="AZ75" s="41" t="n"/>
      <c r="BA75" s="41" t="n"/>
      <c r="BB75" s="41" t="n"/>
      <c r="BC75" s="41" t="n"/>
      <c r="BD75" s="41" t="n"/>
    </row>
    <row r="76" ht="15.75" customHeight="1">
      <c r="B76" s="9" t="inlineStr">
        <is>
          <t>Budgeted (Monthly)</t>
        </is>
      </c>
      <c r="D76" s="10" t="inlineStr">
        <is>
          <t>$k</t>
        </is>
      </c>
      <c r="E76" s="41" t="n"/>
      <c r="F76" s="41" t="n"/>
      <c r="G76" s="41" t="n"/>
      <c r="H76" s="41" t="n">
        <v>134.6666666666667</v>
      </c>
      <c r="I76" s="41" t="n"/>
      <c r="J76" s="41" t="n"/>
      <c r="K76" s="41" t="n"/>
      <c r="L76" s="41" t="n">
        <v>136.8306666666666</v>
      </c>
      <c r="M76" s="41" t="n"/>
      <c r="N76" s="41" t="n"/>
      <c r="O76" s="41" t="n"/>
      <c r="P76" s="41" t="n"/>
      <c r="Q76" s="41" t="n">
        <v>145.3910666666667</v>
      </c>
      <c r="R76" s="41" t="n"/>
      <c r="S76" s="41" t="n"/>
      <c r="T76" s="41" t="n"/>
      <c r="U76" s="41" t="n">
        <v>386.3749954442227</v>
      </c>
      <c r="V76" s="41" t="n"/>
      <c r="W76" s="41" t="n"/>
      <c r="X76" s="41" t="n"/>
      <c r="Y76" s="41" t="n"/>
      <c r="Z76" s="41" t="n">
        <v>451.8363175846494</v>
      </c>
      <c r="AA76" s="41" t="n"/>
      <c r="AB76" s="41" t="n"/>
      <c r="AC76" s="41" t="n"/>
      <c r="AD76" s="41" t="n">
        <v>670.9684360018671</v>
      </c>
      <c r="AE76" s="41" t="n"/>
      <c r="AF76" s="41" t="n"/>
      <c r="AG76" s="41" t="n"/>
      <c r="AH76" s="41" t="n">
        <v>439.2315547016007</v>
      </c>
      <c r="AI76" s="41" t="n"/>
      <c r="AJ76" s="41" t="n"/>
      <c r="AK76" s="41" t="n"/>
      <c r="AL76" s="41" t="n"/>
      <c r="AM76" s="41" t="n">
        <v>405.1148399665695</v>
      </c>
      <c r="AN76" s="41" t="n"/>
      <c r="AO76" s="41" t="n"/>
      <c r="AP76" s="41" t="n"/>
      <c r="AQ76" s="41" t="n">
        <v>513.3497009324537</v>
      </c>
      <c r="AR76" s="41" t="n"/>
      <c r="AS76" s="41" t="n"/>
      <c r="AT76" s="41" t="n"/>
      <c r="AU76" s="41" t="n">
        <v>874.4344272178362</v>
      </c>
      <c r="AV76" s="41" t="n"/>
      <c r="AW76" s="41" t="n"/>
      <c r="AX76" s="41" t="n"/>
      <c r="AY76" s="41" t="n"/>
      <c r="AZ76" s="41" t="n">
        <v>809.7074178543893</v>
      </c>
      <c r="BA76" s="41" t="n"/>
      <c r="BB76" s="41" t="n"/>
      <c r="BC76" s="41" t="n"/>
      <c r="BD76" s="41" t="n">
        <v>467.9585176357235</v>
      </c>
    </row>
    <row r="77">
      <c r="B77" t="inlineStr">
        <is>
          <t>As % of budget - this month</t>
        </is>
      </c>
      <c r="D77" s="6" t="inlineStr">
        <is>
          <t>%</t>
        </is>
      </c>
      <c r="E77" s="42" t="n"/>
      <c r="F77" s="42" t="n"/>
      <c r="G77" s="42" t="n"/>
      <c r="H77" s="42">
        <f>IFERROR(SUM(E74:H74)/H76,"")</f>
        <v/>
      </c>
      <c r="I77" s="42" t="n"/>
      <c r="J77" s="42" t="n"/>
      <c r="K77" s="42" t="n"/>
      <c r="L77" s="42">
        <f>IFERROR(SUM(I74:L74)/L76,"")</f>
        <v/>
      </c>
      <c r="M77" s="42" t="n"/>
      <c r="N77" s="42" t="n"/>
      <c r="O77" s="42" t="n"/>
      <c r="P77" s="42" t="n"/>
      <c r="Q77" s="42">
        <f>IFERROR(SUM(M74:Q74)/Q76,"")</f>
        <v/>
      </c>
      <c r="R77" s="42" t="n"/>
      <c r="S77" s="42" t="n"/>
      <c r="T77" s="42" t="n"/>
      <c r="U77" s="42">
        <f>IFERROR(SUM(R74:U74)/U76,"")</f>
        <v/>
      </c>
      <c r="V77" s="42" t="n"/>
      <c r="W77" s="42" t="n"/>
      <c r="X77" s="42" t="n"/>
      <c r="Y77" s="42" t="n"/>
      <c r="Z77" s="42">
        <f>IFERROR(SUM(V74:Z74)/Z76,"")</f>
        <v/>
      </c>
      <c r="AA77" s="42" t="n"/>
      <c r="AB77" s="42" t="n"/>
      <c r="AC77" s="42" t="n"/>
      <c r="AD77" s="42" t="n"/>
      <c r="AE77" s="42" t="n"/>
      <c r="AF77" s="42" t="n"/>
      <c r="AG77" s="42" t="n"/>
      <c r="AH77" s="42" t="n"/>
      <c r="AI77" s="42" t="n"/>
      <c r="AJ77" s="42" t="n"/>
      <c r="AK77" s="42" t="n"/>
      <c r="AL77" s="42" t="n"/>
      <c r="AM77" s="42" t="n"/>
      <c r="AN77" s="42" t="n"/>
      <c r="AO77" s="42" t="n"/>
      <c r="AP77" s="42" t="n"/>
      <c r="AQ77" s="42" t="n"/>
      <c r="AR77" s="42" t="n"/>
      <c r="AS77" s="42" t="n"/>
      <c r="AT77" s="42" t="n"/>
      <c r="AU77" s="42" t="n"/>
      <c r="AV77" s="42" t="n"/>
      <c r="AW77" s="42" t="n"/>
      <c r="AX77" s="42" t="n"/>
      <c r="AY77" s="42" t="n"/>
      <c r="AZ77" s="42" t="n"/>
      <c r="BA77" s="42" t="n"/>
      <c r="BB77" s="42" t="n"/>
      <c r="BC77" s="42" t="n"/>
      <c r="BD77" s="42" t="n"/>
    </row>
    <row r="78">
      <c r="B78" t="inlineStr">
        <is>
          <t>As % of budget - YTD</t>
        </is>
      </c>
      <c r="D78" s="6" t="inlineStr">
        <is>
          <t>%</t>
        </is>
      </c>
      <c r="E78" s="42" t="n"/>
      <c r="F78" s="42" t="n"/>
      <c r="G78" s="42" t="n"/>
      <c r="H78" s="42">
        <f>IFERROR(SUM($E$74:H74)/SUM($E$76:H76),"")</f>
        <v/>
      </c>
      <c r="I78" s="42" t="n"/>
      <c r="J78" s="42" t="n"/>
      <c r="K78" s="42" t="n"/>
      <c r="L78" s="42">
        <f>IFERROR(SUM($E$74:L74)/SUM($E$76:L76),"")</f>
        <v/>
      </c>
      <c r="M78" s="42" t="n"/>
      <c r="N78" s="42" t="n"/>
      <c r="O78" s="42" t="n"/>
      <c r="P78" s="42" t="n"/>
      <c r="Q78" s="42">
        <f>IFERROR(SUM($E$74:Q74)/SUM($E$76:Q76),"")</f>
        <v/>
      </c>
      <c r="R78" s="42" t="n"/>
      <c r="S78" s="42" t="n"/>
      <c r="T78" s="42" t="n"/>
      <c r="U78" s="42">
        <f>IFERROR(SUM($E$74:U74)/SUM($E$76:U76),"")</f>
        <v/>
      </c>
      <c r="V78" s="42" t="n"/>
      <c r="W78" s="42" t="n"/>
      <c r="X78" s="42" t="n"/>
      <c r="Y78" s="42" t="n"/>
      <c r="Z78" s="42">
        <f>IFERROR(SUM($E$74:Z74)/SUM($E$76:Z76),"")</f>
        <v/>
      </c>
      <c r="AA78" s="42" t="n"/>
      <c r="AB78" s="42" t="n"/>
      <c r="AC78" s="42" t="n"/>
      <c r="AD78" s="42" t="n"/>
      <c r="AE78" s="42" t="n"/>
      <c r="AF78" s="42" t="n"/>
      <c r="AG78" s="42" t="n"/>
      <c r="AH78" s="42" t="n"/>
      <c r="AI78" s="42" t="n"/>
      <c r="AJ78" s="42" t="n"/>
      <c r="AK78" s="42" t="n"/>
      <c r="AL78" s="42" t="n"/>
      <c r="AM78" s="42" t="n"/>
      <c r="AN78" s="42" t="n"/>
      <c r="AO78" s="42" t="n"/>
      <c r="AP78" s="42" t="n"/>
      <c r="AQ78" s="42" t="n"/>
      <c r="AR78" s="42" t="n"/>
      <c r="AS78" s="42" t="n"/>
      <c r="AT78" s="42" t="n"/>
      <c r="AU78" s="42" t="n"/>
      <c r="AV78" s="42" t="n"/>
      <c r="AW78" s="42" t="n"/>
      <c r="AX78" s="42" t="n"/>
      <c r="AY78" s="42" t="n"/>
      <c r="AZ78" s="42" t="n"/>
      <c r="BA78" s="42" t="n"/>
      <c r="BB78" s="42" t="n"/>
      <c r="BC78" s="42" t="n"/>
      <c r="BD78" s="42" t="n"/>
    </row>
    <row r="79"/>
    <row r="80"/>
    <row r="81" customFormat="1" s="26">
      <c r="A81" s="25" t="inlineStr">
        <is>
          <t>Walmart (1P+3P)</t>
        </is>
      </c>
      <c r="D81" s="27" t="n"/>
    </row>
    <row r="82">
      <c r="A82" s="1" t="inlineStr">
        <is>
          <t>Sell-in value</t>
        </is>
      </c>
      <c r="D82" s="24" t="inlineStr">
        <is>
          <t>$k</t>
        </is>
      </c>
      <c r="E82" s="41" t="n">
        <v>243.74</v>
      </c>
      <c r="F82" s="41" t="n">
        <v>33.165</v>
      </c>
      <c r="G82" s="41" t="n">
        <v>31.698</v>
      </c>
      <c r="H82" s="41" t="n">
        <v>48.813</v>
      </c>
      <c r="I82" s="41" t="n">
        <v>160.658</v>
      </c>
      <c r="J82" s="41" t="n">
        <v>79.217</v>
      </c>
      <c r="K82" s="41" t="n">
        <v>46.368</v>
      </c>
      <c r="L82" s="41" t="n">
        <v>66.126</v>
      </c>
      <c r="M82" s="41" t="n">
        <v>178.761</v>
      </c>
      <c r="N82" s="41" t="n">
        <v>108.011</v>
      </c>
      <c r="O82" s="41" t="n">
        <v>97.503</v>
      </c>
      <c r="P82" s="41" t="n">
        <v>109.854</v>
      </c>
      <c r="Q82" s="41" t="n">
        <v>148.71</v>
      </c>
      <c r="R82" s="41" t="n">
        <v>74.373</v>
      </c>
      <c r="S82" s="41" t="n">
        <v>200.686</v>
      </c>
      <c r="T82" s="41" t="n">
        <v>269.422</v>
      </c>
      <c r="U82" s="41" t="n">
        <v>985.244</v>
      </c>
      <c r="V82" s="41" t="n">
        <v>1503.894</v>
      </c>
      <c r="W82" s="41" t="n">
        <v>487.053</v>
      </c>
      <c r="X82" s="41" t="n">
        <v>133.984</v>
      </c>
      <c r="Y82" s="41" t="n">
        <v>141.157</v>
      </c>
      <c r="Z82" s="41" t="n">
        <v>183.899</v>
      </c>
      <c r="AA82" s="41" t="n">
        <v>192.445</v>
      </c>
      <c r="AB82" s="41" t="n"/>
      <c r="AC82" s="41" t="n"/>
      <c r="AD82" s="41" t="n"/>
      <c r="AE82" s="41" t="n"/>
      <c r="AF82" s="41" t="n"/>
      <c r="AG82" s="41" t="n"/>
      <c r="AH82" s="41" t="n"/>
      <c r="AI82" s="41" t="n"/>
      <c r="AJ82" s="41" t="n"/>
      <c r="AK82" s="41" t="n"/>
      <c r="AL82" s="41" t="n"/>
      <c r="AM82" s="41" t="n"/>
      <c r="AN82" s="41" t="n"/>
      <c r="AO82" s="41" t="n"/>
      <c r="AP82" s="41" t="n"/>
      <c r="AQ82" s="41" t="n"/>
      <c r="AR82" s="41" t="n"/>
      <c r="AS82" s="41" t="n"/>
      <c r="AT82" s="41" t="n"/>
      <c r="AU82" s="41" t="n"/>
      <c r="AV82" s="41" t="n"/>
      <c r="AW82" s="41" t="n"/>
      <c r="AX82" s="41" t="n"/>
      <c r="AY82" s="41" t="n"/>
      <c r="AZ82" s="41" t="n"/>
      <c r="BA82" s="41" t="n"/>
      <c r="BB82" s="41" t="n"/>
      <c r="BC82" s="41" t="n"/>
      <c r="BD82" s="41" t="n"/>
    </row>
    <row r="83" customFormat="1" s="4">
      <c r="A83" s="3" t="n"/>
      <c r="B83" s="4" t="inlineStr">
        <is>
          <t>% of Total - YTD</t>
        </is>
      </c>
      <c r="D83" s="33" t="inlineStr">
        <is>
          <t>%</t>
        </is>
      </c>
      <c r="E83" s="42">
        <f>IFERROR(SUM($E$82:E82)/SUM($E$3:E3),"")</f>
        <v/>
      </c>
      <c r="F83" s="42">
        <f>IFERROR(SUM($E$82:F82)/SUM($E$3:F3),"")</f>
        <v/>
      </c>
      <c r="G83" s="42">
        <f>IFERROR(SUM($E$82:G82)/SUM($E$3:G3),"")</f>
        <v/>
      </c>
      <c r="H83" s="42">
        <f>IFERROR(SUM($E$82:H82)/SUM($E$3:H3),"")</f>
        <v/>
      </c>
      <c r="I83" s="42">
        <f>IFERROR(SUM($E$82:I82)/SUM($E$3:I3),"")</f>
        <v/>
      </c>
      <c r="J83" s="42">
        <f>IFERROR(SUM($E$82:J82)/SUM($E$3:J3),"")</f>
        <v/>
      </c>
      <c r="K83" s="42">
        <f>IFERROR(SUM($E$82:K82)/SUM($E$3:K3),"")</f>
        <v/>
      </c>
      <c r="L83" s="42">
        <f>IFERROR(SUM($E$82:L82)/SUM($E$3:L3),"")</f>
        <v/>
      </c>
      <c r="M83" s="42">
        <f>IFERROR(SUM($E$82:M82)/SUM($E$3:M3),"")</f>
        <v/>
      </c>
      <c r="N83" s="42">
        <f>IFERROR(SUM($E$82:N82)/SUM($E$3:N3),"")</f>
        <v/>
      </c>
      <c r="O83" s="42">
        <f>IFERROR(SUM($E$82:O82)/SUM($E$3:O3),"")</f>
        <v/>
      </c>
      <c r="P83" s="42">
        <f>IFERROR(SUM($E$82:P82)/SUM($E$3:P3),"")</f>
        <v/>
      </c>
      <c r="Q83" s="42">
        <f>IFERROR(SUM($E$82:Q82)/SUM($E$3:Q3),"")</f>
        <v/>
      </c>
      <c r="R83" s="42">
        <f>IFERROR(SUM($E$82:R82)/SUM($E$3:R3),"")</f>
        <v/>
      </c>
      <c r="S83" s="42">
        <f>IFERROR(SUM($E$82:S82)/SUM($E$3:S3),"")</f>
        <v/>
      </c>
      <c r="T83" s="42">
        <f>IFERROR(SUM($E$82:T82)/SUM($E$3:T3),"")</f>
        <v/>
      </c>
      <c r="U83" s="42">
        <f>IFERROR(SUM($E$82:U82)/SUM($E$3:U3),"")</f>
        <v/>
      </c>
      <c r="V83" s="42">
        <f>IFERROR(SUM($E$82:V82)/SUM($E$3:V3),"")</f>
        <v/>
      </c>
      <c r="W83" s="42">
        <f>IFERROR(SUM($E$82:W82)/SUM($E$3:W3),"")</f>
        <v/>
      </c>
      <c r="X83" s="42">
        <f>IFERROR(SUM($E$82:X82)/SUM($E$3:X3),"")</f>
        <v/>
      </c>
      <c r="Y83" s="42">
        <f>IFERROR(SUM($E$82:Y82)/SUM($E$3:Y3),"")</f>
        <v/>
      </c>
      <c r="Z83" s="42">
        <f>IFERROR(SUM($E$82:Z82)/SUM($E$3:Z3),"")</f>
        <v/>
      </c>
      <c r="AA83" s="42">
        <f>IFERROR(SUM($E$82:AA82)/SUM($E$3:AA3),"")</f>
        <v/>
      </c>
      <c r="AB83" s="42" t="n"/>
      <c r="AC83" s="42" t="n"/>
      <c r="AD83" s="42" t="n"/>
      <c r="AE83" s="42" t="n"/>
      <c r="AF83" s="42" t="n"/>
      <c r="AG83" s="42" t="n"/>
      <c r="AH83" s="42" t="n"/>
      <c r="AI83" s="42" t="n"/>
      <c r="AJ83" s="42" t="n"/>
      <c r="AK83" s="42" t="n"/>
      <c r="AL83" s="42" t="n"/>
      <c r="AM83" s="42" t="n"/>
      <c r="AN83" s="42" t="n"/>
      <c r="AO83" s="42" t="n"/>
      <c r="AP83" s="42" t="n"/>
      <c r="AQ83" s="42" t="n"/>
      <c r="AR83" s="42" t="n"/>
      <c r="AS83" s="42" t="n"/>
      <c r="AT83" s="42" t="n"/>
      <c r="AU83" s="42" t="n"/>
      <c r="AV83" s="42" t="n"/>
      <c r="AW83" s="42" t="n"/>
      <c r="AX83" s="42" t="n"/>
      <c r="AY83" s="42" t="n"/>
      <c r="AZ83" s="42" t="n"/>
      <c r="BA83" s="42" t="n"/>
      <c r="BB83" s="42" t="n"/>
      <c r="BC83" s="42" t="n"/>
      <c r="BD83" s="42" t="n"/>
    </row>
    <row r="84" customFormat="1" s="40">
      <c r="B84" s="40" t="inlineStr">
        <is>
          <t>% of Target</t>
        </is>
      </c>
      <c r="D84" s="8" t="inlineStr">
        <is>
          <t>%</t>
        </is>
      </c>
      <c r="E84" s="42">
        <f>IFERROR(E82/E86,"")</f>
        <v/>
      </c>
      <c r="F84" s="42">
        <f>IFERROR(F82/F86,"")</f>
        <v/>
      </c>
      <c r="G84" s="42">
        <f>IFERROR(G82/G86,"")</f>
        <v/>
      </c>
      <c r="H84" s="42">
        <f>IFERROR(H82/H86,"")</f>
        <v/>
      </c>
      <c r="I84" s="42">
        <f>IFERROR(I82/I86,"")</f>
        <v/>
      </c>
      <c r="J84" s="42">
        <f>IFERROR(J82/J86,"")</f>
        <v/>
      </c>
      <c r="K84" s="42">
        <f>IFERROR(K82/K86,"")</f>
        <v/>
      </c>
      <c r="L84" s="42">
        <f>IFERROR(L82/L86,"")</f>
        <v/>
      </c>
      <c r="M84" s="42">
        <f>IFERROR(M82/M86,"")</f>
        <v/>
      </c>
      <c r="N84" s="42">
        <f>IFERROR(N82/N86,"")</f>
        <v/>
      </c>
      <c r="O84" s="42">
        <f>IFERROR(O82/O86,"")</f>
        <v/>
      </c>
      <c r="P84" s="42">
        <f>IFERROR(P82/P86,"")</f>
        <v/>
      </c>
      <c r="Q84" s="42">
        <f>IFERROR(Q82/Q86,"")</f>
        <v/>
      </c>
      <c r="R84" s="42">
        <f>IFERROR(R82/R86,"")</f>
        <v/>
      </c>
      <c r="S84" s="42">
        <f>IFERROR(S82/S86,"")</f>
        <v/>
      </c>
      <c r="T84" s="42">
        <f>IFERROR(T82/T86,"")</f>
        <v/>
      </c>
      <c r="U84" s="42">
        <f>IFERROR(U82/U86,"")</f>
        <v/>
      </c>
      <c r="V84" s="42">
        <f>IFERROR(V82/V86,"")</f>
        <v/>
      </c>
      <c r="W84" s="42">
        <f>IFERROR(W82/W86,"")</f>
        <v/>
      </c>
      <c r="X84" s="42">
        <f>IFERROR(X82/X86,"")</f>
        <v/>
      </c>
      <c r="Y84" s="42">
        <f>IFERROR(Y82/Y86,"")</f>
        <v/>
      </c>
      <c r="Z84" s="42">
        <f>IFERROR(Z82/Z86,"")</f>
        <v/>
      </c>
      <c r="AA84" s="42">
        <f>IFERROR(AA82/AA86,"")</f>
        <v/>
      </c>
      <c r="AB84" s="42" t="n"/>
      <c r="AC84" s="42" t="n"/>
      <c r="AD84" s="42" t="n"/>
      <c r="AE84" s="42" t="n"/>
      <c r="AF84" s="42" t="n"/>
      <c r="AG84" s="42" t="n"/>
      <c r="AH84" s="42" t="n"/>
      <c r="AI84" s="42" t="n"/>
      <c r="AJ84" s="42" t="n"/>
      <c r="AK84" s="42" t="n"/>
      <c r="AL84" s="42" t="n"/>
      <c r="AM84" s="42" t="n"/>
      <c r="AN84" s="42" t="n"/>
      <c r="AO84" s="42" t="n"/>
      <c r="AP84" s="42" t="n"/>
      <c r="AQ84" s="42" t="n"/>
      <c r="AR84" s="42" t="n"/>
      <c r="AS84" s="42" t="n"/>
      <c r="AT84" s="42" t="n"/>
      <c r="AU84" s="42" t="n"/>
      <c r="AV84" s="42" t="n"/>
      <c r="AW84" s="42" t="n"/>
      <c r="AX84" s="42" t="n"/>
      <c r="AY84" s="42" t="n"/>
      <c r="AZ84" s="42" t="n"/>
      <c r="BA84" s="42" t="n"/>
      <c r="BB84" s="42" t="n"/>
      <c r="BC84" s="42" t="n"/>
      <c r="BD84" s="42" t="n"/>
    </row>
    <row r="85" ht="15.75" customFormat="1" customHeight="1" s="40">
      <c r="B85" s="40" t="inlineStr">
        <is>
          <t>% of Target - YTD</t>
        </is>
      </c>
      <c r="C85" s="16" t="n"/>
      <c r="D85" s="17" t="inlineStr">
        <is>
          <t>%</t>
        </is>
      </c>
      <c r="E85" s="42">
        <f>IFERROR(SUM($E$82:E82)/SUM($E$86:E86),"")</f>
        <v/>
      </c>
      <c r="F85" s="42">
        <f>IFERROR(SUM($E$82:F82)/SUM($E$86:F86),"")</f>
        <v/>
      </c>
      <c r="G85" s="42">
        <f>IFERROR(SUM($E$82:G82)/SUM($E$86:G86),"")</f>
        <v/>
      </c>
      <c r="H85" s="42">
        <f>IFERROR(SUM($E$82:H82)/SUM($E$86:H86),"")</f>
        <v/>
      </c>
      <c r="I85" s="42">
        <f>IFERROR(SUM($E$82:I82)/SUM($E$86:I86),"")</f>
        <v/>
      </c>
      <c r="J85" s="42">
        <f>IFERROR(SUM($E$82:J82)/SUM($E$86:J86),"")</f>
        <v/>
      </c>
      <c r="K85" s="42">
        <f>IFERROR(SUM($E$82:K82)/SUM($E$86:K86),"")</f>
        <v/>
      </c>
      <c r="L85" s="42">
        <f>IFERROR(SUM($E$82:L82)/SUM($E$86:L86),"")</f>
        <v/>
      </c>
      <c r="M85" s="42">
        <f>IFERROR(SUM($E$82:M82)/SUM($E$86:M86),"")</f>
        <v/>
      </c>
      <c r="N85" s="42">
        <f>IFERROR(SUM($E$82:N82)/SUM($E$86:N86),"")</f>
        <v/>
      </c>
      <c r="O85" s="42">
        <f>IFERROR(SUM($E$82:O82)/SUM($E$86:O86),"")</f>
        <v/>
      </c>
      <c r="P85" s="42">
        <f>IFERROR(SUM($E$82:P82)/SUM($E$86:P86),"")</f>
        <v/>
      </c>
      <c r="Q85" s="42">
        <f>IFERROR(SUM($E$82:Q82)/SUM($E$86:Q86),"")</f>
        <v/>
      </c>
      <c r="R85" s="42">
        <f>IFERROR(SUM($E$82:R82)/SUM($E$86:R86),"")</f>
        <v/>
      </c>
      <c r="S85" s="42">
        <f>IFERROR(SUM($E$82:S82)/SUM($E$86:S86),"")</f>
        <v/>
      </c>
      <c r="T85" s="42">
        <f>IFERROR(SUM($E$82:T82)/SUM($E$86:T86),"")</f>
        <v/>
      </c>
      <c r="U85" s="42">
        <f>IFERROR(SUM($E$82:U82)/SUM($E$86:U86),"")</f>
        <v/>
      </c>
      <c r="V85" s="42">
        <f>IFERROR(SUM($E$82:V82)/SUM($E$86:V86),"")</f>
        <v/>
      </c>
      <c r="W85" s="42">
        <f>IFERROR(SUM($E$82:W82)/SUM($E$86:W86),"")</f>
        <v/>
      </c>
      <c r="X85" s="42">
        <f>IFERROR(SUM($E$82:X82)/SUM($E$86:X86),"")</f>
        <v/>
      </c>
      <c r="Y85" s="42">
        <f>IFERROR(SUM($E$82:Y82)/SUM($E$86:Y86),"")</f>
        <v/>
      </c>
      <c r="Z85" s="42">
        <f>IFERROR(SUM($E$82:Z82)/SUM($E$86:Z86),"")</f>
        <v/>
      </c>
      <c r="AA85" s="42">
        <f>IFERROR(SUM($E$82:AA82)/SUM($E$86:AA86),"")</f>
        <v/>
      </c>
      <c r="AB85" s="42" t="n"/>
      <c r="AC85" s="42" t="n"/>
      <c r="AD85" s="42" t="n"/>
      <c r="AE85" s="42" t="n"/>
      <c r="AF85" s="42" t="n"/>
      <c r="AG85" s="42" t="n"/>
      <c r="AH85" s="42" t="n"/>
      <c r="AI85" s="42" t="n"/>
      <c r="AJ85" s="42" t="n"/>
      <c r="AK85" s="42" t="n"/>
      <c r="AL85" s="42" t="n"/>
      <c r="AM85" s="42" t="n"/>
      <c r="AN85" s="42" t="n"/>
      <c r="AO85" s="42" t="n"/>
      <c r="AP85" s="42" t="n"/>
      <c r="AQ85" s="42" t="n"/>
      <c r="AR85" s="42" t="n"/>
      <c r="AS85" s="42" t="n"/>
      <c r="AT85" s="42" t="n"/>
      <c r="AU85" s="42" t="n"/>
      <c r="AV85" s="42" t="n"/>
      <c r="AW85" s="42" t="n"/>
      <c r="AX85" s="42" t="n"/>
      <c r="AY85" s="42" t="n"/>
      <c r="AZ85" s="42" t="n"/>
      <c r="BA85" s="42" t="n"/>
      <c r="BB85" s="42" t="n"/>
      <c r="BC85" s="42" t="n"/>
      <c r="BD85" s="42" t="n"/>
    </row>
    <row r="86" customFormat="1" s="9">
      <c r="B86" s="9" t="inlineStr">
        <is>
          <t>Target</t>
        </is>
      </c>
      <c r="D86" s="10" t="inlineStr">
        <is>
          <t>$k</t>
        </is>
      </c>
      <c r="E86" s="41" t="n">
        <v>84.40602473600001</v>
      </c>
      <c r="F86" s="41" t="n">
        <v>147.710543288</v>
      </c>
      <c r="G86" s="41" t="n">
        <v>147.710543288</v>
      </c>
      <c r="H86" s="41" t="n">
        <v>147.710543288</v>
      </c>
      <c r="I86" s="41" t="n">
        <v>151.501587962</v>
      </c>
      <c r="J86" s="41" t="n">
        <v>174.24925</v>
      </c>
      <c r="K86" s="41" t="n">
        <v>174.24925</v>
      </c>
      <c r="L86" s="41" t="n">
        <v>174.24925</v>
      </c>
      <c r="M86" s="41" t="n">
        <v>202.553270168</v>
      </c>
      <c r="N86" s="41" t="n">
        <v>372.375997182</v>
      </c>
      <c r="O86" s="41" t="n">
        <v>372.375997182</v>
      </c>
      <c r="P86" s="41" t="n">
        <v>372.375997182</v>
      </c>
      <c r="Q86" s="41" t="n">
        <v>372.375997182</v>
      </c>
      <c r="R86" s="41" t="n">
        <v>229.260554453</v>
      </c>
      <c r="S86" s="41" t="n">
        <v>172.013787599</v>
      </c>
      <c r="T86" s="41" t="n">
        <v>172.013787599</v>
      </c>
      <c r="U86" s="41" t="n">
        <v>172.013787599</v>
      </c>
      <c r="V86" s="41" t="n">
        <v>260.847291523</v>
      </c>
      <c r="W86" s="41" t="n">
        <v>379.292209156</v>
      </c>
      <c r="X86" s="41" t="n">
        <v>379.292209156</v>
      </c>
      <c r="Y86" s="41" t="n">
        <v>379.292209156</v>
      </c>
      <c r="Z86" s="41" t="n">
        <v>379.292209156</v>
      </c>
      <c r="AA86" s="41" t="n">
        <v>183.309204796</v>
      </c>
      <c r="AB86" s="41" t="n"/>
      <c r="AC86" s="41" t="n"/>
      <c r="AD86" s="41" t="n"/>
      <c r="AE86" s="41" t="n"/>
      <c r="AF86" s="41" t="n"/>
      <c r="AG86" s="41" t="n"/>
      <c r="AH86" s="41" t="n"/>
      <c r="AI86" s="41" t="n"/>
      <c r="AJ86" s="41" t="n"/>
      <c r="AK86" s="41" t="n"/>
      <c r="AL86" s="41" t="n"/>
      <c r="AM86" s="41" t="n"/>
      <c r="AN86" s="41" t="n"/>
      <c r="AO86" s="41" t="n"/>
      <c r="AP86" s="41" t="n"/>
      <c r="AQ86" s="41" t="n"/>
      <c r="AR86" s="41" t="n"/>
      <c r="AS86" s="41" t="n"/>
      <c r="AT86" s="41" t="n"/>
      <c r="AU86" s="41" t="n"/>
      <c r="AV86" s="41" t="n"/>
      <c r="AW86" s="41" t="n"/>
      <c r="AX86" s="41" t="n"/>
      <c r="AY86" s="41" t="n"/>
      <c r="AZ86" s="41" t="n"/>
      <c r="BA86" s="41" t="n"/>
      <c r="BB86" s="41" t="n"/>
      <c r="BC86" s="41" t="n"/>
      <c r="BD86" s="41" t="n"/>
    </row>
    <row r="87"/>
    <row r="88">
      <c r="A88" s="1" t="inlineStr">
        <is>
          <t xml:space="preserve">Sell-through units </t>
        </is>
      </c>
      <c r="D88" s="24" t="inlineStr">
        <is>
          <t>#</t>
        </is>
      </c>
      <c r="E88" s="41" t="n">
        <v>443</v>
      </c>
      <c r="F88" s="41" t="n">
        <v>380</v>
      </c>
      <c r="G88" s="41" t="n">
        <v>281</v>
      </c>
      <c r="H88" s="41" t="n">
        <v>251</v>
      </c>
      <c r="I88" s="41" t="n">
        <v>339</v>
      </c>
      <c r="J88" s="41" t="n">
        <v>391</v>
      </c>
      <c r="K88" s="41" t="n">
        <v>512</v>
      </c>
      <c r="L88" s="41" t="n">
        <v>488</v>
      </c>
      <c r="M88" s="41" t="n">
        <v>549</v>
      </c>
      <c r="N88" s="41" t="n">
        <v>369</v>
      </c>
      <c r="O88" s="41" t="n">
        <v>417</v>
      </c>
      <c r="P88" s="41" t="n">
        <v>476</v>
      </c>
      <c r="Q88" s="41" t="n">
        <v>590</v>
      </c>
      <c r="R88" s="41" t="n">
        <v>504</v>
      </c>
      <c r="S88" s="41" t="n">
        <v>565</v>
      </c>
      <c r="T88" s="41" t="n">
        <v>392</v>
      </c>
      <c r="U88" s="41" t="n">
        <v>2704</v>
      </c>
      <c r="V88" s="41" t="n">
        <v>4270</v>
      </c>
      <c r="W88" s="41" t="n">
        <v>4819</v>
      </c>
      <c r="X88" s="41" t="n">
        <v>5570</v>
      </c>
      <c r="Y88" s="41" t="n">
        <v>6792</v>
      </c>
      <c r="Z88" s="41" t="n">
        <v>6794</v>
      </c>
      <c r="AA88" s="41" t="n">
        <v>6475</v>
      </c>
      <c r="AB88" s="41" t="n"/>
      <c r="AC88" s="41" t="n"/>
      <c r="AD88" s="41" t="n"/>
      <c r="AE88" s="41" t="n"/>
      <c r="AF88" s="41" t="n"/>
      <c r="AG88" s="41" t="n"/>
      <c r="AH88" s="41" t="n"/>
      <c r="AI88" s="41" t="n"/>
      <c r="AJ88" s="41" t="n"/>
      <c r="AK88" s="41" t="n"/>
      <c r="AL88" s="41" t="n"/>
      <c r="AM88" s="41" t="n"/>
      <c r="AN88" s="41" t="n"/>
      <c r="AO88" s="41" t="n"/>
      <c r="AP88" s="41" t="n"/>
      <c r="AQ88" s="41" t="n"/>
      <c r="AR88" s="41" t="n"/>
      <c r="AS88" s="41" t="n"/>
      <c r="AT88" s="41" t="n"/>
      <c r="AU88" s="41" t="n"/>
      <c r="AV88" s="41" t="n"/>
      <c r="AW88" s="41" t="n"/>
      <c r="AX88" s="41" t="n"/>
      <c r="AY88" s="41" t="n"/>
      <c r="AZ88" s="41" t="n"/>
      <c r="BA88" s="41" t="n"/>
      <c r="BB88" s="41" t="n"/>
      <c r="BC88" s="41" t="n"/>
      <c r="BD88" s="41" t="n"/>
    </row>
    <row r="89" customFormat="1" s="4">
      <c r="A89" s="3" t="n"/>
      <c r="B89" s="4" t="inlineStr">
        <is>
          <t>% of Total - YTD</t>
        </is>
      </c>
      <c r="D89" s="33" t="inlineStr">
        <is>
          <t>%</t>
        </is>
      </c>
      <c r="E89" s="42">
        <f>IFERROR(SUM($E$88:E88)/SUM($E$4:E4),"")</f>
        <v/>
      </c>
      <c r="F89" s="42">
        <f>IFERROR(SUM($E$88:F88)/SUM($E$4:F4),"")</f>
        <v/>
      </c>
      <c r="G89" s="42">
        <f>IFERROR(SUM($E$88:G88)/SUM($E$4:G4),"")</f>
        <v/>
      </c>
      <c r="H89" s="42">
        <f>IFERROR(SUM($E$88:H88)/SUM($E$4:H4),"")</f>
        <v/>
      </c>
      <c r="I89" s="42">
        <f>IFERROR(SUM($E$88:I88)/SUM($E$4:I4),"")</f>
        <v/>
      </c>
      <c r="J89" s="42">
        <f>IFERROR(SUM($E$88:J88)/SUM($E$4:J4),"")</f>
        <v/>
      </c>
      <c r="K89" s="42">
        <f>IFERROR(SUM($E$88:K88)/SUM($E$4:K4),"")</f>
        <v/>
      </c>
      <c r="L89" s="42">
        <f>IFERROR(SUM($E$88:L88)/SUM($E$4:L4),"")</f>
        <v/>
      </c>
      <c r="M89" s="42">
        <f>IFERROR(SUM($E$88:M88)/SUM($E$4:M4),"")</f>
        <v/>
      </c>
      <c r="N89" s="42">
        <f>IFERROR(SUM($E$88:N88)/SUM($E$4:N4),"")</f>
        <v/>
      </c>
      <c r="O89" s="42">
        <f>IFERROR(SUM($E$88:O88)/SUM($E$4:O4),"")</f>
        <v/>
      </c>
      <c r="P89" s="42">
        <f>IFERROR(SUM($E$88:P88)/SUM($E$4:P4),"")</f>
        <v/>
      </c>
      <c r="Q89" s="42">
        <f>IFERROR(SUM($E$88:Q88)/SUM($E$4:Q4),"")</f>
        <v/>
      </c>
      <c r="R89" s="42">
        <f>IFERROR(SUM($E$88:R88)/SUM($E$4:R4),"")</f>
        <v/>
      </c>
      <c r="S89" s="42">
        <f>IFERROR(SUM($E$88:S88)/SUM($E$4:S4),"")</f>
        <v/>
      </c>
      <c r="T89" s="42">
        <f>IFERROR(SUM($E$88:T88)/SUM($E$4:T4),"")</f>
        <v/>
      </c>
      <c r="U89" s="42">
        <f>IFERROR(SUM($E$88:U88)/SUM($E$4:U4),"")</f>
        <v/>
      </c>
      <c r="V89" s="42">
        <f>IFERROR(SUM($E$88:V88)/SUM($E$4:V4),"")</f>
        <v/>
      </c>
      <c r="W89" s="42">
        <f>IFERROR(SUM($E$88:W88)/SUM($E$4:W4),"")</f>
        <v/>
      </c>
      <c r="X89" s="42">
        <f>IFERROR(SUM($E$88:X88)/SUM($E$4:X4),"")</f>
        <v/>
      </c>
      <c r="Y89" s="42">
        <f>IFERROR(SUM($E$88:Y88)/SUM($E$4:Y4),"")</f>
        <v/>
      </c>
      <c r="Z89" s="42">
        <f>IFERROR(SUM($E$88:Z88)/SUM($E$4:Z4),"")</f>
        <v/>
      </c>
      <c r="AA89" s="42">
        <f>IFERROR(SUM($E$88:AA88)/SUM($E$4:AA4),"")</f>
        <v/>
      </c>
      <c r="AB89" s="42" t="n"/>
      <c r="AC89" s="42" t="n"/>
      <c r="AD89" s="42" t="n"/>
      <c r="AE89" s="42" t="n"/>
      <c r="AF89" s="42" t="n"/>
      <c r="AG89" s="42" t="n"/>
      <c r="AH89" s="42" t="n"/>
      <c r="AI89" s="42" t="n"/>
      <c r="AJ89" s="42" t="n"/>
      <c r="AK89" s="42" t="n"/>
      <c r="AL89" s="42" t="n"/>
      <c r="AM89" s="42" t="n"/>
      <c r="AN89" s="42" t="n"/>
      <c r="AO89" s="42" t="n"/>
      <c r="AP89" s="42" t="n"/>
      <c r="AQ89" s="42" t="n"/>
      <c r="AR89" s="42" t="n"/>
      <c r="AS89" s="42" t="n"/>
      <c r="AT89" s="42" t="n"/>
      <c r="AU89" s="42" t="n"/>
      <c r="AV89" s="42" t="n"/>
      <c r="AW89" s="42" t="n"/>
      <c r="AX89" s="42" t="n"/>
      <c r="AY89" s="42" t="n"/>
      <c r="AZ89" s="42" t="n"/>
      <c r="BA89" s="42" t="n"/>
      <c r="BB89" s="42" t="n"/>
      <c r="BC89" s="42" t="n"/>
      <c r="BD89" s="42" t="n"/>
    </row>
    <row r="90" customFormat="1" s="16">
      <c r="A90" s="15" t="n"/>
      <c r="B90" s="16" t="inlineStr">
        <is>
          <t>% of Target</t>
        </is>
      </c>
      <c r="D90" s="17" t="inlineStr">
        <is>
          <t>%</t>
        </is>
      </c>
      <c r="E90" s="42">
        <f>IFERROR(E88/E92,"")</f>
        <v/>
      </c>
      <c r="F90" s="42">
        <f>IFERROR(F88/F92,"")</f>
        <v/>
      </c>
      <c r="G90" s="42">
        <f>IFERROR(G88/G92,"")</f>
        <v/>
      </c>
      <c r="H90" s="42">
        <f>IFERROR(H88/H92,"")</f>
        <v/>
      </c>
      <c r="I90" s="42">
        <f>IFERROR(I88/I92,"")</f>
        <v/>
      </c>
      <c r="J90" s="42">
        <f>IFERROR(J88/J92,"")</f>
        <v/>
      </c>
      <c r="K90" s="42">
        <f>IFERROR(K88/K92,"")</f>
        <v/>
      </c>
      <c r="L90" s="42">
        <f>IFERROR(L88/L92,"")</f>
        <v/>
      </c>
      <c r="M90" s="42">
        <f>IFERROR(M88/M92,"")</f>
        <v/>
      </c>
      <c r="N90" s="42">
        <f>IFERROR(N88/N92,"")</f>
        <v/>
      </c>
      <c r="O90" s="42">
        <f>IFERROR(O88/O92,"")</f>
        <v/>
      </c>
      <c r="P90" s="42">
        <f>IFERROR(P88/P92,"")</f>
        <v/>
      </c>
      <c r="Q90" s="42">
        <f>IFERROR(Q88/Q92,"")</f>
        <v/>
      </c>
      <c r="R90" s="42">
        <f>IFERROR(R88/R92,"")</f>
        <v/>
      </c>
      <c r="S90" s="42">
        <f>IFERROR(S88/S92,"")</f>
        <v/>
      </c>
      <c r="T90" s="42">
        <f>IFERROR(T88/T92,"")</f>
        <v/>
      </c>
      <c r="U90" s="42">
        <f>IFERROR(U88/U92,"")</f>
        <v/>
      </c>
      <c r="V90" s="42">
        <f>IFERROR(V88/V92,"")</f>
        <v/>
      </c>
      <c r="W90" s="42">
        <f>IFERROR(W88/W92,"")</f>
        <v/>
      </c>
      <c r="X90" s="42">
        <f>IFERROR(X88/X92,"")</f>
        <v/>
      </c>
      <c r="Y90" s="42">
        <f>IFERROR(Y88/Y92,"")</f>
        <v/>
      </c>
      <c r="Z90" s="42">
        <f>IFERROR(Z88/Z92,"")</f>
        <v/>
      </c>
      <c r="AA90" s="42">
        <f>IFERROR(AA88/AA92,"")</f>
        <v/>
      </c>
      <c r="AB90" s="42" t="n"/>
      <c r="AC90" s="42" t="n"/>
      <c r="AD90" s="42" t="n"/>
      <c r="AE90" s="42" t="n"/>
      <c r="AF90" s="42" t="n"/>
      <c r="AG90" s="42" t="n"/>
      <c r="AH90" s="42" t="n"/>
      <c r="AI90" s="42" t="n"/>
      <c r="AJ90" s="42" t="n"/>
      <c r="AK90" s="42" t="n"/>
      <c r="AL90" s="42" t="n"/>
      <c r="AM90" s="42" t="n"/>
      <c r="AN90" s="42" t="n"/>
      <c r="AO90" s="42" t="n"/>
      <c r="AP90" s="42" t="n"/>
      <c r="AQ90" s="42" t="n"/>
      <c r="AR90" s="42" t="n"/>
      <c r="AS90" s="42" t="n"/>
      <c r="AT90" s="42" t="n"/>
      <c r="AU90" s="42" t="n"/>
      <c r="AV90" s="42" t="n"/>
      <c r="AW90" s="42" t="n"/>
      <c r="AX90" s="42" t="n"/>
      <c r="AY90" s="42" t="n"/>
      <c r="AZ90" s="42" t="n"/>
      <c r="BA90" s="42" t="n"/>
      <c r="BB90" s="42" t="n"/>
      <c r="BC90" s="42" t="n"/>
      <c r="BD90" s="42" t="n"/>
    </row>
    <row r="91" ht="15.75" customFormat="1" customHeight="1" s="16">
      <c r="A91" s="15" t="n"/>
      <c r="B91" s="40" t="inlineStr">
        <is>
          <t>% of Target - YTD</t>
        </is>
      </c>
      <c r="D91" s="17" t="inlineStr">
        <is>
          <t>%</t>
        </is>
      </c>
      <c r="E91" s="42">
        <f>IFERROR(SUM($E$88:E88)/SUM($E$92:E92),"")</f>
        <v/>
      </c>
      <c r="F91" s="42">
        <f>IFERROR(SUM($E$88:F88)/SUM($E$92:F92),"")</f>
        <v/>
      </c>
      <c r="G91" s="42">
        <f>IFERROR(SUM($E$88:G88)/SUM($E$92:G92),"")</f>
        <v/>
      </c>
      <c r="H91" s="42">
        <f>IFERROR(SUM($E$88:H88)/SUM($E$92:H92),"")</f>
        <v/>
      </c>
      <c r="I91" s="42">
        <f>IFERROR(SUM($E$88:I88)/SUM($E$92:I92),"")</f>
        <v/>
      </c>
      <c r="J91" s="42">
        <f>IFERROR(SUM($E$88:J88)/SUM($E$92:J92),"")</f>
        <v/>
      </c>
      <c r="K91" s="42">
        <f>IFERROR(SUM($E$88:K88)/SUM($E$92:K92),"")</f>
        <v/>
      </c>
      <c r="L91" s="42">
        <f>IFERROR(SUM($E$88:L88)/SUM($E$92:L92),"")</f>
        <v/>
      </c>
      <c r="M91" s="42">
        <f>IFERROR(SUM($E$88:M88)/SUM($E$92:M92),"")</f>
        <v/>
      </c>
      <c r="N91" s="42">
        <f>IFERROR(SUM($E$88:N88)/SUM($E$92:N92),"")</f>
        <v/>
      </c>
      <c r="O91" s="42">
        <f>IFERROR(SUM($E$88:O88)/SUM($E$92:O92),"")</f>
        <v/>
      </c>
      <c r="P91" s="42">
        <f>IFERROR(SUM($E$88:P88)/SUM($E$92:P92),"")</f>
        <v/>
      </c>
      <c r="Q91" s="42">
        <f>IFERROR(SUM($E$88:Q88)/SUM($E$92:Q92),"")</f>
        <v/>
      </c>
      <c r="R91" s="42">
        <f>IFERROR(SUM($E$88:R88)/SUM($E$92:R92),"")</f>
        <v/>
      </c>
      <c r="S91" s="42">
        <f>IFERROR(SUM($E$88:S88)/SUM($E$92:S92),"")</f>
        <v/>
      </c>
      <c r="T91" s="42">
        <f>IFERROR(SUM($E$88:T88)/SUM($E$92:T92),"")</f>
        <v/>
      </c>
      <c r="U91" s="42">
        <f>IFERROR(SUM($E$88:U88)/SUM($E$92:U92),"")</f>
        <v/>
      </c>
      <c r="V91" s="42">
        <f>IFERROR(SUM($E$88:V88)/SUM($E$92:V92),"")</f>
        <v/>
      </c>
      <c r="W91" s="42">
        <f>IFERROR(SUM($E$88:W88)/SUM($E$92:W92),"")</f>
        <v/>
      </c>
      <c r="X91" s="42">
        <f>IFERROR(SUM($E$88:X88)/SUM($E$92:X92),"")</f>
        <v/>
      </c>
      <c r="Y91" s="42">
        <f>IFERROR(SUM($E$88:Y88)/SUM($E$92:Y92),"")</f>
        <v/>
      </c>
      <c r="Z91" s="42">
        <f>IFERROR(SUM($E$88:Z88)/SUM($E$92:Z92),"")</f>
        <v/>
      </c>
      <c r="AA91" s="42">
        <f>IFERROR(SUM($E$88:AA88)/SUM($E$92:AA92),"")</f>
        <v/>
      </c>
      <c r="AB91" s="42" t="n"/>
      <c r="AC91" s="42" t="n"/>
      <c r="AD91" s="42" t="n"/>
      <c r="AE91" s="42" t="n"/>
      <c r="AF91" s="42" t="n"/>
      <c r="AG91" s="42" t="n"/>
      <c r="AH91" s="42" t="n"/>
      <c r="AI91" s="42" t="n"/>
      <c r="AJ91" s="42" t="n"/>
      <c r="AK91" s="42" t="n"/>
      <c r="AL91" s="42" t="n"/>
      <c r="AM91" s="42" t="n"/>
      <c r="AN91" s="42" t="n"/>
      <c r="AO91" s="42" t="n"/>
      <c r="AP91" s="42" t="n"/>
      <c r="AQ91" s="42" t="n"/>
      <c r="AR91" s="42" t="n"/>
      <c r="AS91" s="42" t="n"/>
      <c r="AT91" s="42" t="n"/>
      <c r="AU91" s="42" t="n"/>
      <c r="AV91" s="42" t="n"/>
      <c r="AW91" s="42" t="n"/>
      <c r="AX91" s="42" t="n"/>
      <c r="AY91" s="42" t="n"/>
      <c r="AZ91" s="42" t="n"/>
      <c r="BA91" s="42" t="n"/>
      <c r="BB91" s="42" t="n"/>
      <c r="BC91" s="42" t="n"/>
      <c r="BD91" s="42" t="n"/>
    </row>
    <row r="92" customFormat="1" s="13">
      <c r="A92" s="12" t="n"/>
      <c r="B92" s="13" t="inlineStr">
        <is>
          <t>Target</t>
        </is>
      </c>
      <c r="D92" s="14" t="inlineStr">
        <is>
          <t>#</t>
        </is>
      </c>
      <c r="E92" s="41" t="n"/>
      <c r="F92" s="41" t="n">
        <v>4147</v>
      </c>
      <c r="G92" s="41" t="n">
        <v>4141</v>
      </c>
      <c r="H92" s="41" t="n">
        <v>4141</v>
      </c>
      <c r="I92" s="41" t="n">
        <v>4137</v>
      </c>
      <c r="J92" s="41" t="n">
        <v>4904</v>
      </c>
      <c r="K92" s="41" t="n">
        <v>4908</v>
      </c>
      <c r="L92" s="41" t="n">
        <v>4923</v>
      </c>
      <c r="M92" s="41" t="n">
        <v>4914</v>
      </c>
      <c r="N92" s="41" t="n">
        <v>8815</v>
      </c>
      <c r="O92" s="41" t="n">
        <v>8801</v>
      </c>
      <c r="P92" s="41" t="n">
        <v>8745</v>
      </c>
      <c r="Q92" s="41" t="n">
        <v>8762</v>
      </c>
      <c r="R92" s="41" t="n">
        <v>8745</v>
      </c>
      <c r="S92" s="41" t="n">
        <v>934</v>
      </c>
      <c r="T92" s="41" t="n">
        <v>4475</v>
      </c>
      <c r="U92" s="41" t="n">
        <v>4482</v>
      </c>
      <c r="V92" s="41" t="n">
        <v>6070</v>
      </c>
      <c r="W92" s="41" t="n">
        <v>11793</v>
      </c>
      <c r="X92" s="41" t="n">
        <v>10003</v>
      </c>
      <c r="Y92" s="41" t="n">
        <v>10003</v>
      </c>
      <c r="Z92" s="41" t="n">
        <v>10003</v>
      </c>
      <c r="AA92" s="41" t="n">
        <v>5364</v>
      </c>
      <c r="AB92" s="41" t="n"/>
      <c r="AC92" s="41" t="n"/>
      <c r="AD92" s="41" t="n"/>
      <c r="AE92" s="41" t="n"/>
      <c r="AF92" s="41" t="n"/>
      <c r="AG92" s="41" t="n"/>
      <c r="AH92" s="41" t="n"/>
      <c r="AI92" s="41" t="n"/>
      <c r="AJ92" s="41" t="n"/>
      <c r="AK92" s="41" t="n"/>
      <c r="AL92" s="41" t="n"/>
      <c r="AM92" s="41" t="n"/>
      <c r="AN92" s="41" t="n"/>
      <c r="AO92" s="41" t="n"/>
      <c r="AP92" s="41" t="n"/>
      <c r="AQ92" s="41" t="n"/>
      <c r="AR92" s="41" t="n"/>
      <c r="AS92" s="41" t="n"/>
      <c r="AT92" s="41" t="n"/>
      <c r="AU92" s="41" t="n"/>
      <c r="AV92" s="41" t="n"/>
      <c r="AW92" s="41" t="n"/>
      <c r="AX92" s="41" t="n"/>
      <c r="AY92" s="41" t="n"/>
      <c r="AZ92" s="41" t="n"/>
      <c r="BA92" s="41" t="n"/>
      <c r="BB92" s="41" t="n"/>
      <c r="BC92" s="41" t="n"/>
      <c r="BD92" s="41" t="n"/>
    </row>
    <row r="93">
      <c r="C93" s="11" t="inlineStr">
        <is>
          <t xml:space="preserve">Cam </t>
        </is>
      </c>
      <c r="D93" s="6" t="inlineStr">
        <is>
          <t>#</t>
        </is>
      </c>
      <c r="E93" s="41" t="n">
        <v>289</v>
      </c>
      <c r="F93" s="41" t="n">
        <v>256</v>
      </c>
      <c r="G93" s="41" t="n">
        <v>166</v>
      </c>
      <c r="H93" s="41" t="n">
        <v>169</v>
      </c>
      <c r="I93" s="41" t="n">
        <v>247</v>
      </c>
      <c r="J93" s="41" t="n">
        <v>251</v>
      </c>
      <c r="K93" s="41" t="n">
        <v>283</v>
      </c>
      <c r="L93" s="41" t="n">
        <v>249</v>
      </c>
      <c r="M93" s="41" t="n">
        <v>265</v>
      </c>
      <c r="N93" s="41" t="n">
        <v>170</v>
      </c>
      <c r="O93" s="41" t="n">
        <v>200</v>
      </c>
      <c r="P93" s="41" t="n">
        <v>204</v>
      </c>
      <c r="Q93" s="41" t="n">
        <v>360</v>
      </c>
      <c r="R93" s="41" t="n">
        <v>321</v>
      </c>
      <c r="S93" s="41" t="n">
        <v>421</v>
      </c>
      <c r="T93" s="41" t="n">
        <v>266</v>
      </c>
      <c r="U93" s="41" t="n">
        <v>2465</v>
      </c>
      <c r="V93" s="41" t="n">
        <v>4030</v>
      </c>
      <c r="W93" s="41" t="n">
        <v>4529</v>
      </c>
      <c r="X93" s="41" t="n">
        <v>5206</v>
      </c>
      <c r="Y93" s="41" t="n">
        <v>6335</v>
      </c>
      <c r="Z93" s="41" t="n">
        <v>6319</v>
      </c>
      <c r="AA93" s="41" t="n">
        <v>6076</v>
      </c>
      <c r="AB93" s="41" t="n"/>
      <c r="AC93" s="41" t="n"/>
      <c r="AD93" s="41" t="n"/>
      <c r="AE93" s="41" t="n"/>
      <c r="AF93" s="41" t="n"/>
      <c r="AG93" s="41" t="n"/>
      <c r="AH93" s="41" t="n"/>
      <c r="AI93" s="41" t="n"/>
      <c r="AJ93" s="41" t="n"/>
      <c r="AK93" s="41" t="n"/>
      <c r="AL93" s="41" t="n"/>
      <c r="AM93" s="41" t="n"/>
      <c r="AN93" s="41" t="n"/>
      <c r="AO93" s="41" t="n"/>
      <c r="AP93" s="41" t="n"/>
      <c r="AQ93" s="41" t="n"/>
      <c r="AR93" s="41" t="n"/>
      <c r="AS93" s="41" t="n"/>
      <c r="AT93" s="41" t="n"/>
      <c r="AU93" s="41" t="n"/>
      <c r="AV93" s="41" t="n"/>
      <c r="AW93" s="41" t="n"/>
      <c r="AX93" s="41" t="n"/>
      <c r="AY93" s="41" t="n"/>
      <c r="AZ93" s="41" t="n"/>
      <c r="BA93" s="41" t="n"/>
      <c r="BB93" s="41" t="n"/>
      <c r="BC93" s="41" t="n"/>
      <c r="BD93" s="41" t="n"/>
    </row>
    <row r="94">
      <c r="C94" s="11" t="inlineStr">
        <is>
          <t>Non Cam</t>
        </is>
      </c>
      <c r="D94" s="6" t="inlineStr">
        <is>
          <t>#</t>
        </is>
      </c>
      <c r="E94" s="41" t="n">
        <v>154</v>
      </c>
      <c r="F94" s="41" t="n">
        <v>124</v>
      </c>
      <c r="G94" s="41" t="n">
        <v>115</v>
      </c>
      <c r="H94" s="41" t="n">
        <v>82</v>
      </c>
      <c r="I94" s="41" t="n">
        <v>92</v>
      </c>
      <c r="J94" s="41" t="n">
        <v>140</v>
      </c>
      <c r="K94" s="41" t="n">
        <v>229</v>
      </c>
      <c r="L94" s="41" t="n">
        <v>239</v>
      </c>
      <c r="M94" s="41" t="n">
        <v>284</v>
      </c>
      <c r="N94" s="41" t="n">
        <v>199</v>
      </c>
      <c r="O94" s="41" t="n">
        <v>217</v>
      </c>
      <c r="P94" s="41" t="n">
        <v>272</v>
      </c>
      <c r="Q94" s="41" t="n">
        <v>230</v>
      </c>
      <c r="R94" s="41" t="n">
        <v>183</v>
      </c>
      <c r="S94" s="41" t="n">
        <v>144</v>
      </c>
      <c r="T94" s="41" t="n">
        <v>126</v>
      </c>
      <c r="U94" s="41" t="n">
        <v>239</v>
      </c>
      <c r="V94" s="41" t="n">
        <v>240</v>
      </c>
      <c r="W94" s="41" t="n">
        <v>290</v>
      </c>
      <c r="X94" s="41" t="n">
        <v>364</v>
      </c>
      <c r="Y94" s="41" t="n">
        <v>457</v>
      </c>
      <c r="Z94" s="41" t="n">
        <v>475</v>
      </c>
      <c r="AA94" s="41" t="n">
        <v>399</v>
      </c>
      <c r="AB94" s="41" t="n"/>
      <c r="AC94" s="41" t="n"/>
      <c r="AD94" s="41" t="n"/>
      <c r="AE94" s="41" t="n"/>
      <c r="AF94" s="41" t="n"/>
      <c r="AG94" s="41" t="n"/>
      <c r="AH94" s="41" t="n"/>
      <c r="AI94" s="41" t="n"/>
      <c r="AJ94" s="41" t="n"/>
      <c r="AK94" s="41" t="n"/>
      <c r="AL94" s="41" t="n"/>
      <c r="AM94" s="41" t="n"/>
      <c r="AN94" s="41" t="n"/>
      <c r="AO94" s="41" t="n"/>
      <c r="AP94" s="41" t="n"/>
      <c r="AQ94" s="41" t="n"/>
      <c r="AR94" s="41" t="n"/>
      <c r="AS94" s="41" t="n"/>
      <c r="AT94" s="41" t="n"/>
      <c r="AU94" s="41" t="n"/>
      <c r="AV94" s="41" t="n"/>
      <c r="AW94" s="41" t="n"/>
      <c r="AX94" s="41" t="n"/>
      <c r="AY94" s="41" t="n"/>
      <c r="AZ94" s="41" t="n"/>
      <c r="BA94" s="41" t="n"/>
      <c r="BB94" s="41" t="n"/>
      <c r="BC94" s="41" t="n"/>
      <c r="BD94" s="41" t="n"/>
    </row>
    <row r="95">
      <c r="C95" s="6" t="n"/>
    </row>
    <row r="96" customFormat="1" s="1">
      <c r="A96" s="1" t="inlineStr">
        <is>
          <t xml:space="preserve">Promo </t>
        </is>
      </c>
      <c r="D96" s="24" t="inlineStr">
        <is>
          <t>$k</t>
        </is>
      </c>
      <c r="E96" s="41" t="n"/>
      <c r="F96" s="41" t="n"/>
      <c r="G96" s="41" t="n"/>
      <c r="H96" s="41" t="n"/>
      <c r="I96" s="41" t="n"/>
      <c r="J96" s="41" t="n"/>
      <c r="K96" s="41" t="n"/>
      <c r="L96" s="41" t="n"/>
      <c r="M96" s="41" t="n"/>
      <c r="N96" s="41" t="n"/>
      <c r="O96" s="41" t="n"/>
      <c r="P96" s="41" t="n"/>
      <c r="Q96" s="41" t="n"/>
      <c r="R96" s="41" t="n">
        <v>0.008569999999999999</v>
      </c>
      <c r="S96" s="41" t="n">
        <v>0.08114</v>
      </c>
      <c r="T96" s="41" t="n">
        <v>0.16057</v>
      </c>
      <c r="U96" s="41" t="n"/>
      <c r="V96" s="41" t="n"/>
      <c r="W96" s="41" t="n"/>
      <c r="X96" s="41" t="n"/>
      <c r="Y96" s="41" t="n">
        <v>7.059819999999999</v>
      </c>
      <c r="Z96" s="41" t="n">
        <v>1.14558</v>
      </c>
      <c r="AA96" s="41" t="n">
        <v>1.33714</v>
      </c>
      <c r="AB96" s="41" t="n"/>
      <c r="AC96" s="41" t="n"/>
      <c r="AD96" s="41" t="n"/>
      <c r="AE96" s="41" t="n"/>
      <c r="AF96" s="41" t="n"/>
      <c r="AG96" s="41" t="n"/>
      <c r="AH96" s="41" t="n"/>
      <c r="AI96" s="41" t="n"/>
      <c r="AJ96" s="41" t="n"/>
      <c r="AK96" s="41" t="n"/>
      <c r="AL96" s="41" t="n"/>
      <c r="AM96" s="41" t="n"/>
      <c r="AN96" s="41" t="n"/>
      <c r="AO96" s="41" t="n"/>
      <c r="AP96" s="41" t="n"/>
      <c r="AQ96" s="41" t="n"/>
      <c r="AR96" s="41" t="n"/>
      <c r="AS96" s="41" t="n"/>
      <c r="AT96" s="41" t="n"/>
      <c r="AU96" s="41" t="n"/>
      <c r="AV96" s="41" t="n"/>
      <c r="AW96" s="41" t="n"/>
      <c r="AX96" s="41" t="n"/>
      <c r="AY96" s="41" t="n"/>
      <c r="AZ96" s="41" t="n"/>
      <c r="BA96" s="41" t="n"/>
      <c r="BB96" s="41" t="n"/>
      <c r="BC96" s="41" t="n"/>
      <c r="BD96" s="41" t="n"/>
    </row>
    <row r="97" ht="15.75" customFormat="1" customHeight="1" s="1">
      <c r="B97" s="31" t="inlineStr">
        <is>
          <t>Finance Actuals (Monthly)</t>
        </is>
      </c>
      <c r="D97" s="32" t="inlineStr">
        <is>
          <t>$k</t>
        </is>
      </c>
      <c r="E97" s="41" t="n"/>
      <c r="F97" s="41" t="n"/>
      <c r="G97" s="41" t="n"/>
      <c r="H97" s="41" t="n">
        <v>0.10196</v>
      </c>
      <c r="I97" s="41" t="n"/>
      <c r="J97" s="41" t="n"/>
      <c r="K97" s="41" t="n"/>
      <c r="L97" s="41" t="n">
        <v>61.57928</v>
      </c>
      <c r="M97" s="41" t="n"/>
      <c r="N97" s="41" t="n"/>
      <c r="O97" s="41" t="n"/>
      <c r="P97" s="41" t="n"/>
      <c r="Q97" s="41" t="n">
        <v>0.73349</v>
      </c>
      <c r="R97" s="41" t="n"/>
      <c r="S97" s="41" t="n"/>
      <c r="T97" s="41" t="n"/>
      <c r="U97" s="41" t="n">
        <v>1.64948</v>
      </c>
      <c r="V97" s="41" t="n"/>
      <c r="W97" s="41" t="n"/>
      <c r="X97" s="41" t="n"/>
      <c r="Y97" s="41" t="n"/>
      <c r="Z97" s="41" t="n">
        <v>20.77099</v>
      </c>
      <c r="AA97" s="41" t="n"/>
      <c r="AB97" s="41" t="n"/>
      <c r="AC97" s="41" t="n"/>
      <c r="AD97" s="41" t="n"/>
      <c r="AE97" s="41" t="n"/>
      <c r="AF97" s="41" t="n"/>
      <c r="AG97" s="41" t="n"/>
      <c r="AH97" s="41" t="n"/>
      <c r="AI97" s="41" t="n"/>
      <c r="AJ97" s="41" t="n"/>
      <c r="AK97" s="41" t="n"/>
      <c r="AL97" s="41" t="n"/>
      <c r="AM97" s="41" t="n"/>
      <c r="AN97" s="41" t="n"/>
      <c r="AO97" s="41" t="n"/>
      <c r="AP97" s="41" t="n"/>
      <c r="AQ97" s="41" t="n"/>
      <c r="AR97" s="41" t="n"/>
      <c r="AS97" s="41" t="n"/>
      <c r="AT97" s="41" t="n"/>
      <c r="AU97" s="41" t="n"/>
      <c r="AV97" s="41" t="n"/>
      <c r="AW97" s="41" t="n"/>
      <c r="AX97" s="41" t="n"/>
      <c r="AY97" s="41" t="n"/>
      <c r="AZ97" s="41" t="n"/>
      <c r="BA97" s="41" t="n"/>
      <c r="BB97" s="41" t="n"/>
      <c r="BC97" s="41" t="n"/>
      <c r="BD97" s="41" t="n"/>
    </row>
    <row r="98" customFormat="1" s="9">
      <c r="B98" s="9" t="inlineStr">
        <is>
          <t>Budgeted (Monthly)</t>
        </is>
      </c>
      <c r="D98" s="10" t="inlineStr">
        <is>
          <t>$k</t>
        </is>
      </c>
      <c r="E98" s="41" t="n"/>
      <c r="F98" s="41" t="n"/>
      <c r="G98" s="41" t="n"/>
      <c r="H98" s="41" t="n">
        <v>0</v>
      </c>
      <c r="I98" s="41" t="n"/>
      <c r="J98" s="41" t="n"/>
      <c r="K98" s="41" t="n"/>
      <c r="L98" s="41" t="n">
        <v>0</v>
      </c>
      <c r="M98" s="41" t="n"/>
      <c r="N98" s="41" t="n"/>
      <c r="O98" s="41" t="n"/>
      <c r="P98" s="41" t="n"/>
      <c r="Q98" s="41" t="n">
        <v>51.8</v>
      </c>
      <c r="R98" s="41" t="n"/>
      <c r="S98" s="41" t="n"/>
      <c r="T98" s="41" t="n"/>
      <c r="U98" s="41" t="n">
        <v>74.8</v>
      </c>
      <c r="V98" s="41" t="n"/>
      <c r="W98" s="41" t="n"/>
      <c r="X98" s="41" t="n"/>
      <c r="Y98" s="41" t="n"/>
      <c r="Z98" s="41" t="n">
        <v>73.7</v>
      </c>
      <c r="AA98" s="41" t="n"/>
      <c r="AB98" s="41" t="n"/>
      <c r="AC98" s="41" t="n"/>
      <c r="AD98" s="41" t="n">
        <v>84.23999999999999</v>
      </c>
      <c r="AE98" s="41" t="n"/>
      <c r="AF98" s="41" t="n"/>
      <c r="AG98" s="41" t="n"/>
      <c r="AH98" s="41" t="n">
        <v>110.16</v>
      </c>
      <c r="AI98" s="41" t="n"/>
      <c r="AJ98" s="41" t="n"/>
      <c r="AK98" s="41" t="n"/>
      <c r="AL98" s="41" t="n"/>
      <c r="AM98" s="41" t="n">
        <v>10.31428571428571</v>
      </c>
      <c r="AN98" s="41" t="n"/>
      <c r="AO98" s="41" t="n"/>
      <c r="AP98" s="41" t="n"/>
      <c r="AQ98" s="41" t="n">
        <v>61.88571428571429</v>
      </c>
      <c r="AR98" s="41" t="n"/>
      <c r="AS98" s="41" t="n"/>
      <c r="AT98" s="41" t="n"/>
      <c r="AU98" s="41" t="n">
        <v>107.2</v>
      </c>
      <c r="AV98" s="41" t="n"/>
      <c r="AW98" s="41" t="n"/>
      <c r="AX98" s="41" t="n"/>
      <c r="AY98" s="41" t="n"/>
      <c r="AZ98" s="41" t="n">
        <v>518.3200000000001</v>
      </c>
      <c r="BA98" s="41" t="n"/>
      <c r="BB98" s="41" t="n"/>
      <c r="BC98" s="41" t="n"/>
      <c r="BD98" s="41" t="n">
        <v>129.58</v>
      </c>
    </row>
    <row r="99">
      <c r="B99" t="inlineStr">
        <is>
          <t>As % of budget - this month</t>
        </is>
      </c>
      <c r="D99" s="6" t="inlineStr">
        <is>
          <t>%</t>
        </is>
      </c>
      <c r="E99" s="42" t="n"/>
      <c r="F99" s="42" t="n"/>
      <c r="G99" s="42" t="n"/>
      <c r="H99" s="42">
        <f>IFERROR(SUM(E96:H96)/H98,"")</f>
        <v/>
      </c>
      <c r="I99" s="42" t="n"/>
      <c r="J99" s="42" t="n"/>
      <c r="K99" s="42" t="n"/>
      <c r="L99" s="42">
        <f>IFERROR(SUM(I96:L96)/L98,"")</f>
        <v/>
      </c>
      <c r="M99" s="42" t="n"/>
      <c r="N99" s="42" t="n"/>
      <c r="O99" s="42" t="n"/>
      <c r="P99" s="42" t="n"/>
      <c r="Q99" s="42">
        <f>IFERROR(SUM(M96:Q96)/Q98,"")</f>
        <v/>
      </c>
      <c r="R99" s="42" t="n"/>
      <c r="S99" s="42" t="n"/>
      <c r="T99" s="42" t="n"/>
      <c r="U99" s="42">
        <f>IFERROR(SUM(R96:U96)/U98,"")</f>
        <v/>
      </c>
      <c r="V99" s="42" t="n"/>
      <c r="W99" s="42" t="n"/>
      <c r="X99" s="42" t="n"/>
      <c r="Y99" s="42" t="n"/>
      <c r="Z99" s="42">
        <f>IFERROR(SUM(V96:Z96)/Z98,"")</f>
        <v/>
      </c>
      <c r="AA99" s="42" t="n"/>
      <c r="AB99" s="42" t="n"/>
      <c r="AC99" s="42" t="n"/>
      <c r="AD99" s="42" t="n"/>
      <c r="AE99" s="42" t="n"/>
      <c r="AF99" s="42" t="n"/>
      <c r="AG99" s="42" t="n"/>
      <c r="AH99" s="42" t="n"/>
      <c r="AI99" s="42" t="n"/>
      <c r="AJ99" s="42" t="n"/>
      <c r="AK99" s="42" t="n"/>
      <c r="AL99" s="42" t="n"/>
      <c r="AM99" s="42" t="n"/>
      <c r="AN99" s="42" t="n"/>
      <c r="AO99" s="42" t="n"/>
      <c r="AP99" s="42" t="n"/>
      <c r="AQ99" s="42" t="n"/>
      <c r="AR99" s="42" t="n"/>
      <c r="AS99" s="42" t="n"/>
      <c r="AT99" s="42" t="n"/>
      <c r="AU99" s="42" t="n"/>
      <c r="AV99" s="42" t="n"/>
      <c r="AW99" s="42" t="n"/>
      <c r="AX99" s="42" t="n"/>
      <c r="AY99" s="42" t="n"/>
      <c r="AZ99" s="42" t="n"/>
      <c r="BA99" s="42" t="n"/>
      <c r="BB99" s="42" t="n"/>
      <c r="BC99" s="42" t="n"/>
      <c r="BD99" s="42" t="n"/>
    </row>
    <row r="100">
      <c r="B100" t="inlineStr">
        <is>
          <t>As % of budget - YTD</t>
        </is>
      </c>
      <c r="D100" s="6" t="inlineStr">
        <is>
          <t>%</t>
        </is>
      </c>
      <c r="E100" s="42" t="n"/>
      <c r="F100" s="42" t="n"/>
      <c r="G100" s="42" t="n"/>
      <c r="H100" s="42">
        <f>IFERROR(SUM($E$96:H96)/SUM($E$98:H98),"")</f>
        <v/>
      </c>
      <c r="I100" s="42" t="n"/>
      <c r="J100" s="42" t="n"/>
      <c r="K100" s="42" t="n"/>
      <c r="L100" s="42">
        <f>IFERROR(SUM($E$96:L96)/SUM($E$98:L98),"")</f>
        <v/>
      </c>
      <c r="M100" s="42" t="n"/>
      <c r="N100" s="42" t="n"/>
      <c r="O100" s="42" t="n"/>
      <c r="P100" s="42" t="n"/>
      <c r="Q100" s="42">
        <f>IFERROR(SUM($E$96:Q96)/SUM($E$98:Q98),"")</f>
        <v/>
      </c>
      <c r="R100" s="42" t="n"/>
      <c r="S100" s="42" t="n"/>
      <c r="T100" s="42" t="n"/>
      <c r="U100" s="42">
        <f>IFERROR(SUM($E$96:U96)/SUM($E$98:U98),"")</f>
        <v/>
      </c>
      <c r="V100" s="42" t="n"/>
      <c r="W100" s="42" t="n"/>
      <c r="X100" s="42" t="n"/>
      <c r="Y100" s="42" t="n"/>
      <c r="Z100" s="42">
        <f>IFERROR(SUM($E$96:Z96)/SUM($E$98:Z98),"")</f>
        <v/>
      </c>
      <c r="AA100" s="42" t="n"/>
      <c r="AB100" s="42" t="n"/>
      <c r="AC100" s="42" t="n"/>
      <c r="AD100" s="42" t="n"/>
      <c r="AE100" s="42" t="n"/>
      <c r="AF100" s="42" t="n"/>
      <c r="AG100" s="42" t="n"/>
      <c r="AH100" s="42" t="n"/>
      <c r="AI100" s="42" t="n"/>
      <c r="AJ100" s="42" t="n"/>
      <c r="AK100" s="42" t="n"/>
      <c r="AL100" s="42" t="n"/>
      <c r="AM100" s="42" t="n"/>
      <c r="AN100" s="42" t="n"/>
      <c r="AO100" s="42" t="n"/>
      <c r="AP100" s="42" t="n"/>
      <c r="AQ100" s="42" t="n"/>
      <c r="AR100" s="42" t="n"/>
      <c r="AS100" s="42" t="n"/>
      <c r="AT100" s="42" t="n"/>
      <c r="AU100" s="42" t="n"/>
      <c r="AV100" s="42" t="n"/>
      <c r="AW100" s="42" t="n"/>
      <c r="AX100" s="42" t="n"/>
      <c r="AY100" s="42" t="n"/>
      <c r="AZ100" s="42" t="n"/>
      <c r="BA100" s="42" t="n"/>
      <c r="BB100" s="42" t="n"/>
      <c r="BC100" s="42" t="n"/>
      <c r="BD100" s="42" t="n"/>
    </row>
    <row r="101"/>
    <row r="102" customFormat="1" s="1">
      <c r="A102" s="1" t="inlineStr">
        <is>
          <t>Ads</t>
        </is>
      </c>
      <c r="D102" s="24" t="inlineStr">
        <is>
          <t>$k</t>
        </is>
      </c>
      <c r="E102" s="41" t="n"/>
      <c r="F102" s="41" t="n"/>
      <c r="G102" s="41" t="n"/>
      <c r="H102" s="41" t="n"/>
      <c r="I102" s="41" t="n"/>
      <c r="J102" s="41" t="n"/>
      <c r="K102" s="41" t="n"/>
      <c r="L102" s="41" t="n"/>
      <c r="M102" s="41" t="n"/>
      <c r="N102" s="41" t="n"/>
      <c r="O102" s="41" t="n"/>
      <c r="P102" s="41" t="n"/>
      <c r="Q102" s="41" t="n"/>
      <c r="R102" s="41" t="n"/>
      <c r="S102" s="41" t="n"/>
      <c r="T102" s="41" t="n"/>
      <c r="U102" s="41" t="n"/>
      <c r="V102" s="41" t="n"/>
      <c r="W102" s="41" t="n"/>
      <c r="X102" s="41" t="n"/>
      <c r="Y102" s="41" t="n"/>
      <c r="Z102" s="41" t="n"/>
      <c r="AA102" s="41" t="n"/>
      <c r="AB102" s="41" t="n"/>
      <c r="AC102" s="41" t="n"/>
      <c r="AD102" s="41" t="n"/>
      <c r="AE102" s="41" t="n"/>
      <c r="AF102" s="41" t="n"/>
      <c r="AG102" s="41" t="n"/>
      <c r="AH102" s="41" t="n"/>
      <c r="AI102" s="41" t="n"/>
      <c r="AJ102" s="41" t="n"/>
      <c r="AK102" s="41" t="n"/>
      <c r="AL102" s="41" t="n"/>
      <c r="AM102" s="41" t="n"/>
      <c r="AN102" s="41" t="n"/>
      <c r="AO102" s="41" t="n"/>
      <c r="AP102" s="41" t="n"/>
      <c r="AQ102" s="41" t="n"/>
      <c r="AR102" s="41" t="n"/>
      <c r="AS102" s="41" t="n"/>
      <c r="AT102" s="41" t="n"/>
      <c r="AU102" s="41" t="n"/>
      <c r="AV102" s="41" t="n"/>
      <c r="AW102" s="41" t="n"/>
      <c r="AX102" s="41" t="n"/>
      <c r="AY102" s="41" t="n"/>
      <c r="AZ102" s="41" t="n"/>
      <c r="BA102" s="41" t="n"/>
      <c r="BB102" s="41" t="n"/>
      <c r="BC102" s="41" t="n"/>
      <c r="BD102" s="41" t="n"/>
    </row>
    <row r="103" ht="15.75" customFormat="1" customHeight="1" s="1">
      <c r="B103" s="31" t="inlineStr">
        <is>
          <t>Finance Actuals (Monthly)</t>
        </is>
      </c>
      <c r="D103" s="32" t="inlineStr">
        <is>
          <t>$k</t>
        </is>
      </c>
      <c r="E103" s="41" t="n"/>
      <c r="F103" s="41" t="n"/>
      <c r="G103" s="41" t="n"/>
      <c r="H103" s="41" t="n"/>
      <c r="I103" s="41" t="n"/>
      <c r="J103" s="41" t="n"/>
      <c r="K103" s="41" t="n"/>
      <c r="L103" s="41" t="n"/>
      <c r="M103" s="41" t="n"/>
      <c r="N103" s="41" t="n"/>
      <c r="O103" s="41" t="n"/>
      <c r="P103" s="41" t="n"/>
      <c r="Q103" s="41" t="n"/>
      <c r="R103" s="41" t="n"/>
      <c r="S103" s="41" t="n"/>
      <c r="T103" s="41" t="n"/>
      <c r="U103" s="41" t="n"/>
      <c r="V103" s="41" t="n"/>
      <c r="W103" s="41" t="n"/>
      <c r="X103" s="41" t="n"/>
      <c r="Y103" s="41" t="n"/>
      <c r="Z103" s="41" t="n"/>
      <c r="AA103" s="41" t="n"/>
      <c r="AB103" s="41" t="n"/>
      <c r="AC103" s="41" t="n"/>
      <c r="AD103" s="41" t="n"/>
      <c r="AE103" s="41" t="n"/>
      <c r="AF103" s="41" t="n"/>
      <c r="AG103" s="41" t="n"/>
      <c r="AH103" s="41" t="n"/>
      <c r="AI103" s="41" t="n"/>
      <c r="AJ103" s="41" t="n"/>
      <c r="AK103" s="41" t="n"/>
      <c r="AL103" s="41" t="n"/>
      <c r="AM103" s="41" t="n"/>
      <c r="AN103" s="41" t="n"/>
      <c r="AO103" s="41" t="n"/>
      <c r="AP103" s="41" t="n"/>
      <c r="AQ103" s="41" t="n"/>
      <c r="AR103" s="41" t="n"/>
      <c r="AS103" s="41" t="n"/>
      <c r="AT103" s="41" t="n"/>
      <c r="AU103" s="41" t="n"/>
      <c r="AV103" s="41" t="n"/>
      <c r="AW103" s="41" t="n"/>
      <c r="AX103" s="41" t="n"/>
      <c r="AY103" s="41" t="n"/>
      <c r="AZ103" s="41" t="n"/>
      <c r="BA103" s="41" t="n"/>
      <c r="BB103" s="41" t="n"/>
      <c r="BC103" s="41" t="n"/>
      <c r="BD103" s="41" t="n"/>
    </row>
    <row r="104" ht="15.75" customHeight="1">
      <c r="B104" s="9" t="inlineStr">
        <is>
          <t>Budgeted (Monthly)</t>
        </is>
      </c>
      <c r="C104" s="9" t="n"/>
      <c r="D104" s="10" t="inlineStr">
        <is>
          <t>$k</t>
        </is>
      </c>
      <c r="E104" s="41" t="n"/>
      <c r="F104" s="41" t="n"/>
      <c r="G104" s="41" t="n"/>
      <c r="H104" s="41" t="n">
        <v>50</v>
      </c>
      <c r="I104" s="41" t="n"/>
      <c r="J104" s="41" t="n"/>
      <c r="K104" s="41" t="n"/>
      <c r="L104" s="41" t="n">
        <v>50</v>
      </c>
      <c r="M104" s="41" t="n"/>
      <c r="N104" s="41" t="n"/>
      <c r="O104" s="41" t="n"/>
      <c r="P104" s="41" t="n"/>
      <c r="Q104" s="41" t="n">
        <v>50</v>
      </c>
      <c r="R104" s="41" t="n"/>
      <c r="S104" s="41" t="n"/>
      <c r="T104" s="41" t="n"/>
      <c r="U104" s="41" t="n">
        <v>50</v>
      </c>
      <c r="V104" s="41" t="n"/>
      <c r="W104" s="41" t="n"/>
      <c r="X104" s="41" t="n"/>
      <c r="Y104" s="41" t="n"/>
      <c r="Z104" s="41" t="n">
        <v>50</v>
      </c>
      <c r="AA104" s="41" t="n"/>
      <c r="AB104" s="41" t="n"/>
      <c r="AC104" s="41" t="n"/>
      <c r="AD104" s="41" t="n">
        <v>50</v>
      </c>
      <c r="AE104" s="41" t="n"/>
      <c r="AF104" s="41" t="n"/>
      <c r="AG104" s="41" t="n"/>
      <c r="AH104" s="41" t="n">
        <v>50</v>
      </c>
      <c r="AI104" s="41" t="n"/>
      <c r="AJ104" s="41" t="n"/>
      <c r="AK104" s="41" t="n"/>
      <c r="AL104" s="41" t="n"/>
      <c r="AM104" s="41" t="n">
        <v>50</v>
      </c>
      <c r="AN104" s="41" t="n"/>
      <c r="AO104" s="41" t="n"/>
      <c r="AP104" s="41" t="n"/>
      <c r="AQ104" s="41" t="n">
        <v>50</v>
      </c>
      <c r="AR104" s="41" t="n"/>
      <c r="AS104" s="41" t="n"/>
      <c r="AT104" s="41" t="n"/>
      <c r="AU104" s="41" t="n">
        <v>50</v>
      </c>
      <c r="AV104" s="41" t="n"/>
      <c r="AW104" s="41" t="n"/>
      <c r="AX104" s="41" t="n"/>
      <c r="AY104" s="41" t="n"/>
      <c r="AZ104" s="41" t="n">
        <v>50</v>
      </c>
      <c r="BA104" s="41" t="n"/>
      <c r="BB104" s="41" t="n"/>
      <c r="BC104" s="41" t="n"/>
      <c r="BD104" s="41" t="n">
        <v>50</v>
      </c>
    </row>
    <row r="105">
      <c r="B105" t="inlineStr">
        <is>
          <t>As % of budget - this month</t>
        </is>
      </c>
      <c r="D105" s="6" t="inlineStr">
        <is>
          <t>%</t>
        </is>
      </c>
      <c r="E105" s="42" t="n"/>
      <c r="F105" s="42" t="n"/>
      <c r="G105" s="42" t="n"/>
      <c r="H105" s="42">
        <f>IFERROR(SUM(E102:H102)/H104,"")</f>
        <v/>
      </c>
      <c r="I105" s="42" t="n"/>
      <c r="J105" s="42" t="n"/>
      <c r="K105" s="42" t="n"/>
      <c r="L105" s="42">
        <f>IFERROR(SUM(I102:L102)/L104,"")</f>
        <v/>
      </c>
      <c r="M105" s="42" t="n"/>
      <c r="N105" s="42" t="n"/>
      <c r="O105" s="42" t="n"/>
      <c r="P105" s="42" t="n"/>
      <c r="Q105" s="42">
        <f>IFERROR(SUM(M102:Q102)/Q104,"")</f>
        <v/>
      </c>
      <c r="R105" s="42" t="n"/>
      <c r="S105" s="42" t="n"/>
      <c r="T105" s="42" t="n"/>
      <c r="U105" s="42">
        <f>IFERROR(SUM(R102:U102)/U104,"")</f>
        <v/>
      </c>
      <c r="V105" s="42" t="n"/>
      <c r="W105" s="42" t="n"/>
      <c r="X105" s="42" t="n"/>
      <c r="Y105" s="42" t="n"/>
      <c r="Z105" s="42">
        <f>IFERROR(SUM(V102:Z102)/Z104,"")</f>
        <v/>
      </c>
      <c r="AA105" s="42" t="n"/>
      <c r="AB105" s="42" t="n"/>
      <c r="AC105" s="42" t="n"/>
      <c r="AD105" s="42" t="n"/>
      <c r="AE105" s="42" t="n"/>
      <c r="AF105" s="42" t="n"/>
      <c r="AG105" s="42" t="n"/>
      <c r="AH105" s="42" t="n"/>
      <c r="AI105" s="42" t="n"/>
      <c r="AJ105" s="42" t="n"/>
      <c r="AK105" s="42" t="n"/>
      <c r="AL105" s="42" t="n"/>
      <c r="AM105" s="42" t="n"/>
      <c r="AN105" s="42" t="n"/>
      <c r="AO105" s="42" t="n"/>
      <c r="AP105" s="42" t="n"/>
      <c r="AQ105" s="42" t="n"/>
      <c r="AR105" s="42" t="n"/>
      <c r="AS105" s="42" t="n"/>
      <c r="AT105" s="42" t="n"/>
      <c r="AU105" s="42" t="n"/>
      <c r="AV105" s="42" t="n"/>
      <c r="AW105" s="42" t="n"/>
      <c r="AX105" s="42" t="n"/>
      <c r="AY105" s="42" t="n"/>
      <c r="AZ105" s="42" t="n"/>
      <c r="BA105" s="42" t="n"/>
      <c r="BB105" s="42" t="n"/>
      <c r="BC105" s="42" t="n"/>
      <c r="BD105" s="42" t="n"/>
    </row>
    <row r="106">
      <c r="B106" t="inlineStr">
        <is>
          <t>As % of budget - YTD</t>
        </is>
      </c>
      <c r="D106" s="6" t="inlineStr">
        <is>
          <t>%</t>
        </is>
      </c>
      <c r="E106" s="42" t="n"/>
      <c r="F106" s="42" t="n"/>
      <c r="G106" s="42" t="n"/>
      <c r="H106" s="42">
        <f>IFERROR(SUM($E$102:H102)/SUM($E$104:H104),"")</f>
        <v/>
      </c>
      <c r="I106" s="42" t="n"/>
      <c r="J106" s="42" t="n"/>
      <c r="K106" s="42" t="n"/>
      <c r="L106" s="42">
        <f>IFERROR(SUM($E$102:L102)/SUM($E$104:L104),"")</f>
        <v/>
      </c>
      <c r="M106" s="42" t="n"/>
      <c r="N106" s="42" t="n"/>
      <c r="O106" s="42" t="n"/>
      <c r="P106" s="42" t="n"/>
      <c r="Q106" s="42">
        <f>IFERROR(SUM($E$102:Q102)/SUM($E$104:Q104),"")</f>
        <v/>
      </c>
      <c r="R106" s="42" t="n"/>
      <c r="S106" s="42" t="n"/>
      <c r="T106" s="42" t="n"/>
      <c r="U106" s="42">
        <f>IFERROR(SUM($E$102:U102)/SUM($E$104:U104),"")</f>
        <v/>
      </c>
      <c r="V106" s="42" t="n"/>
      <c r="W106" s="42" t="n"/>
      <c r="X106" s="42" t="n"/>
      <c r="Y106" s="42" t="n"/>
      <c r="Z106" s="42">
        <f>IFERROR(SUM($E$102:Z102)/SUM($E$104:Z104),"")</f>
        <v/>
      </c>
      <c r="AA106" s="42" t="n"/>
      <c r="AB106" s="42" t="n"/>
      <c r="AC106" s="42" t="n"/>
      <c r="AD106" s="42" t="n"/>
      <c r="AE106" s="42" t="n"/>
      <c r="AF106" s="42" t="n"/>
      <c r="AG106" s="42" t="n"/>
      <c r="AH106" s="42" t="n"/>
      <c r="AI106" s="42" t="n"/>
      <c r="AJ106" s="42" t="n"/>
      <c r="AK106" s="42" t="n"/>
      <c r="AL106" s="42" t="n"/>
      <c r="AM106" s="42" t="n"/>
      <c r="AN106" s="42" t="n"/>
      <c r="AO106" s="42" t="n"/>
      <c r="AP106" s="42" t="n"/>
      <c r="AQ106" s="42" t="n"/>
      <c r="AR106" s="42" t="n"/>
      <c r="AS106" s="42" t="n"/>
      <c r="AT106" s="42" t="n"/>
      <c r="AU106" s="42" t="n"/>
      <c r="AV106" s="42" t="n"/>
      <c r="AW106" s="42" t="n"/>
      <c r="AX106" s="42" t="n"/>
      <c r="AY106" s="42" t="n"/>
      <c r="AZ106" s="42" t="n"/>
      <c r="BA106" s="42" t="n"/>
      <c r="BB106" s="42" t="n"/>
      <c r="BC106" s="42" t="n"/>
      <c r="BD106" s="42" t="n"/>
    </row>
    <row r="107"/>
    <row r="108" ht="15.75" customFormat="1" customHeight="1" s="1">
      <c r="A108" s="1" t="inlineStr">
        <is>
          <t>Other Marketing - Retail marketing, etc</t>
        </is>
      </c>
      <c r="D108" s="24" t="inlineStr">
        <is>
          <t>$k</t>
        </is>
      </c>
      <c r="E108" s="41" t="n"/>
      <c r="F108" s="41" t="n"/>
      <c r="G108" s="41" t="n"/>
      <c r="H108" s="41" t="n"/>
      <c r="I108" s="41" t="n"/>
      <c r="J108" s="41" t="n"/>
      <c r="K108" s="41" t="n"/>
      <c r="L108" s="41" t="n"/>
      <c r="M108" s="41" t="n"/>
      <c r="N108" s="41" t="n"/>
      <c r="O108" s="41" t="n"/>
      <c r="P108" s="41" t="n"/>
      <c r="Q108" s="41" t="n"/>
      <c r="R108" s="41" t="n"/>
      <c r="S108" s="41" t="n"/>
      <c r="T108" s="41" t="n"/>
      <c r="U108" s="41" t="n"/>
      <c r="V108" s="41" t="n"/>
      <c r="W108" s="41" t="n"/>
      <c r="X108" s="41" t="n"/>
      <c r="Y108" s="41" t="n"/>
      <c r="Z108" s="41" t="n"/>
      <c r="AA108" s="41" t="n"/>
      <c r="AB108" s="41" t="n"/>
      <c r="AC108" s="41" t="n"/>
      <c r="AD108" s="41" t="n"/>
      <c r="AE108" s="41" t="n"/>
      <c r="AF108" s="41" t="n"/>
      <c r="AG108" s="41" t="n"/>
      <c r="AH108" s="41" t="n"/>
      <c r="AI108" s="41" t="n"/>
      <c r="AJ108" s="41" t="n"/>
      <c r="AK108" s="41" t="n"/>
      <c r="AL108" s="41" t="n"/>
      <c r="AM108" s="41" t="n"/>
      <c r="AN108" s="41" t="n"/>
      <c r="AO108" s="41" t="n"/>
      <c r="AP108" s="41" t="n"/>
      <c r="AQ108" s="41" t="n"/>
      <c r="AR108" s="41" t="n"/>
      <c r="AS108" s="41" t="n"/>
      <c r="AT108" s="41" t="n"/>
      <c r="AU108" s="41" t="n"/>
      <c r="AV108" s="41" t="n"/>
      <c r="AW108" s="41" t="n"/>
      <c r="AX108" s="41" t="n"/>
      <c r="AY108" s="41" t="n"/>
      <c r="AZ108" s="41" t="n"/>
      <c r="BA108" s="41" t="n"/>
      <c r="BB108" s="41" t="n"/>
      <c r="BC108" s="41" t="n"/>
      <c r="BD108" s="41" t="n"/>
    </row>
    <row r="109" ht="15.75" customFormat="1" customHeight="1" s="1">
      <c r="B109" s="31" t="inlineStr">
        <is>
          <t>Finance Actuals (Monthly)</t>
        </is>
      </c>
      <c r="D109" s="32" t="inlineStr">
        <is>
          <t>$k</t>
        </is>
      </c>
      <c r="E109" s="41" t="n"/>
      <c r="F109" s="41" t="n"/>
      <c r="G109" s="41" t="n"/>
      <c r="H109" s="41" t="n">
        <v>6.11707</v>
      </c>
      <c r="I109" s="41" t="n"/>
      <c r="J109" s="41" t="n"/>
      <c r="K109" s="41" t="n"/>
      <c r="L109" s="41" t="n">
        <v>13.95362</v>
      </c>
      <c r="M109" s="41" t="n"/>
      <c r="N109" s="41" t="n"/>
      <c r="O109" s="41" t="n"/>
      <c r="P109" s="41" t="n"/>
      <c r="Q109" s="41" t="n">
        <v>246.14116</v>
      </c>
      <c r="R109" s="41" t="n"/>
      <c r="S109" s="41" t="n"/>
      <c r="T109" s="41" t="n"/>
      <c r="U109" s="41" t="n">
        <v>83.63547</v>
      </c>
      <c r="V109" s="41" t="n"/>
      <c r="W109" s="41" t="n"/>
      <c r="X109" s="41" t="n"/>
      <c r="Y109" s="41" t="n"/>
      <c r="Z109" s="41" t="n">
        <v>82.22338000000001</v>
      </c>
      <c r="AA109" s="41" t="n"/>
      <c r="AB109" s="41" t="n"/>
      <c r="AC109" s="41" t="n"/>
      <c r="AD109" s="41" t="n"/>
      <c r="AE109" s="41" t="n"/>
      <c r="AF109" s="41" t="n"/>
      <c r="AG109" s="41" t="n"/>
      <c r="AH109" s="41" t="n"/>
      <c r="AI109" s="41" t="n"/>
      <c r="AJ109" s="41" t="n"/>
      <c r="AK109" s="41" t="n"/>
      <c r="AL109" s="41" t="n"/>
      <c r="AM109" s="41" t="n"/>
      <c r="AN109" s="41" t="n"/>
      <c r="AO109" s="41" t="n"/>
      <c r="AP109" s="41" t="n"/>
      <c r="AQ109" s="41" t="n"/>
      <c r="AR109" s="41" t="n"/>
      <c r="AS109" s="41" t="n"/>
      <c r="AT109" s="41" t="n"/>
      <c r="AU109" s="41" t="n"/>
      <c r="AV109" s="41" t="n"/>
      <c r="AW109" s="41" t="n"/>
      <c r="AX109" s="41" t="n"/>
      <c r="AY109" s="41" t="n"/>
      <c r="AZ109" s="41" t="n"/>
      <c r="BA109" s="41" t="n"/>
      <c r="BB109" s="41" t="n"/>
      <c r="BC109" s="41" t="n"/>
      <c r="BD109" s="41" t="n"/>
    </row>
    <row r="110" ht="15.75" customHeight="1">
      <c r="B110" s="9" t="inlineStr">
        <is>
          <t>Budgeted (Monthly)</t>
        </is>
      </c>
      <c r="C110" s="9" t="n"/>
      <c r="D110" s="10" t="inlineStr">
        <is>
          <t>$k</t>
        </is>
      </c>
      <c r="E110" s="41" t="n"/>
      <c r="F110" s="41" t="n"/>
      <c r="G110" s="41" t="n"/>
      <c r="H110" s="41" t="n">
        <v>2.5</v>
      </c>
      <c r="I110" s="41" t="n"/>
      <c r="J110" s="41" t="n"/>
      <c r="K110" s="41" t="n"/>
      <c r="L110" s="41" t="n">
        <v>2.5</v>
      </c>
      <c r="M110" s="41" t="n"/>
      <c r="N110" s="41" t="n"/>
      <c r="O110" s="41" t="n"/>
      <c r="P110" s="41" t="n"/>
      <c r="Q110" s="41" t="n">
        <v>2.5</v>
      </c>
      <c r="R110" s="41" t="n"/>
      <c r="S110" s="41" t="n"/>
      <c r="T110" s="41" t="n"/>
      <c r="U110" s="41" t="n">
        <v>502.5</v>
      </c>
      <c r="V110" s="41" t="n"/>
      <c r="W110" s="41" t="n"/>
      <c r="X110" s="41" t="n"/>
      <c r="Y110" s="41" t="n"/>
      <c r="Z110" s="41" t="n">
        <v>502.5</v>
      </c>
      <c r="AA110" s="41" t="n"/>
      <c r="AB110" s="41" t="n"/>
      <c r="AC110" s="41" t="n"/>
      <c r="AD110" s="41" t="n">
        <v>502.5</v>
      </c>
      <c r="AE110" s="41" t="n"/>
      <c r="AF110" s="41" t="n"/>
      <c r="AG110" s="41" t="n"/>
      <c r="AH110" s="41" t="n">
        <v>2.5</v>
      </c>
      <c r="AI110" s="41" t="n"/>
      <c r="AJ110" s="41" t="n"/>
      <c r="AK110" s="41" t="n"/>
      <c r="AL110" s="41" t="n"/>
      <c r="AM110" s="41" t="n">
        <v>2.5</v>
      </c>
      <c r="AN110" s="41" t="n"/>
      <c r="AO110" s="41" t="n"/>
      <c r="AP110" s="41" t="n"/>
      <c r="AQ110" s="41" t="n">
        <v>2.5</v>
      </c>
      <c r="AR110" s="41" t="n"/>
      <c r="AS110" s="41" t="n"/>
      <c r="AT110" s="41" t="n"/>
      <c r="AU110" s="41" t="n">
        <v>2.5</v>
      </c>
      <c r="AV110" s="41" t="n"/>
      <c r="AW110" s="41" t="n"/>
      <c r="AX110" s="41" t="n"/>
      <c r="AY110" s="41" t="n"/>
      <c r="AZ110" s="41" t="n">
        <v>2.5</v>
      </c>
      <c r="BA110" s="41" t="n"/>
      <c r="BB110" s="41" t="n"/>
      <c r="BC110" s="41" t="n"/>
      <c r="BD110" s="41" t="n">
        <v>2.5</v>
      </c>
    </row>
    <row r="111">
      <c r="B111" t="inlineStr">
        <is>
          <t>As % of budget - this month</t>
        </is>
      </c>
      <c r="D111" s="6" t="inlineStr">
        <is>
          <t>%</t>
        </is>
      </c>
      <c r="E111" s="42" t="n"/>
      <c r="F111" s="42" t="n"/>
      <c r="G111" s="42" t="n"/>
      <c r="H111" s="42">
        <f>IFERROR(SUM(E108:H108)/H110,"")</f>
        <v/>
      </c>
      <c r="I111" s="42" t="n"/>
      <c r="J111" s="42" t="n"/>
      <c r="K111" s="42" t="n"/>
      <c r="L111" s="42">
        <f>IFERROR(SUM(I108:L108)/L110,"")</f>
        <v/>
      </c>
      <c r="M111" s="42" t="n"/>
      <c r="N111" s="42" t="n"/>
      <c r="O111" s="42" t="n"/>
      <c r="P111" s="42" t="n"/>
      <c r="Q111" s="42">
        <f>IFERROR(SUM(M108:Q108)/Q110,"")</f>
        <v/>
      </c>
      <c r="R111" s="42" t="n"/>
      <c r="S111" s="42" t="n"/>
      <c r="T111" s="42" t="n"/>
      <c r="U111" s="42">
        <f>IFERROR(SUM(R108:U108)/U110,"")</f>
        <v/>
      </c>
      <c r="V111" s="42" t="n"/>
      <c r="W111" s="42" t="n"/>
      <c r="X111" s="42" t="n"/>
      <c r="Y111" s="42" t="n"/>
      <c r="Z111" s="42">
        <f>IFERROR(SUM(V108:Z108)/Z110,"")</f>
        <v/>
      </c>
      <c r="AA111" s="42" t="n"/>
      <c r="AB111" s="42" t="n"/>
      <c r="AC111" s="42" t="n"/>
      <c r="AD111" s="42" t="n"/>
      <c r="AE111" s="42" t="n"/>
      <c r="AF111" s="42" t="n"/>
      <c r="AG111" s="42" t="n"/>
      <c r="AH111" s="42" t="n"/>
      <c r="AI111" s="42" t="n"/>
      <c r="AJ111" s="42" t="n"/>
      <c r="AK111" s="42" t="n"/>
      <c r="AL111" s="42" t="n"/>
      <c r="AM111" s="42" t="n"/>
      <c r="AN111" s="42" t="n"/>
      <c r="AO111" s="42" t="n"/>
      <c r="AP111" s="42" t="n"/>
      <c r="AQ111" s="42" t="n"/>
      <c r="AR111" s="42" t="n"/>
      <c r="AS111" s="42" t="n"/>
      <c r="AT111" s="42" t="n"/>
      <c r="AU111" s="42" t="n"/>
      <c r="AV111" s="42" t="n"/>
      <c r="AW111" s="42" t="n"/>
      <c r="AX111" s="42" t="n"/>
      <c r="AY111" s="42" t="n"/>
      <c r="AZ111" s="42" t="n"/>
      <c r="BA111" s="42" t="n"/>
      <c r="BB111" s="42" t="n"/>
      <c r="BC111" s="42" t="n"/>
      <c r="BD111" s="42" t="n"/>
    </row>
    <row r="112">
      <c r="B112" t="inlineStr">
        <is>
          <t>As % of budget - YTD</t>
        </is>
      </c>
      <c r="D112" s="6" t="inlineStr">
        <is>
          <t>%</t>
        </is>
      </c>
      <c r="E112" s="42" t="n"/>
      <c r="F112" s="42" t="n"/>
      <c r="G112" s="42" t="n"/>
      <c r="H112" s="42">
        <f>IFERROR(SUM($E$108:H108)/SUM($E$110:H110),"")</f>
        <v/>
      </c>
      <c r="I112" s="42" t="n"/>
      <c r="J112" s="42" t="n"/>
      <c r="K112" s="42" t="n"/>
      <c r="L112" s="42">
        <f>IFERROR(SUM($E$108:L108)/SUM($E$110:L110),"")</f>
        <v/>
      </c>
      <c r="M112" s="42" t="n"/>
      <c r="N112" s="42" t="n"/>
      <c r="O112" s="42" t="n"/>
      <c r="P112" s="42" t="n"/>
      <c r="Q112" s="42">
        <f>IFERROR(SUM($E$108:Q108)/SUM($E$110:Q110),"")</f>
        <v/>
      </c>
      <c r="R112" s="42" t="n"/>
      <c r="S112" s="42" t="n"/>
      <c r="T112" s="42" t="n"/>
      <c r="U112" s="42">
        <f>IFERROR(SUM($E$108:U108)/SUM($E$110:U110),"")</f>
        <v/>
      </c>
      <c r="V112" s="42" t="n"/>
      <c r="W112" s="42" t="n"/>
      <c r="X112" s="42" t="n"/>
      <c r="Y112" s="42" t="n"/>
      <c r="Z112" s="42">
        <f>IFERROR(SUM($E$108:Z108)/SUM($E$110:Z110),"")</f>
        <v/>
      </c>
      <c r="AA112" s="42" t="n"/>
      <c r="AB112" s="42" t="n"/>
      <c r="AC112" s="42" t="n"/>
      <c r="AD112" s="42" t="n"/>
      <c r="AE112" s="42" t="n"/>
      <c r="AF112" s="42" t="n"/>
      <c r="AG112" s="42" t="n"/>
      <c r="AH112" s="42" t="n"/>
      <c r="AI112" s="42" t="n"/>
      <c r="AJ112" s="42" t="n"/>
      <c r="AK112" s="42" t="n"/>
      <c r="AL112" s="42" t="n"/>
      <c r="AM112" s="42" t="n"/>
      <c r="AN112" s="42" t="n"/>
      <c r="AO112" s="42" t="n"/>
      <c r="AP112" s="42" t="n"/>
      <c r="AQ112" s="42" t="n"/>
      <c r="AR112" s="42" t="n"/>
      <c r="AS112" s="42" t="n"/>
      <c r="AT112" s="42" t="n"/>
      <c r="AU112" s="42" t="n"/>
      <c r="AV112" s="42" t="n"/>
      <c r="AW112" s="42" t="n"/>
      <c r="AX112" s="42" t="n"/>
      <c r="AY112" s="42" t="n"/>
      <c r="AZ112" s="42" t="n"/>
      <c r="BA112" s="42" t="n"/>
      <c r="BB112" s="42" t="n"/>
      <c r="BC112" s="42" t="n"/>
      <c r="BD112" s="42" t="n"/>
    </row>
    <row r="113"/>
    <row r="114"/>
    <row r="115" customFormat="1" s="29">
      <c r="A115" s="28" t="inlineStr">
        <is>
          <t>The Home Deport (In-store + Online)</t>
        </is>
      </c>
      <c r="D115" s="30" t="n"/>
    </row>
    <row r="116">
      <c r="A116" s="1" t="inlineStr">
        <is>
          <t>Sell-in value</t>
        </is>
      </c>
      <c r="D116" s="24" t="inlineStr">
        <is>
          <t>$k</t>
        </is>
      </c>
      <c r="E116" s="41" t="n">
        <v>57.569</v>
      </c>
      <c r="F116" s="41" t="n">
        <v>222.528</v>
      </c>
      <c r="G116" s="41" t="n">
        <v>196.031</v>
      </c>
      <c r="H116" s="41" t="n">
        <v>142.685</v>
      </c>
      <c r="I116" s="41" t="n">
        <v>1550.09</v>
      </c>
      <c r="J116" s="41" t="n">
        <v>579.847</v>
      </c>
      <c r="K116" s="41" t="n">
        <v>80.14</v>
      </c>
      <c r="L116" s="41" t="n">
        <v>363.178</v>
      </c>
      <c r="M116" s="41" t="n">
        <v>133.191</v>
      </c>
      <c r="N116" s="41" t="n">
        <v>279.306</v>
      </c>
      <c r="O116" s="41" t="n">
        <v>125.933</v>
      </c>
      <c r="P116" s="41" t="n">
        <v>476.66</v>
      </c>
      <c r="Q116" s="41" t="n">
        <v>169.942</v>
      </c>
      <c r="R116" s="41" t="n">
        <v>-1119.731</v>
      </c>
      <c r="S116" s="41" t="n">
        <v>58.988</v>
      </c>
      <c r="T116" s="41" t="n">
        <v>191.748</v>
      </c>
      <c r="U116" s="41" t="n">
        <v>95.827</v>
      </c>
      <c r="V116" s="41" t="n">
        <v>192.472</v>
      </c>
      <c r="W116" s="41" t="n">
        <v>205.05</v>
      </c>
      <c r="X116" s="41" t="n">
        <v>247.52</v>
      </c>
      <c r="Y116" s="41" t="n">
        <v>372.917</v>
      </c>
      <c r="Z116" s="41" t="n">
        <v>136.111</v>
      </c>
      <c r="AA116" s="41" t="n">
        <v>104.042</v>
      </c>
      <c r="AB116" s="41" t="n"/>
      <c r="AC116" s="41" t="n"/>
      <c r="AD116" s="41" t="n"/>
      <c r="AE116" s="41" t="n"/>
      <c r="AF116" s="41" t="n"/>
      <c r="AG116" s="41" t="n"/>
      <c r="AH116" s="41" t="n"/>
      <c r="AI116" s="41" t="n"/>
      <c r="AJ116" s="41" t="n"/>
      <c r="AK116" s="41" t="n"/>
      <c r="AL116" s="41" t="n"/>
      <c r="AM116" s="41" t="n"/>
      <c r="AN116" s="41" t="n"/>
      <c r="AO116" s="41" t="n"/>
      <c r="AP116" s="41" t="n"/>
      <c r="AQ116" s="41" t="n"/>
      <c r="AR116" s="41" t="n"/>
      <c r="AS116" s="41" t="n"/>
      <c r="AT116" s="41" t="n"/>
      <c r="AU116" s="41" t="n"/>
      <c r="AV116" s="41" t="n"/>
      <c r="AW116" s="41" t="n"/>
      <c r="AX116" s="41" t="n"/>
      <c r="AY116" s="41" t="n"/>
      <c r="AZ116" s="41" t="n"/>
      <c r="BA116" s="41" t="n"/>
      <c r="BB116" s="41" t="n"/>
      <c r="BC116" s="41" t="n"/>
      <c r="BD116" s="41" t="n"/>
    </row>
    <row r="117" customFormat="1" s="4">
      <c r="A117" s="3" t="n"/>
      <c r="B117" s="4" t="inlineStr">
        <is>
          <t>% of Total - YTD</t>
        </is>
      </c>
      <c r="D117" s="33" t="inlineStr">
        <is>
          <t>%</t>
        </is>
      </c>
      <c r="E117" s="42">
        <f>IFERROR(SUM($E$116:E116)/SUM($E$3:E3),"")</f>
        <v/>
      </c>
      <c r="F117" s="42">
        <f>IFERROR(SUM($E$116:F116)/SUM($E$3:F3),"")</f>
        <v/>
      </c>
      <c r="G117" s="42">
        <f>IFERROR(SUM($E$116:G116)/SUM($E$3:G3),"")</f>
        <v/>
      </c>
      <c r="H117" s="42">
        <f>IFERROR(SUM($E$116:H116)/SUM($E$3:H3),"")</f>
        <v/>
      </c>
      <c r="I117" s="42">
        <f>IFERROR(SUM($E$116:I116)/SUM($E$3:I3),"")</f>
        <v/>
      </c>
      <c r="J117" s="42">
        <f>IFERROR(SUM($E$116:J116)/SUM($E$3:J3),"")</f>
        <v/>
      </c>
      <c r="K117" s="42">
        <f>IFERROR(SUM($E$116:K116)/SUM($E$3:K3),"")</f>
        <v/>
      </c>
      <c r="L117" s="42">
        <f>IFERROR(SUM($E$116:L116)/SUM($E$3:L3),"")</f>
        <v/>
      </c>
      <c r="M117" s="42">
        <f>IFERROR(SUM($E$116:M116)/SUM($E$3:M3),"")</f>
        <v/>
      </c>
      <c r="N117" s="42">
        <f>IFERROR(SUM($E$116:N116)/SUM($E$3:N3),"")</f>
        <v/>
      </c>
      <c r="O117" s="42">
        <f>IFERROR(SUM($E$116:O116)/SUM($E$3:O3),"")</f>
        <v/>
      </c>
      <c r="P117" s="42">
        <f>IFERROR(SUM($E$116:P116)/SUM($E$3:P3),"")</f>
        <v/>
      </c>
      <c r="Q117" s="42">
        <f>IFERROR(SUM($E$116:Q116)/SUM($E$3:Q3),"")</f>
        <v/>
      </c>
      <c r="R117" s="42">
        <f>IFERROR(SUM($E$116:R116)/SUM($E$3:R3),"")</f>
        <v/>
      </c>
      <c r="S117" s="42">
        <f>IFERROR(SUM($E$116:S116)/SUM($E$3:S3),"")</f>
        <v/>
      </c>
      <c r="T117" s="42">
        <f>IFERROR(SUM($E$116:T116)/SUM($E$3:T3),"")</f>
        <v/>
      </c>
      <c r="U117" s="42">
        <f>IFERROR(SUM($E$116:U116)/SUM($E$3:U3),"")</f>
        <v/>
      </c>
      <c r="V117" s="42">
        <f>IFERROR(SUM($E$116:V116)/SUM($E$3:V3),"")</f>
        <v/>
      </c>
      <c r="W117" s="42">
        <f>IFERROR(SUM($E$116:W116)/SUM($E$3:W3),"")</f>
        <v/>
      </c>
      <c r="X117" s="42">
        <f>IFERROR(SUM($E$116:X116)/SUM($E$3:X3),"")</f>
        <v/>
      </c>
      <c r="Y117" s="42">
        <f>IFERROR(SUM($E$116:Y116)/SUM($E$3:Y3),"")</f>
        <v/>
      </c>
      <c r="Z117" s="42">
        <f>IFERROR(SUM($E$116:Z116)/SUM($E$3:Z3),"")</f>
        <v/>
      </c>
      <c r="AA117" s="42">
        <f>IFERROR(SUM($E$116:AA116)/SUM($E$3:AA3),"")</f>
        <v/>
      </c>
      <c r="AB117" s="42" t="n"/>
      <c r="AC117" s="42" t="n"/>
      <c r="AD117" s="42" t="n"/>
      <c r="AE117" s="42" t="n"/>
      <c r="AF117" s="42" t="n"/>
      <c r="AG117" s="42" t="n"/>
      <c r="AH117" s="42" t="n"/>
      <c r="AI117" s="42" t="n"/>
      <c r="AJ117" s="42" t="n"/>
      <c r="AK117" s="42" t="n"/>
      <c r="AL117" s="42" t="n"/>
      <c r="AM117" s="42" t="n"/>
      <c r="AN117" s="42" t="n"/>
      <c r="AO117" s="42" t="n"/>
      <c r="AP117" s="42" t="n"/>
      <c r="AQ117" s="42" t="n"/>
      <c r="AR117" s="42" t="n"/>
      <c r="AS117" s="42" t="n"/>
      <c r="AT117" s="42" t="n"/>
      <c r="AU117" s="42" t="n"/>
      <c r="AV117" s="42" t="n"/>
      <c r="AW117" s="42" t="n"/>
      <c r="AX117" s="42" t="n"/>
      <c r="AY117" s="42" t="n"/>
      <c r="AZ117" s="42" t="n"/>
      <c r="BA117" s="42" t="n"/>
      <c r="BB117" s="42" t="n"/>
      <c r="BC117" s="42" t="n"/>
      <c r="BD117" s="42" t="n"/>
    </row>
    <row r="118" customFormat="1" s="40">
      <c r="B118" s="40" t="inlineStr">
        <is>
          <t>% of Target</t>
        </is>
      </c>
      <c r="D118" s="8" t="inlineStr">
        <is>
          <t>%</t>
        </is>
      </c>
      <c r="E118" s="42">
        <f>IFERROR(E116/E120,"")</f>
        <v/>
      </c>
      <c r="F118" s="42">
        <f>IFERROR(F116/F120,"")</f>
        <v/>
      </c>
      <c r="G118" s="42">
        <f>IFERROR(G116/G120,"")</f>
        <v/>
      </c>
      <c r="H118" s="42">
        <f>IFERROR(H116/H120,"")</f>
        <v/>
      </c>
      <c r="I118" s="42">
        <f>IFERROR(I116/I120,"")</f>
        <v/>
      </c>
      <c r="J118" s="42">
        <f>IFERROR(J116/J120,"")</f>
        <v/>
      </c>
      <c r="K118" s="42">
        <f>IFERROR(K116/K120,"")</f>
        <v/>
      </c>
      <c r="L118" s="42">
        <f>IFERROR(L116/L120,"")</f>
        <v/>
      </c>
      <c r="M118" s="42">
        <f>IFERROR(M116/M120,"")</f>
        <v/>
      </c>
      <c r="N118" s="42">
        <f>IFERROR(N116/N120,"")</f>
        <v/>
      </c>
      <c r="O118" s="42">
        <f>IFERROR(O116/O120,"")</f>
        <v/>
      </c>
      <c r="P118" s="42">
        <f>IFERROR(P116/P120,"")</f>
        <v/>
      </c>
      <c r="Q118" s="42">
        <f>IFERROR(Q116/Q120,"")</f>
        <v/>
      </c>
      <c r="R118" s="42">
        <f>IFERROR(R116/R120,"")</f>
        <v/>
      </c>
      <c r="S118" s="42">
        <f>IFERROR(S116/S120,"")</f>
        <v/>
      </c>
      <c r="T118" s="42">
        <f>IFERROR(T116/T120,"")</f>
        <v/>
      </c>
      <c r="U118" s="42">
        <f>IFERROR(U116/U120,"")</f>
        <v/>
      </c>
      <c r="V118" s="42">
        <f>IFERROR(V116/V120,"")</f>
        <v/>
      </c>
      <c r="W118" s="42">
        <f>IFERROR(W116/W120,"")</f>
        <v/>
      </c>
      <c r="X118" s="42">
        <f>IFERROR(X116/X120,"")</f>
        <v/>
      </c>
      <c r="Y118" s="42">
        <f>IFERROR(Y116/Y120,"")</f>
        <v/>
      </c>
      <c r="Z118" s="42">
        <f>IFERROR(Z116/Z120,"")</f>
        <v/>
      </c>
      <c r="AA118" s="42">
        <f>IFERROR(AA116/AA120,"")</f>
        <v/>
      </c>
      <c r="AB118" s="42" t="n"/>
      <c r="AC118" s="42" t="n"/>
      <c r="AD118" s="42" t="n"/>
      <c r="AE118" s="42" t="n"/>
      <c r="AF118" s="42" t="n"/>
      <c r="AG118" s="42" t="n"/>
      <c r="AH118" s="42" t="n"/>
      <c r="AI118" s="42" t="n"/>
      <c r="AJ118" s="42" t="n"/>
      <c r="AK118" s="42" t="n"/>
      <c r="AL118" s="42" t="n"/>
      <c r="AM118" s="42" t="n"/>
      <c r="AN118" s="42" t="n"/>
      <c r="AO118" s="42" t="n"/>
      <c r="AP118" s="42" t="n"/>
      <c r="AQ118" s="42" t="n"/>
      <c r="AR118" s="42" t="n"/>
      <c r="AS118" s="42" t="n"/>
      <c r="AT118" s="42" t="n"/>
      <c r="AU118" s="42" t="n"/>
      <c r="AV118" s="42" t="n"/>
      <c r="AW118" s="42" t="n"/>
      <c r="AX118" s="42" t="n"/>
      <c r="AY118" s="42" t="n"/>
      <c r="AZ118" s="42" t="n"/>
      <c r="BA118" s="42" t="n"/>
      <c r="BB118" s="42" t="n"/>
      <c r="BC118" s="42" t="n"/>
      <c r="BD118" s="42" t="n"/>
    </row>
    <row r="119" ht="15.75" customFormat="1" customHeight="1" s="40">
      <c r="B119" s="40" t="inlineStr">
        <is>
          <t>% of Target - YTD</t>
        </is>
      </c>
      <c r="C119" s="16" t="n"/>
      <c r="D119" s="17" t="inlineStr">
        <is>
          <t>%</t>
        </is>
      </c>
      <c r="E119" s="42">
        <f>IFERROR(SUM($E$116:E116)/SUM($E$120:E120),"")</f>
        <v/>
      </c>
      <c r="F119" s="42">
        <f>IFERROR(SUM($E$116:F116)/SUM($E$120:F120),"")</f>
        <v/>
      </c>
      <c r="G119" s="42">
        <f>IFERROR(SUM($E$116:G116)/SUM($E$120:G120),"")</f>
        <v/>
      </c>
      <c r="H119" s="42">
        <f>IFERROR(SUM($E$116:H116)/SUM($E$120:H120),"")</f>
        <v/>
      </c>
      <c r="I119" s="42">
        <f>IFERROR(SUM($E$116:I116)/SUM($E$120:I120),"")</f>
        <v/>
      </c>
      <c r="J119" s="42">
        <f>IFERROR(SUM($E$116:J116)/SUM($E$120:J120),"")</f>
        <v/>
      </c>
      <c r="K119" s="42">
        <f>IFERROR(SUM($E$116:K116)/SUM($E$120:K120),"")</f>
        <v/>
      </c>
      <c r="L119" s="42">
        <f>IFERROR(SUM($E$116:L116)/SUM($E$120:L120),"")</f>
        <v/>
      </c>
      <c r="M119" s="42">
        <f>IFERROR(SUM($E$116:M116)/SUM($E$120:M120),"")</f>
        <v/>
      </c>
      <c r="N119" s="42">
        <f>IFERROR(SUM($E$116:N116)/SUM($E$120:N120),"")</f>
        <v/>
      </c>
      <c r="O119" s="42">
        <f>IFERROR(SUM($E$116:O116)/SUM($E$120:O120),"")</f>
        <v/>
      </c>
      <c r="P119" s="42">
        <f>IFERROR(SUM($E$116:P116)/SUM($E$120:P120),"")</f>
        <v/>
      </c>
      <c r="Q119" s="42">
        <f>IFERROR(SUM($E$116:Q116)/SUM($E$120:Q120),"")</f>
        <v/>
      </c>
      <c r="R119" s="42">
        <f>IFERROR(SUM($E$116:R116)/SUM($E$120:R120),"")</f>
        <v/>
      </c>
      <c r="S119" s="42">
        <f>IFERROR(SUM($E$116:S116)/SUM($E$120:S120),"")</f>
        <v/>
      </c>
      <c r="T119" s="42">
        <f>IFERROR(SUM($E$116:T116)/SUM($E$120:T120),"")</f>
        <v/>
      </c>
      <c r="U119" s="42">
        <f>IFERROR(SUM($E$116:U116)/SUM($E$120:U120),"")</f>
        <v/>
      </c>
      <c r="V119" s="42">
        <f>IFERROR(SUM($E$116:V116)/SUM($E$120:V120),"")</f>
        <v/>
      </c>
      <c r="W119" s="42">
        <f>IFERROR(SUM($E$116:W116)/SUM($E$120:W120),"")</f>
        <v/>
      </c>
      <c r="X119" s="42">
        <f>IFERROR(SUM($E$116:X116)/SUM($E$120:X120),"")</f>
        <v/>
      </c>
      <c r="Y119" s="42">
        <f>IFERROR(SUM($E$116:Y116)/SUM($E$120:Y120),"")</f>
        <v/>
      </c>
      <c r="Z119" s="42">
        <f>IFERROR(SUM($E$116:Z116)/SUM($E$120:Z120),"")</f>
        <v/>
      </c>
      <c r="AA119" s="42">
        <f>IFERROR(SUM($E$116:AA116)/SUM($E$120:AA120),"")</f>
        <v/>
      </c>
      <c r="AB119" s="42" t="n"/>
      <c r="AC119" s="42" t="n"/>
      <c r="AD119" s="42" t="n"/>
      <c r="AE119" s="42" t="n"/>
      <c r="AF119" s="42" t="n"/>
      <c r="AG119" s="42" t="n"/>
      <c r="AH119" s="42" t="n"/>
      <c r="AI119" s="42" t="n"/>
      <c r="AJ119" s="42" t="n"/>
      <c r="AK119" s="42" t="n"/>
      <c r="AL119" s="42" t="n"/>
      <c r="AM119" s="42" t="n"/>
      <c r="AN119" s="42" t="n"/>
      <c r="AO119" s="42" t="n"/>
      <c r="AP119" s="42" t="n"/>
      <c r="AQ119" s="42" t="n"/>
      <c r="AR119" s="42" t="n"/>
      <c r="AS119" s="42" t="n"/>
      <c r="AT119" s="42" t="n"/>
      <c r="AU119" s="42" t="n"/>
      <c r="AV119" s="42" t="n"/>
      <c r="AW119" s="42" t="n"/>
      <c r="AX119" s="42" t="n"/>
      <c r="AY119" s="42" t="n"/>
      <c r="AZ119" s="42" t="n"/>
      <c r="BA119" s="42" t="n"/>
      <c r="BB119" s="42" t="n"/>
      <c r="BC119" s="42" t="n"/>
      <c r="BD119" s="42" t="n"/>
    </row>
    <row r="120" customFormat="1" s="9">
      <c r="B120" s="9" t="inlineStr">
        <is>
          <t>Target</t>
        </is>
      </c>
      <c r="D120" s="10" t="inlineStr">
        <is>
          <t>$k</t>
        </is>
      </c>
      <c r="E120" s="41" t="n">
        <v>371.427515208</v>
      </c>
      <c r="F120" s="41" t="n">
        <v>649.998151614</v>
      </c>
      <c r="G120" s="41" t="n">
        <v>649.998151614</v>
      </c>
      <c r="H120" s="41" t="n">
        <v>649.998151614</v>
      </c>
      <c r="I120" s="41" t="n">
        <v>593.715730214</v>
      </c>
      <c r="J120" s="41" t="n">
        <v>256.02325</v>
      </c>
      <c r="K120" s="41" t="n">
        <v>256.02325</v>
      </c>
      <c r="L120" s="41" t="n">
        <v>256.02325</v>
      </c>
      <c r="M120" s="41" t="n">
        <v>261.432611856</v>
      </c>
      <c r="N120" s="41" t="n">
        <v>293.886734806</v>
      </c>
      <c r="O120" s="41" t="n">
        <v>293.886734806</v>
      </c>
      <c r="P120" s="41" t="n">
        <v>293.886734806</v>
      </c>
      <c r="Q120" s="41" t="n">
        <v>293.886734806</v>
      </c>
      <c r="R120" s="41" t="n">
        <v>274.713186673</v>
      </c>
      <c r="S120" s="41" t="n">
        <v>267.042851843</v>
      </c>
      <c r="T120" s="41" t="n">
        <v>267.042851843</v>
      </c>
      <c r="U120" s="41" t="n">
        <v>267.042851843</v>
      </c>
      <c r="V120" s="41" t="n">
        <v>284.745874639</v>
      </c>
      <c r="W120" s="41" t="n">
        <v>308.350286524</v>
      </c>
      <c r="X120" s="41" t="n">
        <v>308.350286524</v>
      </c>
      <c r="Y120" s="41" t="n">
        <v>308.350286524</v>
      </c>
      <c r="Z120" s="41" t="n">
        <v>308.350286524</v>
      </c>
      <c r="AA120" s="41" t="n">
        <v>313.450685546</v>
      </c>
      <c r="AB120" s="41" t="n"/>
      <c r="AC120" s="41" t="n"/>
      <c r="AD120" s="41" t="n"/>
      <c r="AE120" s="41" t="n"/>
      <c r="AF120" s="41" t="n"/>
      <c r="AG120" s="41" t="n"/>
      <c r="AH120" s="41" t="n"/>
      <c r="AI120" s="41" t="n"/>
      <c r="AJ120" s="41" t="n"/>
      <c r="AK120" s="41" t="n"/>
      <c r="AL120" s="41" t="n"/>
      <c r="AM120" s="41" t="n"/>
      <c r="AN120" s="41" t="n"/>
      <c r="AO120" s="41" t="n"/>
      <c r="AP120" s="41" t="n"/>
      <c r="AQ120" s="41" t="n"/>
      <c r="AR120" s="41" t="n"/>
      <c r="AS120" s="41" t="n"/>
      <c r="AT120" s="41" t="n"/>
      <c r="AU120" s="41" t="n"/>
      <c r="AV120" s="41" t="n"/>
      <c r="AW120" s="41" t="n"/>
      <c r="AX120" s="41" t="n"/>
      <c r="AY120" s="41" t="n"/>
      <c r="AZ120" s="41" t="n"/>
      <c r="BA120" s="41" t="n"/>
      <c r="BB120" s="41" t="n"/>
      <c r="BC120" s="41" t="n"/>
      <c r="BD120" s="41" t="n"/>
    </row>
    <row r="121"/>
    <row r="122">
      <c r="A122" s="1" t="inlineStr">
        <is>
          <t xml:space="preserve">Sell-through units </t>
        </is>
      </c>
      <c r="D122" s="24" t="inlineStr">
        <is>
          <t>#</t>
        </is>
      </c>
      <c r="E122" s="41" t="n">
        <v>7925</v>
      </c>
      <c r="F122" s="41" t="n">
        <v>6591</v>
      </c>
      <c r="G122" s="41" t="n">
        <v>6586</v>
      </c>
      <c r="H122" s="41" t="n">
        <v>6032</v>
      </c>
      <c r="I122" s="41" t="n">
        <v>5612</v>
      </c>
      <c r="J122" s="41" t="n">
        <v>5652</v>
      </c>
      <c r="K122" s="41" t="n">
        <v>6200</v>
      </c>
      <c r="L122" s="41" t="n">
        <v>6980</v>
      </c>
      <c r="M122" s="41" t="n">
        <v>7594</v>
      </c>
      <c r="N122" s="41" t="n">
        <v>7368</v>
      </c>
      <c r="O122" s="41" t="n">
        <v>7153</v>
      </c>
      <c r="P122" s="41" t="n">
        <v>6180</v>
      </c>
      <c r="Q122" s="41" t="n">
        <v>6985</v>
      </c>
      <c r="R122" s="41" t="n">
        <v>6180</v>
      </c>
      <c r="S122" s="41" t="n">
        <v>6722</v>
      </c>
      <c r="T122" s="41" t="n">
        <v>6514</v>
      </c>
      <c r="U122" s="41" t="n">
        <v>5646</v>
      </c>
      <c r="V122" s="41" t="n">
        <v>5684</v>
      </c>
      <c r="W122" s="41" t="n">
        <v>5775</v>
      </c>
      <c r="X122" s="41" t="n">
        <v>5340</v>
      </c>
      <c r="Y122" s="41" t="n">
        <v>6157</v>
      </c>
      <c r="Z122" s="41" t="n">
        <v>6522</v>
      </c>
      <c r="AA122" s="41" t="n">
        <v>7764</v>
      </c>
      <c r="AB122" s="41" t="n"/>
      <c r="AC122" s="41" t="n"/>
      <c r="AD122" s="41" t="n"/>
      <c r="AE122" s="41" t="n"/>
      <c r="AF122" s="41" t="n"/>
      <c r="AG122" s="41" t="n"/>
      <c r="AH122" s="41" t="n"/>
      <c r="AI122" s="41" t="n"/>
      <c r="AJ122" s="41" t="n"/>
      <c r="AK122" s="41" t="n"/>
      <c r="AL122" s="41" t="n"/>
      <c r="AM122" s="41" t="n"/>
      <c r="AN122" s="41" t="n"/>
      <c r="AO122" s="41" t="n"/>
      <c r="AP122" s="41" t="n"/>
      <c r="AQ122" s="41" t="n"/>
      <c r="AR122" s="41" t="n"/>
      <c r="AS122" s="41" t="n"/>
      <c r="AT122" s="41" t="n"/>
      <c r="AU122" s="41" t="n"/>
      <c r="AV122" s="41" t="n"/>
      <c r="AW122" s="41" t="n"/>
      <c r="AX122" s="41" t="n"/>
      <c r="AY122" s="41" t="n"/>
      <c r="AZ122" s="41" t="n"/>
      <c r="BA122" s="41" t="n"/>
      <c r="BB122" s="41" t="n"/>
      <c r="BC122" s="41" t="n"/>
      <c r="BD122" s="41" t="n"/>
    </row>
    <row r="123" customFormat="1" s="4">
      <c r="A123" s="3" t="n"/>
      <c r="B123" s="4" t="inlineStr">
        <is>
          <t>% of Total - YTD</t>
        </is>
      </c>
      <c r="D123" s="33" t="inlineStr">
        <is>
          <t>%</t>
        </is>
      </c>
      <c r="E123" s="42">
        <f>IFERROR(SUM($E$122:E122)/SUM($E$4:E4),"")</f>
        <v/>
      </c>
      <c r="F123" s="42">
        <f>IFERROR(SUM($E$122:F122)/SUM($E$4:F4),"")</f>
        <v/>
      </c>
      <c r="G123" s="42">
        <f>IFERROR(SUM($E$122:G122)/SUM($E$4:G4),"")</f>
        <v/>
      </c>
      <c r="H123" s="42">
        <f>IFERROR(SUM($E$122:H122)/SUM($E$4:H4),"")</f>
        <v/>
      </c>
      <c r="I123" s="42">
        <f>IFERROR(SUM($E$122:I122)/SUM($E$4:I4),"")</f>
        <v/>
      </c>
      <c r="J123" s="42">
        <f>IFERROR(SUM($E$122:J122)/SUM($E$4:J4),"")</f>
        <v/>
      </c>
      <c r="K123" s="42">
        <f>IFERROR(SUM($E$122:K122)/SUM($E$4:K4),"")</f>
        <v/>
      </c>
      <c r="L123" s="42">
        <f>IFERROR(SUM($E$122:L122)/SUM($E$4:L4),"")</f>
        <v/>
      </c>
      <c r="M123" s="42">
        <f>IFERROR(SUM($E$122:M122)/SUM($E$4:M4),"")</f>
        <v/>
      </c>
      <c r="N123" s="42">
        <f>IFERROR(SUM($E$122:N122)/SUM($E$4:N4),"")</f>
        <v/>
      </c>
      <c r="O123" s="42">
        <f>IFERROR(SUM($E$122:O122)/SUM($E$4:O4),"")</f>
        <v/>
      </c>
      <c r="P123" s="42">
        <f>IFERROR(SUM($E$122:P122)/SUM($E$4:P4),"")</f>
        <v/>
      </c>
      <c r="Q123" s="42">
        <f>IFERROR(SUM($E$122:Q122)/SUM($E$4:Q4),"")</f>
        <v/>
      </c>
      <c r="R123" s="42">
        <f>IFERROR(SUM($E$122:R122)/SUM($E$4:R4),"")</f>
        <v/>
      </c>
      <c r="S123" s="42">
        <f>IFERROR(SUM($E$122:S122)/SUM($E$4:S4),"")</f>
        <v/>
      </c>
      <c r="T123" s="42">
        <f>IFERROR(SUM($E$122:T122)/SUM($E$4:T4),"")</f>
        <v/>
      </c>
      <c r="U123" s="42">
        <f>IFERROR(SUM($E$122:U122)/SUM($E$4:U4),"")</f>
        <v/>
      </c>
      <c r="V123" s="42">
        <f>IFERROR(SUM($E$122:V122)/SUM($E$4:V4),"")</f>
        <v/>
      </c>
      <c r="W123" s="42">
        <f>IFERROR(SUM($E$122:W122)/SUM($E$4:W4),"")</f>
        <v/>
      </c>
      <c r="X123" s="42">
        <f>IFERROR(SUM($E$122:X122)/SUM($E$4:X4),"")</f>
        <v/>
      </c>
      <c r="Y123" s="42">
        <f>IFERROR(SUM($E$122:Y122)/SUM($E$4:Y4),"")</f>
        <v/>
      </c>
      <c r="Z123" s="42">
        <f>IFERROR(SUM($E$122:Z122)/SUM($E$4:Z4),"")</f>
        <v/>
      </c>
      <c r="AA123" s="42">
        <f>IFERROR(SUM($E$122:AA122)/SUM($E$4:AA4),"")</f>
        <v/>
      </c>
      <c r="AB123" s="42" t="n"/>
      <c r="AC123" s="42" t="n"/>
      <c r="AD123" s="42" t="n"/>
      <c r="AE123" s="42" t="n"/>
      <c r="AF123" s="42" t="n"/>
      <c r="AG123" s="42" t="n"/>
      <c r="AH123" s="42" t="n"/>
      <c r="AI123" s="42" t="n"/>
      <c r="AJ123" s="42" t="n"/>
      <c r="AK123" s="42" t="n"/>
      <c r="AL123" s="42" t="n"/>
      <c r="AM123" s="42" t="n"/>
      <c r="AN123" s="42" t="n"/>
      <c r="AO123" s="42" t="n"/>
      <c r="AP123" s="42" t="n"/>
      <c r="AQ123" s="42" t="n"/>
      <c r="AR123" s="42" t="n"/>
      <c r="AS123" s="42" t="n"/>
      <c r="AT123" s="42" t="n"/>
      <c r="AU123" s="42" t="n"/>
      <c r="AV123" s="42" t="n"/>
      <c r="AW123" s="42" t="n"/>
      <c r="AX123" s="42" t="n"/>
      <c r="AY123" s="42" t="n"/>
      <c r="AZ123" s="42" t="n"/>
      <c r="BA123" s="42" t="n"/>
      <c r="BB123" s="42" t="n"/>
      <c r="BC123" s="42" t="n"/>
      <c r="BD123" s="42" t="n"/>
    </row>
    <row r="124" customFormat="1" s="16">
      <c r="A124" s="15" t="n"/>
      <c r="B124" s="16" t="inlineStr">
        <is>
          <t>% of Target</t>
        </is>
      </c>
      <c r="D124" s="17" t="inlineStr">
        <is>
          <t>%</t>
        </is>
      </c>
      <c r="E124" s="42">
        <f>IFERROR(E122/E126,"")</f>
        <v/>
      </c>
      <c r="F124" s="42">
        <f>IFERROR(F122/F126,"")</f>
        <v/>
      </c>
      <c r="G124" s="42">
        <f>IFERROR(G122/G126,"")</f>
        <v/>
      </c>
      <c r="H124" s="42">
        <f>IFERROR(H122/H126,"")</f>
        <v/>
      </c>
      <c r="I124" s="42">
        <f>IFERROR(I122/I126,"")</f>
        <v/>
      </c>
      <c r="J124" s="42">
        <f>IFERROR(J122/J126,"")</f>
        <v/>
      </c>
      <c r="K124" s="42">
        <f>IFERROR(K122/K126,"")</f>
        <v/>
      </c>
      <c r="L124" s="42">
        <f>IFERROR(L122/L126,"")</f>
        <v/>
      </c>
      <c r="M124" s="42">
        <f>IFERROR(M122/M126,"")</f>
        <v/>
      </c>
      <c r="N124" s="42">
        <f>IFERROR(N122/N126,"")</f>
        <v/>
      </c>
      <c r="O124" s="42">
        <f>IFERROR(O122/O126,"")</f>
        <v/>
      </c>
      <c r="P124" s="42">
        <f>IFERROR(P122/P126,"")</f>
        <v/>
      </c>
      <c r="Q124" s="42">
        <f>IFERROR(Q122/Q126,"")</f>
        <v/>
      </c>
      <c r="R124" s="42">
        <f>IFERROR(R122/R126,"")</f>
        <v/>
      </c>
      <c r="S124" s="42">
        <f>IFERROR(S122/S126,"")</f>
        <v/>
      </c>
      <c r="T124" s="42">
        <f>IFERROR(T122/T126,"")</f>
        <v/>
      </c>
      <c r="U124" s="42">
        <f>IFERROR(U122/U126,"")</f>
        <v/>
      </c>
      <c r="V124" s="42">
        <f>IFERROR(V122/V126,"")</f>
        <v/>
      </c>
      <c r="W124" s="42">
        <f>IFERROR(W122/W126,"")</f>
        <v/>
      </c>
      <c r="X124" s="42">
        <f>IFERROR(X122/X126,"")</f>
        <v/>
      </c>
      <c r="Y124" s="42">
        <f>IFERROR(Y122/Y126,"")</f>
        <v/>
      </c>
      <c r="Z124" s="42">
        <f>IFERROR(Z122/Z126,"")</f>
        <v/>
      </c>
      <c r="AA124" s="42">
        <f>IFERROR(AA122/AA126,"")</f>
        <v/>
      </c>
      <c r="AB124" s="42" t="n"/>
      <c r="AC124" s="42" t="n"/>
      <c r="AD124" s="42" t="n"/>
      <c r="AE124" s="42" t="n"/>
      <c r="AF124" s="42" t="n"/>
      <c r="AG124" s="42" t="n"/>
      <c r="AH124" s="42" t="n"/>
      <c r="AI124" s="42" t="n"/>
      <c r="AJ124" s="42" t="n"/>
      <c r="AK124" s="42" t="n"/>
      <c r="AL124" s="42" t="n"/>
      <c r="AM124" s="42" t="n"/>
      <c r="AN124" s="42" t="n"/>
      <c r="AO124" s="42" t="n"/>
      <c r="AP124" s="42" t="n"/>
      <c r="AQ124" s="42" t="n"/>
      <c r="AR124" s="42" t="n"/>
      <c r="AS124" s="42" t="n"/>
      <c r="AT124" s="42" t="n"/>
      <c r="AU124" s="42" t="n"/>
      <c r="AV124" s="42" t="n"/>
      <c r="AW124" s="42" t="n"/>
      <c r="AX124" s="42" t="n"/>
      <c r="AY124" s="42" t="n"/>
      <c r="AZ124" s="42" t="n"/>
      <c r="BA124" s="42" t="n"/>
      <c r="BB124" s="42" t="n"/>
      <c r="BC124" s="42" t="n"/>
      <c r="BD124" s="42" t="n"/>
    </row>
    <row r="125" ht="15.75" customFormat="1" customHeight="1" s="16">
      <c r="A125" s="15" t="n"/>
      <c r="B125" s="40" t="inlineStr">
        <is>
          <t>% of Target - YTD</t>
        </is>
      </c>
      <c r="D125" s="17" t="inlineStr">
        <is>
          <t>%</t>
        </is>
      </c>
      <c r="E125" s="42">
        <f>IFERROR(SUM($E$122:E122)/SUM($E$126:E126),"")</f>
        <v/>
      </c>
      <c r="F125" s="42">
        <f>IFERROR(SUM($E$122:F122)/SUM($E$126:F126),"")</f>
        <v/>
      </c>
      <c r="G125" s="42">
        <f>IFERROR(SUM($E$122:G122)/SUM($E$126:G126),"")</f>
        <v/>
      </c>
      <c r="H125" s="42">
        <f>IFERROR(SUM($E$122:H122)/SUM($E$126:H126),"")</f>
        <v/>
      </c>
      <c r="I125" s="42">
        <f>IFERROR(SUM($E$122:I122)/SUM($E$126:I126),"")</f>
        <v/>
      </c>
      <c r="J125" s="42">
        <f>IFERROR(SUM($E$122:J122)/SUM($E$126:J126),"")</f>
        <v/>
      </c>
      <c r="K125" s="42">
        <f>IFERROR(SUM($E$122:K122)/SUM($E$126:K126),"")</f>
        <v/>
      </c>
      <c r="L125" s="42">
        <f>IFERROR(SUM($E$122:L122)/SUM($E$126:L126),"")</f>
        <v/>
      </c>
      <c r="M125" s="42">
        <f>IFERROR(SUM($E$122:M122)/SUM($E$126:M126),"")</f>
        <v/>
      </c>
      <c r="N125" s="42">
        <f>IFERROR(SUM($E$122:N122)/SUM($E$126:N126),"")</f>
        <v/>
      </c>
      <c r="O125" s="42">
        <f>IFERROR(SUM($E$122:O122)/SUM($E$126:O126),"")</f>
        <v/>
      </c>
      <c r="P125" s="42">
        <f>IFERROR(SUM($E$122:P122)/SUM($E$126:P126),"")</f>
        <v/>
      </c>
      <c r="Q125" s="42">
        <f>IFERROR(SUM($E$122:Q122)/SUM($E$126:Q126),"")</f>
        <v/>
      </c>
      <c r="R125" s="42">
        <f>IFERROR(SUM($E$122:R122)/SUM($E$126:R126),"")</f>
        <v/>
      </c>
      <c r="S125" s="42">
        <f>IFERROR(SUM($E$122:S122)/SUM($E$126:S126),"")</f>
        <v/>
      </c>
      <c r="T125" s="42">
        <f>IFERROR(SUM($E$122:T122)/SUM($E$126:T126),"")</f>
        <v/>
      </c>
      <c r="U125" s="42">
        <f>IFERROR(SUM($E$122:U122)/SUM($E$126:U126),"")</f>
        <v/>
      </c>
      <c r="V125" s="42">
        <f>IFERROR(SUM($E$122:V122)/SUM($E$126:V126),"")</f>
        <v/>
      </c>
      <c r="W125" s="42">
        <f>IFERROR(SUM($E$122:W122)/SUM($E$126:W126),"")</f>
        <v/>
      </c>
      <c r="X125" s="42">
        <f>IFERROR(SUM($E$122:X122)/SUM($E$126:X126),"")</f>
        <v/>
      </c>
      <c r="Y125" s="42">
        <f>IFERROR(SUM($E$122:Y122)/SUM($E$126:Y126),"")</f>
        <v/>
      </c>
      <c r="Z125" s="42">
        <f>IFERROR(SUM($E$122:Z122)/SUM($E$126:Z126),"")</f>
        <v/>
      </c>
      <c r="AA125" s="42">
        <f>IFERROR(SUM($E$122:AA122)/SUM($E$126:AA126),"")</f>
        <v/>
      </c>
      <c r="AB125" s="42" t="n"/>
      <c r="AC125" s="42" t="n"/>
      <c r="AD125" s="42" t="n"/>
      <c r="AE125" s="42" t="n"/>
      <c r="AF125" s="42" t="n"/>
      <c r="AG125" s="42" t="n"/>
      <c r="AH125" s="42" t="n"/>
      <c r="AI125" s="42" t="n"/>
      <c r="AJ125" s="42" t="n"/>
      <c r="AK125" s="42" t="n"/>
      <c r="AL125" s="42" t="n"/>
      <c r="AM125" s="42" t="n"/>
      <c r="AN125" s="42" t="n"/>
      <c r="AO125" s="42" t="n"/>
      <c r="AP125" s="42" t="n"/>
      <c r="AQ125" s="42" t="n"/>
      <c r="AR125" s="42" t="n"/>
      <c r="AS125" s="42" t="n"/>
      <c r="AT125" s="42" t="n"/>
      <c r="AU125" s="42" t="n"/>
      <c r="AV125" s="42" t="n"/>
      <c r="AW125" s="42" t="n"/>
      <c r="AX125" s="42" t="n"/>
      <c r="AY125" s="42" t="n"/>
      <c r="AZ125" s="42" t="n"/>
      <c r="BA125" s="42" t="n"/>
      <c r="BB125" s="42" t="n"/>
      <c r="BC125" s="42" t="n"/>
      <c r="BD125" s="42" t="n"/>
    </row>
    <row r="126" customFormat="1" s="13">
      <c r="A126" s="12" t="n"/>
      <c r="B126" s="13" t="inlineStr">
        <is>
          <t>Target</t>
        </is>
      </c>
      <c r="D126" s="14" t="inlineStr">
        <is>
          <t>#</t>
        </is>
      </c>
      <c r="E126" s="41" t="n"/>
      <c r="F126" s="41" t="n">
        <v>20532</v>
      </c>
      <c r="G126" s="41" t="n">
        <v>9377</v>
      </c>
      <c r="H126" s="41" t="n">
        <v>9369</v>
      </c>
      <c r="I126" s="41" t="n">
        <v>9255</v>
      </c>
      <c r="J126" s="41" t="n">
        <v>6331</v>
      </c>
      <c r="K126" s="41" t="n">
        <v>6845</v>
      </c>
      <c r="L126" s="41" t="n">
        <v>5480</v>
      </c>
      <c r="M126" s="41" t="n">
        <v>5272</v>
      </c>
      <c r="N126" s="41" t="n">
        <v>5374</v>
      </c>
      <c r="O126" s="41" t="n">
        <v>5477</v>
      </c>
      <c r="P126" s="41" t="n">
        <v>7760</v>
      </c>
      <c r="Q126" s="41" t="n">
        <v>3420</v>
      </c>
      <c r="R126" s="41" t="n">
        <v>3449</v>
      </c>
      <c r="S126" s="41" t="n">
        <v>5226</v>
      </c>
      <c r="T126" s="41" t="n">
        <v>3809</v>
      </c>
      <c r="U126" s="41" t="n">
        <v>6205</v>
      </c>
      <c r="V126" s="41" t="n">
        <v>5652</v>
      </c>
      <c r="W126" s="41" t="n">
        <v>6138</v>
      </c>
      <c r="X126" s="41" t="n">
        <v>6138</v>
      </c>
      <c r="Y126" s="41" t="n">
        <v>6899</v>
      </c>
      <c r="Z126" s="41" t="n">
        <v>5738</v>
      </c>
      <c r="AA126" s="41" t="n">
        <v>7185</v>
      </c>
      <c r="AB126" s="41" t="n"/>
      <c r="AC126" s="41" t="n"/>
      <c r="AD126" s="41" t="n"/>
      <c r="AE126" s="41" t="n"/>
      <c r="AF126" s="41" t="n"/>
      <c r="AG126" s="41" t="n"/>
      <c r="AH126" s="41" t="n"/>
      <c r="AI126" s="41" t="n"/>
      <c r="AJ126" s="41" t="n"/>
      <c r="AK126" s="41" t="n"/>
      <c r="AL126" s="41" t="n"/>
      <c r="AM126" s="41" t="n"/>
      <c r="AN126" s="41" t="n"/>
      <c r="AO126" s="41" t="n"/>
      <c r="AP126" s="41" t="n"/>
      <c r="AQ126" s="41" t="n"/>
      <c r="AR126" s="41" t="n"/>
      <c r="AS126" s="41" t="n"/>
      <c r="AT126" s="41" t="n"/>
      <c r="AU126" s="41" t="n"/>
      <c r="AV126" s="41" t="n"/>
      <c r="AW126" s="41" t="n"/>
      <c r="AX126" s="41" t="n"/>
      <c r="AY126" s="41" t="n"/>
      <c r="AZ126" s="41" t="n"/>
      <c r="BA126" s="41" t="n"/>
      <c r="BB126" s="41" t="n"/>
      <c r="BC126" s="41" t="n"/>
      <c r="BD126" s="41" t="n"/>
    </row>
    <row r="127">
      <c r="C127" s="11" t="inlineStr">
        <is>
          <t xml:space="preserve">Cam </t>
        </is>
      </c>
      <c r="D127" s="6" t="inlineStr">
        <is>
          <t>#</t>
        </is>
      </c>
      <c r="E127" s="41" t="n">
        <v>7567</v>
      </c>
      <c r="F127" s="41" t="n">
        <v>6230</v>
      </c>
      <c r="G127" s="41" t="n">
        <v>6106</v>
      </c>
      <c r="H127" s="41" t="n">
        <v>5546</v>
      </c>
      <c r="I127" s="41" t="n">
        <v>5218</v>
      </c>
      <c r="J127" s="41" t="n">
        <v>5345</v>
      </c>
      <c r="K127" s="41" t="n">
        <v>5868</v>
      </c>
      <c r="L127" s="41" t="n">
        <v>6619</v>
      </c>
      <c r="M127" s="41" t="n">
        <v>7170</v>
      </c>
      <c r="N127" s="41" t="n">
        <v>6880</v>
      </c>
      <c r="O127" s="41" t="n">
        <v>6805</v>
      </c>
      <c r="P127" s="41" t="n">
        <v>5849</v>
      </c>
      <c r="Q127" s="41" t="n">
        <v>6703</v>
      </c>
      <c r="R127" s="41" t="n">
        <v>5935</v>
      </c>
      <c r="S127" s="41" t="n">
        <v>6657</v>
      </c>
      <c r="T127" s="41" t="n">
        <v>6449</v>
      </c>
      <c r="U127" s="41" t="n">
        <v>5565</v>
      </c>
      <c r="V127" s="41" t="n">
        <v>5578</v>
      </c>
      <c r="W127" s="41" t="n">
        <v>5691</v>
      </c>
      <c r="X127" s="41" t="n">
        <v>5276</v>
      </c>
      <c r="Y127" s="41" t="n">
        <v>6060</v>
      </c>
      <c r="Z127" s="41" t="n">
        <v>6433</v>
      </c>
      <c r="AA127" s="41" t="n">
        <v>7688</v>
      </c>
      <c r="AB127" s="41" t="n"/>
      <c r="AC127" s="41" t="n"/>
      <c r="AD127" s="41" t="n"/>
      <c r="AE127" s="41" t="n"/>
      <c r="AF127" s="41" t="n"/>
      <c r="AG127" s="41" t="n"/>
      <c r="AH127" s="41" t="n"/>
      <c r="AI127" s="41" t="n"/>
      <c r="AJ127" s="41" t="n"/>
      <c r="AK127" s="41" t="n"/>
      <c r="AL127" s="41" t="n"/>
      <c r="AM127" s="41" t="n"/>
      <c r="AN127" s="41" t="n"/>
      <c r="AO127" s="41" t="n"/>
      <c r="AP127" s="41" t="n"/>
      <c r="AQ127" s="41" t="n"/>
      <c r="AR127" s="41" t="n"/>
      <c r="AS127" s="41" t="n"/>
      <c r="AT127" s="41" t="n"/>
      <c r="AU127" s="41" t="n"/>
      <c r="AV127" s="41" t="n"/>
      <c r="AW127" s="41" t="n"/>
      <c r="AX127" s="41" t="n"/>
      <c r="AY127" s="41" t="n"/>
      <c r="AZ127" s="41" t="n"/>
      <c r="BA127" s="41" t="n"/>
      <c r="BB127" s="41" t="n"/>
      <c r="BC127" s="41" t="n"/>
      <c r="BD127" s="41" t="n"/>
    </row>
    <row r="128">
      <c r="C128" s="11" t="inlineStr">
        <is>
          <t>Non Cam</t>
        </is>
      </c>
      <c r="D128" s="6" t="inlineStr">
        <is>
          <t>#</t>
        </is>
      </c>
      <c r="E128" s="41" t="n">
        <v>358</v>
      </c>
      <c r="F128" s="41" t="n">
        <v>361</v>
      </c>
      <c r="G128" s="41" t="n">
        <v>479</v>
      </c>
      <c r="H128" s="41" t="n">
        <v>486</v>
      </c>
      <c r="I128" s="41" t="n">
        <v>394</v>
      </c>
      <c r="J128" s="41" t="n">
        <v>287</v>
      </c>
      <c r="K128" s="41" t="n">
        <v>263</v>
      </c>
      <c r="L128" s="41" t="n">
        <v>233</v>
      </c>
      <c r="M128" s="41" t="n">
        <v>236</v>
      </c>
      <c r="N128" s="41" t="n">
        <v>289</v>
      </c>
      <c r="O128" s="41" t="n">
        <v>146</v>
      </c>
      <c r="P128" s="41" t="n">
        <v>148</v>
      </c>
      <c r="Q128" s="41" t="n">
        <v>29</v>
      </c>
      <c r="R128" s="41" t="n">
        <v>69</v>
      </c>
      <c r="S128" s="41" t="n">
        <v>65</v>
      </c>
      <c r="T128" s="41" t="n">
        <v>65</v>
      </c>
      <c r="U128" s="41" t="n">
        <v>81</v>
      </c>
      <c r="V128" s="41" t="n">
        <v>106</v>
      </c>
      <c r="W128" s="41" t="n">
        <v>84</v>
      </c>
      <c r="X128" s="41" t="n">
        <v>64</v>
      </c>
      <c r="Y128" s="41" t="n">
        <v>97</v>
      </c>
      <c r="Z128" s="41" t="n">
        <v>89</v>
      </c>
      <c r="AA128" s="41" t="n">
        <v>76</v>
      </c>
      <c r="AB128" s="41" t="n"/>
      <c r="AC128" s="41" t="n"/>
      <c r="AD128" s="41" t="n"/>
      <c r="AE128" s="41" t="n"/>
      <c r="AF128" s="41" t="n"/>
      <c r="AG128" s="41" t="n"/>
      <c r="AH128" s="41" t="n"/>
      <c r="AI128" s="41" t="n"/>
      <c r="AJ128" s="41" t="n"/>
      <c r="AK128" s="41" t="n"/>
      <c r="AL128" s="41" t="n"/>
      <c r="AM128" s="41" t="n"/>
      <c r="AN128" s="41" t="n"/>
      <c r="AO128" s="41" t="n"/>
      <c r="AP128" s="41" t="n"/>
      <c r="AQ128" s="41" t="n"/>
      <c r="AR128" s="41" t="n"/>
      <c r="AS128" s="41" t="n"/>
      <c r="AT128" s="41" t="n"/>
      <c r="AU128" s="41" t="n"/>
      <c r="AV128" s="41" t="n"/>
      <c r="AW128" s="41" t="n"/>
      <c r="AX128" s="41" t="n"/>
      <c r="AY128" s="41" t="n"/>
      <c r="AZ128" s="41" t="n"/>
      <c r="BA128" s="41" t="n"/>
      <c r="BB128" s="41" t="n"/>
      <c r="BC128" s="41" t="n"/>
      <c r="BD128" s="41" t="n"/>
    </row>
    <row r="129">
      <c r="C129" s="6" t="n"/>
    </row>
    <row r="130" customFormat="1" s="1">
      <c r="A130" s="1" t="inlineStr">
        <is>
          <t xml:space="preserve">Promo </t>
        </is>
      </c>
      <c r="D130" s="24" t="inlineStr">
        <is>
          <t>$k</t>
        </is>
      </c>
      <c r="E130" s="41" t="n"/>
      <c r="F130" s="41" t="n"/>
      <c r="G130" s="41" t="n"/>
      <c r="H130" s="41" t="n"/>
      <c r="I130" s="41" t="n"/>
      <c r="J130" s="41" t="n">
        <v>11.86</v>
      </c>
      <c r="K130" s="41" t="n">
        <v>13.7</v>
      </c>
      <c r="L130" s="41" t="n">
        <v>16.17</v>
      </c>
      <c r="M130" s="41" t="n">
        <v>7.43</v>
      </c>
      <c r="N130" s="41" t="n"/>
      <c r="O130" s="41" t="n"/>
      <c r="P130" s="41" t="n"/>
      <c r="Q130" s="41" t="n">
        <v>37.574</v>
      </c>
      <c r="R130" s="41" t="n">
        <v>12.372</v>
      </c>
      <c r="S130" s="41" t="n">
        <v>28.236</v>
      </c>
      <c r="T130" s="41" t="n">
        <v>25.323</v>
      </c>
      <c r="U130" s="41" t="n">
        <v>4.6</v>
      </c>
      <c r="V130" s="41" t="n">
        <v>5.55</v>
      </c>
      <c r="W130" s="41" t="n">
        <v>2.25</v>
      </c>
      <c r="X130" s="41" t="n">
        <v>0.55</v>
      </c>
      <c r="Y130" s="41" t="n">
        <v>31.967</v>
      </c>
      <c r="Z130" s="41" t="n">
        <v>6.106</v>
      </c>
      <c r="AA130" s="41" t="n">
        <v>22.44</v>
      </c>
      <c r="AB130" s="41" t="n"/>
      <c r="AC130" s="41" t="n"/>
      <c r="AD130" s="41" t="n"/>
      <c r="AE130" s="41" t="n"/>
      <c r="AF130" s="41" t="n"/>
      <c r="AG130" s="41" t="n"/>
      <c r="AH130" s="41" t="n"/>
      <c r="AI130" s="41" t="n"/>
      <c r="AJ130" s="41" t="n"/>
      <c r="AK130" s="41" t="n"/>
      <c r="AL130" s="41" t="n"/>
      <c r="AM130" s="41" t="n"/>
      <c r="AN130" s="41" t="n"/>
      <c r="AO130" s="41" t="n"/>
      <c r="AP130" s="41" t="n"/>
      <c r="AQ130" s="41" t="n"/>
      <c r="AR130" s="41" t="n"/>
      <c r="AS130" s="41" t="n"/>
      <c r="AT130" s="41" t="n"/>
      <c r="AU130" s="41" t="n"/>
      <c r="AV130" s="41" t="n"/>
      <c r="AW130" s="41" t="n"/>
      <c r="AX130" s="41" t="n"/>
      <c r="AY130" s="41" t="n"/>
      <c r="AZ130" s="41" t="n"/>
      <c r="BA130" s="41" t="n"/>
      <c r="BB130" s="41" t="n"/>
      <c r="BC130" s="41" t="n"/>
      <c r="BD130" s="41" t="n"/>
    </row>
    <row r="131" ht="15.75" customFormat="1" customHeight="1" s="1">
      <c r="B131" s="31" t="inlineStr">
        <is>
          <t>Finance Actuals (Monthly)</t>
        </is>
      </c>
      <c r="D131" s="32" t="inlineStr">
        <is>
          <t>$k</t>
        </is>
      </c>
      <c r="E131" s="41" t="n"/>
      <c r="F131" s="41" t="n"/>
      <c r="G131" s="41" t="n"/>
      <c r="H131" s="41" t="n">
        <v>1.30591</v>
      </c>
      <c r="I131" s="41" t="n"/>
      <c r="J131" s="41" t="n"/>
      <c r="K131" s="41" t="n"/>
      <c r="L131" s="41" t="n">
        <v>23.82729</v>
      </c>
      <c r="M131" s="41" t="n"/>
      <c r="N131" s="41" t="n"/>
      <c r="O131" s="41" t="n"/>
      <c r="P131" s="41" t="n"/>
      <c r="Q131" s="41" t="n">
        <v>14.7216</v>
      </c>
      <c r="R131" s="41" t="n"/>
      <c r="S131" s="41" t="n"/>
      <c r="T131" s="41" t="n"/>
      <c r="U131" s="41" t="n">
        <v>51.55344</v>
      </c>
      <c r="V131" s="41" t="n"/>
      <c r="W131" s="41" t="n"/>
      <c r="X131" s="41" t="n"/>
      <c r="Y131" s="41" t="n"/>
      <c r="Z131" s="41" t="n">
        <v>23.46755</v>
      </c>
      <c r="AA131" s="41" t="n"/>
      <c r="AB131" s="41" t="n"/>
      <c r="AC131" s="41" t="n"/>
      <c r="AD131" s="41" t="n"/>
      <c r="AE131" s="41" t="n"/>
      <c r="AF131" s="41" t="n"/>
      <c r="AG131" s="41" t="n"/>
      <c r="AH131" s="41" t="n"/>
      <c r="AI131" s="41" t="n"/>
      <c r="AJ131" s="41" t="n"/>
      <c r="AK131" s="41" t="n"/>
      <c r="AL131" s="41" t="n"/>
      <c r="AM131" s="41" t="n"/>
      <c r="AN131" s="41" t="n"/>
      <c r="AO131" s="41" t="n"/>
      <c r="AP131" s="41" t="n"/>
      <c r="AQ131" s="41" t="n"/>
      <c r="AR131" s="41" t="n"/>
      <c r="AS131" s="41" t="n"/>
      <c r="AT131" s="41" t="n"/>
      <c r="AU131" s="41" t="n"/>
      <c r="AV131" s="41" t="n"/>
      <c r="AW131" s="41" t="n"/>
      <c r="AX131" s="41" t="n"/>
      <c r="AY131" s="41" t="n"/>
      <c r="AZ131" s="41" t="n"/>
      <c r="BA131" s="41" t="n"/>
      <c r="BB131" s="41" t="n"/>
      <c r="BC131" s="41" t="n"/>
      <c r="BD131" s="41" t="n"/>
    </row>
    <row r="132" customFormat="1" s="9">
      <c r="B132" s="9" t="inlineStr">
        <is>
          <t>Budgeted (Monthly)</t>
        </is>
      </c>
      <c r="D132" s="10" t="inlineStr">
        <is>
          <t>$k</t>
        </is>
      </c>
      <c r="E132" s="41" t="n"/>
      <c r="F132" s="41" t="n"/>
      <c r="G132" s="41" t="n"/>
      <c r="H132" s="41" t="n">
        <v>0</v>
      </c>
      <c r="I132" s="41" t="n"/>
      <c r="J132" s="41" t="n"/>
      <c r="K132" s="41" t="n"/>
      <c r="L132" s="41" t="n">
        <v>0</v>
      </c>
      <c r="M132" s="41" t="n"/>
      <c r="N132" s="41" t="n"/>
      <c r="O132" s="41" t="n"/>
      <c r="P132" s="41" t="n"/>
      <c r="Q132" s="41" t="n">
        <v>94.67994823348118</v>
      </c>
      <c r="R132" s="41" t="n"/>
      <c r="S132" s="41" t="n"/>
      <c r="T132" s="41" t="n"/>
      <c r="U132" s="41" t="n">
        <v>132.4050657554984</v>
      </c>
      <c r="V132" s="41" t="n"/>
      <c r="W132" s="41" t="n"/>
      <c r="X132" s="41" t="n"/>
      <c r="Y132" s="41" t="n"/>
      <c r="Z132" s="41" t="n">
        <v>72.67362967897114</v>
      </c>
      <c r="AA132" s="41" t="n"/>
      <c r="AB132" s="41" t="n"/>
      <c r="AC132" s="41" t="n"/>
      <c r="AD132" s="41" t="n">
        <v>84.21788279513686</v>
      </c>
      <c r="AE132" s="41" t="n"/>
      <c r="AF132" s="41" t="n"/>
      <c r="AG132" s="41" t="n"/>
      <c r="AH132" s="41" t="n">
        <v>80.78131734495601</v>
      </c>
      <c r="AI132" s="41" t="n"/>
      <c r="AJ132" s="41" t="n"/>
      <c r="AK132" s="41" t="n"/>
      <c r="AL132" s="41" t="n"/>
      <c r="AM132" s="41" t="n">
        <v>67.80817786925807</v>
      </c>
      <c r="AN132" s="41" t="n"/>
      <c r="AO132" s="41" t="n"/>
      <c r="AP132" s="41" t="n"/>
      <c r="AQ132" s="41" t="n">
        <v>89.95808003060374</v>
      </c>
      <c r="AR132" s="41" t="n"/>
      <c r="AS132" s="41" t="n"/>
      <c r="AT132" s="41" t="n"/>
      <c r="AU132" s="41" t="n">
        <v>0</v>
      </c>
      <c r="AV132" s="41" t="n"/>
      <c r="AW132" s="41" t="n"/>
      <c r="AX132" s="41" t="n"/>
      <c r="AY132" s="41" t="n"/>
      <c r="AZ132" s="41" t="n">
        <v>332.9907088719564</v>
      </c>
      <c r="BA132" s="41" t="n"/>
      <c r="BB132" s="41" t="n"/>
      <c r="BC132" s="41" t="n"/>
      <c r="BD132" s="41" t="n">
        <v>500.7711038074681</v>
      </c>
    </row>
    <row r="133">
      <c r="B133" t="inlineStr">
        <is>
          <t>As % of budget - this month</t>
        </is>
      </c>
      <c r="D133" s="6" t="inlineStr">
        <is>
          <t>%</t>
        </is>
      </c>
      <c r="E133" s="42" t="n"/>
      <c r="F133" s="42" t="n"/>
      <c r="G133" s="42" t="n"/>
      <c r="H133" s="42">
        <f>IFERROR(SUM(E130:H130)/H132,"")</f>
        <v/>
      </c>
      <c r="I133" s="42" t="n"/>
      <c r="J133" s="42" t="n"/>
      <c r="K133" s="42" t="n"/>
      <c r="L133" s="42">
        <f>IFERROR(SUM(I130:L130)/L132,"")</f>
        <v/>
      </c>
      <c r="M133" s="42" t="n"/>
      <c r="N133" s="42" t="n"/>
      <c r="O133" s="42" t="n"/>
      <c r="P133" s="42" t="n"/>
      <c r="Q133" s="42">
        <f>IFERROR(SUM(M130:Q130)/Q132,"")</f>
        <v/>
      </c>
      <c r="R133" s="42" t="n"/>
      <c r="S133" s="42" t="n"/>
      <c r="T133" s="42" t="n"/>
      <c r="U133" s="42">
        <f>IFERROR(SUM(R130:U130)/U132,"")</f>
        <v/>
      </c>
      <c r="V133" s="42" t="n"/>
      <c r="W133" s="42" t="n"/>
      <c r="X133" s="42" t="n"/>
      <c r="Y133" s="42" t="n"/>
      <c r="Z133" s="42">
        <f>IFERROR(SUM(V130:Z130)/Z132,"")</f>
        <v/>
      </c>
      <c r="AA133" s="42" t="n"/>
      <c r="AB133" s="42" t="n"/>
      <c r="AC133" s="42" t="n"/>
      <c r="AD133" s="42" t="n"/>
      <c r="AE133" s="42" t="n"/>
      <c r="AF133" s="42" t="n"/>
      <c r="AG133" s="42" t="n"/>
      <c r="AH133" s="42" t="n"/>
      <c r="AI133" s="42" t="n"/>
      <c r="AJ133" s="42" t="n"/>
      <c r="AK133" s="42" t="n"/>
      <c r="AL133" s="42" t="n"/>
      <c r="AM133" s="42" t="n"/>
      <c r="AN133" s="42" t="n"/>
      <c r="AO133" s="42" t="n"/>
      <c r="AP133" s="42" t="n"/>
      <c r="AQ133" s="42" t="n"/>
      <c r="AR133" s="42" t="n"/>
      <c r="AS133" s="42" t="n"/>
      <c r="AT133" s="42" t="n"/>
      <c r="AU133" s="42" t="n"/>
      <c r="AV133" s="42" t="n"/>
      <c r="AW133" s="42" t="n"/>
      <c r="AX133" s="42" t="n"/>
      <c r="AY133" s="42" t="n"/>
      <c r="AZ133" s="42" t="n"/>
      <c r="BA133" s="42" t="n"/>
      <c r="BB133" s="42" t="n"/>
      <c r="BC133" s="42" t="n"/>
      <c r="BD133" s="42" t="n"/>
    </row>
    <row r="134">
      <c r="B134" t="inlineStr">
        <is>
          <t>As % of budget - YTD</t>
        </is>
      </c>
      <c r="D134" s="6" t="inlineStr">
        <is>
          <t>%</t>
        </is>
      </c>
      <c r="E134" s="42" t="n"/>
      <c r="F134" s="42" t="n"/>
      <c r="G134" s="42" t="n"/>
      <c r="H134" s="42">
        <f>IFERROR(SUM($E$130:H130)/SUM($E$132:H132),"")</f>
        <v/>
      </c>
      <c r="I134" s="42" t="n"/>
      <c r="J134" s="42" t="n"/>
      <c r="K134" s="42" t="n"/>
      <c r="L134" s="42">
        <f>IFERROR(SUM($E$130:L130)/SUM($E$132:L132),"")</f>
        <v/>
      </c>
      <c r="M134" s="42" t="n"/>
      <c r="N134" s="42" t="n"/>
      <c r="O134" s="42" t="n"/>
      <c r="P134" s="42" t="n"/>
      <c r="Q134" s="42">
        <f>IFERROR(SUM($E$130:Q130)/SUM($E$132:Q132),"")</f>
        <v/>
      </c>
      <c r="R134" s="42" t="n"/>
      <c r="S134" s="42" t="n"/>
      <c r="T134" s="42" t="n"/>
      <c r="U134" s="42">
        <f>IFERROR(SUM($E$130:U130)/SUM($E$132:U132),"")</f>
        <v/>
      </c>
      <c r="V134" s="42" t="n"/>
      <c r="W134" s="42" t="n"/>
      <c r="X134" s="42" t="n"/>
      <c r="Y134" s="42" t="n"/>
      <c r="Z134" s="42">
        <f>IFERROR(SUM($E$130:Z130)/SUM($E$132:Z132),"")</f>
        <v/>
      </c>
      <c r="AA134" s="42" t="n"/>
      <c r="AB134" s="42" t="n"/>
      <c r="AC134" s="42" t="n"/>
      <c r="AD134" s="42" t="n"/>
      <c r="AE134" s="42" t="n"/>
      <c r="AF134" s="42" t="n"/>
      <c r="AG134" s="42" t="n"/>
      <c r="AH134" s="42" t="n"/>
      <c r="AI134" s="42" t="n"/>
      <c r="AJ134" s="42" t="n"/>
      <c r="AK134" s="42" t="n"/>
      <c r="AL134" s="42" t="n"/>
      <c r="AM134" s="42" t="n"/>
      <c r="AN134" s="42" t="n"/>
      <c r="AO134" s="42" t="n"/>
      <c r="AP134" s="42" t="n"/>
      <c r="AQ134" s="42" t="n"/>
      <c r="AR134" s="42" t="n"/>
      <c r="AS134" s="42" t="n"/>
      <c r="AT134" s="42" t="n"/>
      <c r="AU134" s="42" t="n"/>
      <c r="AV134" s="42" t="n"/>
      <c r="AW134" s="42" t="n"/>
      <c r="AX134" s="42" t="n"/>
      <c r="AY134" s="42" t="n"/>
      <c r="AZ134" s="42" t="n"/>
      <c r="BA134" s="42" t="n"/>
      <c r="BB134" s="42" t="n"/>
      <c r="BC134" s="42" t="n"/>
      <c r="BD134" s="42" t="n"/>
    </row>
    <row r="135"/>
    <row r="136" customFormat="1" s="1">
      <c r="A136" s="1" t="inlineStr">
        <is>
          <t>Ads</t>
        </is>
      </c>
      <c r="D136" s="24" t="inlineStr">
        <is>
          <t>$k</t>
        </is>
      </c>
      <c r="E136" s="41" t="n">
        <v>16.23609</v>
      </c>
      <c r="F136" s="41" t="n">
        <v>16.29575</v>
      </c>
      <c r="G136" s="41" t="n">
        <v>17.36873</v>
      </c>
      <c r="H136" s="41" t="n">
        <v>17.24599</v>
      </c>
      <c r="I136" s="41" t="n">
        <v>11.54876</v>
      </c>
      <c r="J136" s="41" t="n">
        <v>4.87025</v>
      </c>
      <c r="K136" s="41" t="n">
        <v>7.70212</v>
      </c>
      <c r="L136" s="41" t="n">
        <v>9.360950000000001</v>
      </c>
      <c r="M136" s="41" t="n">
        <v>9.44035</v>
      </c>
      <c r="N136" s="41" t="n">
        <v>10.77068</v>
      </c>
      <c r="O136" s="41" t="n">
        <v>10.94465</v>
      </c>
      <c r="P136" s="41" t="n">
        <v>10.91692</v>
      </c>
      <c r="Q136" s="41" t="n">
        <v>11.13131</v>
      </c>
      <c r="R136" s="41" t="n">
        <v>10.89344</v>
      </c>
      <c r="S136" s="41" t="n">
        <v>8.21918</v>
      </c>
      <c r="T136" s="41" t="n">
        <v>7.19779</v>
      </c>
      <c r="U136" s="41" t="n">
        <v>8.07146</v>
      </c>
      <c r="V136" s="41" t="n">
        <v>8.092499999999999</v>
      </c>
      <c r="W136" s="41" t="n">
        <v>9.57883</v>
      </c>
      <c r="X136" s="41" t="n">
        <v>11.10504</v>
      </c>
      <c r="Y136" s="41" t="n">
        <v>13.59599</v>
      </c>
      <c r="Z136" s="41" t="n">
        <v>19.14241</v>
      </c>
      <c r="AA136" s="41" t="n">
        <v>11.79405</v>
      </c>
      <c r="AB136" s="41" t="n"/>
      <c r="AC136" s="41" t="n"/>
      <c r="AD136" s="41" t="n"/>
      <c r="AE136" s="41" t="n"/>
      <c r="AF136" s="41" t="n"/>
      <c r="AG136" s="41" t="n"/>
      <c r="AH136" s="41" t="n"/>
      <c r="AI136" s="41" t="n"/>
      <c r="AJ136" s="41" t="n"/>
      <c r="AK136" s="41" t="n"/>
      <c r="AL136" s="41" t="n"/>
      <c r="AM136" s="41" t="n"/>
      <c r="AN136" s="41" t="n"/>
      <c r="AO136" s="41" t="n"/>
      <c r="AP136" s="41" t="n"/>
      <c r="AQ136" s="41" t="n"/>
      <c r="AR136" s="41" t="n"/>
      <c r="AS136" s="41" t="n"/>
      <c r="AT136" s="41" t="n"/>
      <c r="AU136" s="41" t="n"/>
      <c r="AV136" s="41" t="n"/>
      <c r="AW136" s="41" t="n"/>
      <c r="AX136" s="41" t="n"/>
      <c r="AY136" s="41" t="n"/>
      <c r="AZ136" s="41" t="n"/>
      <c r="BA136" s="41" t="n"/>
      <c r="BB136" s="41" t="n"/>
      <c r="BC136" s="41" t="n"/>
      <c r="BD136" s="41" t="n"/>
    </row>
    <row r="137" ht="15.75" customFormat="1" customHeight="1" s="1">
      <c r="B137" s="31" t="inlineStr">
        <is>
          <t>Finance Actuals (Monthly)</t>
        </is>
      </c>
      <c r="D137" s="32" t="inlineStr">
        <is>
          <t>$k</t>
        </is>
      </c>
      <c r="E137" s="41" t="n"/>
      <c r="F137" s="41" t="n"/>
      <c r="G137" s="41" t="n"/>
      <c r="H137" s="41" t="n">
        <v>11.12988</v>
      </c>
      <c r="I137" s="41" t="n"/>
      <c r="J137" s="41" t="n"/>
      <c r="K137" s="41" t="n"/>
      <c r="L137" s="41" t="n">
        <v>-4.65607</v>
      </c>
      <c r="M137" s="41" t="n"/>
      <c r="N137" s="41" t="n"/>
      <c r="O137" s="41" t="n"/>
      <c r="P137" s="41" t="n"/>
      <c r="Q137" s="41" t="n">
        <v>-8.99034</v>
      </c>
      <c r="R137" s="41" t="n"/>
      <c r="S137" s="41" t="n"/>
      <c r="T137" s="41" t="n"/>
      <c r="U137" s="41" t="n">
        <v>1.06849</v>
      </c>
      <c r="V137" s="41" t="n"/>
      <c r="W137" s="41" t="n"/>
      <c r="X137" s="41" t="n"/>
      <c r="Y137" s="41" t="n"/>
      <c r="Z137" s="41" t="n">
        <v>1.90866</v>
      </c>
      <c r="AA137" s="41" t="n"/>
      <c r="AB137" s="41" t="n"/>
      <c r="AC137" s="41" t="n"/>
      <c r="AD137" s="41" t="n"/>
      <c r="AE137" s="41" t="n"/>
      <c r="AF137" s="41" t="n"/>
      <c r="AG137" s="41" t="n"/>
      <c r="AH137" s="41" t="n"/>
      <c r="AI137" s="41" t="n"/>
      <c r="AJ137" s="41" t="n"/>
      <c r="AK137" s="41" t="n"/>
      <c r="AL137" s="41" t="n"/>
      <c r="AM137" s="41" t="n"/>
      <c r="AN137" s="41" t="n"/>
      <c r="AO137" s="41" t="n"/>
      <c r="AP137" s="41" t="n"/>
      <c r="AQ137" s="41" t="n"/>
      <c r="AR137" s="41" t="n"/>
      <c r="AS137" s="41" t="n"/>
      <c r="AT137" s="41" t="n"/>
      <c r="AU137" s="41" t="n"/>
      <c r="AV137" s="41" t="n"/>
      <c r="AW137" s="41" t="n"/>
      <c r="AX137" s="41" t="n"/>
      <c r="AY137" s="41" t="n"/>
      <c r="AZ137" s="41" t="n"/>
      <c r="BA137" s="41" t="n"/>
      <c r="BB137" s="41" t="n"/>
      <c r="BC137" s="41" t="n"/>
      <c r="BD137" s="41" t="n"/>
    </row>
    <row r="138" ht="15.75" customHeight="1">
      <c r="B138" s="9" t="inlineStr">
        <is>
          <t>Budgeted (Monthly)</t>
        </is>
      </c>
      <c r="C138" s="9" t="n"/>
      <c r="D138" s="10" t="inlineStr">
        <is>
          <t>$k</t>
        </is>
      </c>
      <c r="E138" s="41" t="n"/>
      <c r="F138" s="41" t="n"/>
      <c r="G138" s="41" t="n"/>
      <c r="H138" s="41" t="n">
        <v>64.58333333333334</v>
      </c>
      <c r="I138" s="41" t="n"/>
      <c r="J138" s="41" t="n"/>
      <c r="K138" s="41" t="n"/>
      <c r="L138" s="41" t="n">
        <v>64.58333333333334</v>
      </c>
      <c r="M138" s="41" t="n"/>
      <c r="N138" s="41" t="n"/>
      <c r="O138" s="41" t="n"/>
      <c r="P138" s="41" t="n"/>
      <c r="Q138" s="41" t="n">
        <v>64.58333333333334</v>
      </c>
      <c r="R138" s="41" t="n"/>
      <c r="S138" s="41" t="n"/>
      <c r="T138" s="41" t="n"/>
      <c r="U138" s="41" t="n">
        <v>64.58333333333334</v>
      </c>
      <c r="V138" s="41" t="n"/>
      <c r="W138" s="41" t="n"/>
      <c r="X138" s="41" t="n"/>
      <c r="Y138" s="41" t="n"/>
      <c r="Z138" s="41" t="n">
        <v>64.58333333333334</v>
      </c>
      <c r="AA138" s="41" t="n"/>
      <c r="AB138" s="41" t="n"/>
      <c r="AC138" s="41" t="n"/>
      <c r="AD138" s="41" t="n">
        <v>64.58333333333334</v>
      </c>
      <c r="AE138" s="41" t="n"/>
      <c r="AF138" s="41" t="n"/>
      <c r="AG138" s="41" t="n"/>
      <c r="AH138" s="41" t="n">
        <v>64.58333333333334</v>
      </c>
      <c r="AI138" s="41" t="n"/>
      <c r="AJ138" s="41" t="n"/>
      <c r="AK138" s="41" t="n"/>
      <c r="AL138" s="41" t="n"/>
      <c r="AM138" s="41" t="n">
        <v>64.58333333333334</v>
      </c>
      <c r="AN138" s="41" t="n"/>
      <c r="AO138" s="41" t="n"/>
      <c r="AP138" s="41" t="n"/>
      <c r="AQ138" s="41" t="n">
        <v>64.58333333333334</v>
      </c>
      <c r="AR138" s="41" t="n"/>
      <c r="AS138" s="41" t="n"/>
      <c r="AT138" s="41" t="n"/>
      <c r="AU138" s="41" t="n">
        <v>64.58333333333334</v>
      </c>
      <c r="AV138" s="41" t="n"/>
      <c r="AW138" s="41" t="n"/>
      <c r="AX138" s="41" t="n"/>
      <c r="AY138" s="41" t="n"/>
      <c r="AZ138" s="41" t="n">
        <v>64.58333333333334</v>
      </c>
      <c r="BA138" s="41" t="n"/>
      <c r="BB138" s="41" t="n"/>
      <c r="BC138" s="41" t="n"/>
      <c r="BD138" s="41" t="n">
        <v>64.58333333333334</v>
      </c>
    </row>
    <row r="139">
      <c r="B139" t="inlineStr">
        <is>
          <t>As % of budget - this month</t>
        </is>
      </c>
      <c r="D139" s="6" t="inlineStr">
        <is>
          <t>%</t>
        </is>
      </c>
      <c r="E139" s="42" t="n"/>
      <c r="F139" s="42" t="n"/>
      <c r="G139" s="42" t="n"/>
      <c r="H139" s="42">
        <f>IFERROR(SUM(E136:H136)/H138,"")</f>
        <v/>
      </c>
      <c r="I139" s="42" t="n"/>
      <c r="J139" s="42" t="n"/>
      <c r="K139" s="42" t="n"/>
      <c r="L139" s="42">
        <f>IFERROR(SUM(I136:L136)/L138,"")</f>
        <v/>
      </c>
      <c r="M139" s="42" t="n"/>
      <c r="N139" s="42" t="n"/>
      <c r="O139" s="42" t="n"/>
      <c r="P139" s="42" t="n"/>
      <c r="Q139" s="42">
        <f>IFERROR(SUM(M136:Q136)/Q138,"")</f>
        <v/>
      </c>
      <c r="R139" s="42" t="n"/>
      <c r="S139" s="42" t="n"/>
      <c r="T139" s="42" t="n"/>
      <c r="U139" s="42">
        <f>IFERROR(SUM(R136:U136)/U138,"")</f>
        <v/>
      </c>
      <c r="V139" s="42" t="n"/>
      <c r="W139" s="42" t="n"/>
      <c r="X139" s="42" t="n"/>
      <c r="Y139" s="42" t="n"/>
      <c r="Z139" s="42">
        <f>IFERROR(SUM(V136:Z136)/Z138,"")</f>
        <v/>
      </c>
      <c r="AA139" s="42" t="n"/>
      <c r="AB139" s="42" t="n"/>
      <c r="AC139" s="42" t="n"/>
      <c r="AD139" s="42" t="n"/>
      <c r="AE139" s="42" t="n"/>
      <c r="AF139" s="42" t="n"/>
      <c r="AG139" s="42" t="n"/>
      <c r="AH139" s="42" t="n"/>
      <c r="AI139" s="42" t="n"/>
      <c r="AJ139" s="42" t="n"/>
      <c r="AK139" s="42" t="n"/>
      <c r="AL139" s="42" t="n"/>
      <c r="AM139" s="42" t="n"/>
      <c r="AN139" s="42" t="n"/>
      <c r="AO139" s="42" t="n"/>
      <c r="AP139" s="42" t="n"/>
      <c r="AQ139" s="42" t="n"/>
      <c r="AR139" s="42" t="n"/>
      <c r="AS139" s="42" t="n"/>
      <c r="AT139" s="42" t="n"/>
      <c r="AU139" s="42" t="n"/>
      <c r="AV139" s="42" t="n"/>
      <c r="AW139" s="42" t="n"/>
      <c r="AX139" s="42" t="n"/>
      <c r="AY139" s="42" t="n"/>
      <c r="AZ139" s="42" t="n"/>
      <c r="BA139" s="42" t="n"/>
      <c r="BB139" s="42" t="n"/>
      <c r="BC139" s="42" t="n"/>
      <c r="BD139" s="42" t="n"/>
    </row>
    <row r="140">
      <c r="B140" t="inlineStr">
        <is>
          <t>As % of budget - YTD</t>
        </is>
      </c>
      <c r="D140" s="6" t="inlineStr">
        <is>
          <t>%</t>
        </is>
      </c>
      <c r="E140" s="42" t="n"/>
      <c r="F140" s="42" t="n"/>
      <c r="G140" s="42" t="n"/>
      <c r="H140" s="42">
        <f>IFERROR(SUM($E$136:H136)/SUM($E$138:H138),"")</f>
        <v/>
      </c>
      <c r="I140" s="42" t="n"/>
      <c r="J140" s="42" t="n"/>
      <c r="K140" s="42" t="n"/>
      <c r="L140" s="42">
        <f>IFERROR(SUM($E$136:L136)/SUM($E$138:L138),"")</f>
        <v/>
      </c>
      <c r="M140" s="42" t="n"/>
      <c r="N140" s="42" t="n"/>
      <c r="O140" s="42" t="n"/>
      <c r="P140" s="42" t="n"/>
      <c r="Q140" s="42">
        <f>IFERROR(SUM($E$136:Q136)/SUM($E$138:Q138),"")</f>
        <v/>
      </c>
      <c r="R140" s="42" t="n"/>
      <c r="S140" s="42" t="n"/>
      <c r="T140" s="42" t="n"/>
      <c r="U140" s="42">
        <f>IFERROR(SUM($E$136:U136)/SUM($E$138:U138),"")</f>
        <v/>
      </c>
      <c r="V140" s="42" t="n"/>
      <c r="W140" s="42" t="n"/>
      <c r="X140" s="42" t="n"/>
      <c r="Y140" s="42" t="n"/>
      <c r="Z140" s="42">
        <f>IFERROR(SUM($E$136:Z136)/SUM($E$138:Z138),"")</f>
        <v/>
      </c>
      <c r="AA140" s="42" t="n"/>
      <c r="AB140" s="42" t="n"/>
      <c r="AC140" s="42" t="n"/>
      <c r="AD140" s="42" t="n"/>
      <c r="AE140" s="42" t="n"/>
      <c r="AF140" s="42" t="n"/>
      <c r="AG140" s="42" t="n"/>
      <c r="AH140" s="42" t="n"/>
      <c r="AI140" s="42" t="n"/>
      <c r="AJ140" s="42" t="n"/>
      <c r="AK140" s="42" t="n"/>
      <c r="AL140" s="42" t="n"/>
      <c r="AM140" s="42" t="n"/>
      <c r="AN140" s="42" t="n"/>
      <c r="AO140" s="42" t="n"/>
      <c r="AP140" s="42" t="n"/>
      <c r="AQ140" s="42" t="n"/>
      <c r="AR140" s="42" t="n"/>
      <c r="AS140" s="42" t="n"/>
      <c r="AT140" s="42" t="n"/>
      <c r="AU140" s="42" t="n"/>
      <c r="AV140" s="42" t="n"/>
      <c r="AW140" s="42" t="n"/>
      <c r="AX140" s="42" t="n"/>
      <c r="AY140" s="42" t="n"/>
      <c r="AZ140" s="42" t="n"/>
      <c r="BA140" s="42" t="n"/>
      <c r="BB140" s="42" t="n"/>
      <c r="BC140" s="42" t="n"/>
      <c r="BD140" s="42" t="n"/>
    </row>
    <row r="141"/>
    <row r="142" ht="15.75" customFormat="1" customHeight="1" s="1">
      <c r="A142" s="1" t="inlineStr">
        <is>
          <t>Other Marketing - Retail marketing, etc</t>
        </is>
      </c>
      <c r="D142" s="24" t="inlineStr">
        <is>
          <t>$k</t>
        </is>
      </c>
      <c r="E142" s="41" t="n"/>
      <c r="F142" s="41" t="n"/>
      <c r="G142" s="41" t="n"/>
      <c r="H142" s="41" t="n"/>
      <c r="I142" s="41" t="n"/>
      <c r="J142" s="41" t="n"/>
      <c r="K142" s="41" t="n"/>
      <c r="L142" s="41" t="n"/>
      <c r="M142" s="41" t="n"/>
      <c r="N142" s="41" t="n"/>
      <c r="O142" s="41" t="n"/>
      <c r="P142" s="41" t="n"/>
      <c r="Q142" s="41" t="n"/>
      <c r="R142" s="41" t="n"/>
      <c r="S142" s="41" t="n"/>
      <c r="T142" s="41" t="n"/>
      <c r="U142" s="41" t="n"/>
      <c r="V142" s="41" t="n"/>
      <c r="W142" s="41" t="n"/>
      <c r="X142" s="41" t="n"/>
      <c r="Y142" s="41" t="n"/>
      <c r="Z142" s="41" t="n"/>
      <c r="AA142" s="41" t="n"/>
      <c r="AB142" s="41" t="n"/>
      <c r="AC142" s="41" t="n"/>
      <c r="AD142" s="41" t="n"/>
      <c r="AE142" s="41" t="n"/>
      <c r="AF142" s="41" t="n"/>
      <c r="AG142" s="41" t="n"/>
      <c r="AH142" s="41" t="n"/>
      <c r="AI142" s="41" t="n"/>
      <c r="AJ142" s="41" t="n"/>
      <c r="AK142" s="41" t="n"/>
      <c r="AL142" s="41" t="n"/>
      <c r="AM142" s="41" t="n"/>
      <c r="AN142" s="41" t="n"/>
      <c r="AO142" s="41" t="n"/>
      <c r="AP142" s="41" t="n"/>
      <c r="AQ142" s="41" t="n"/>
      <c r="AR142" s="41" t="n"/>
      <c r="AS142" s="41" t="n"/>
      <c r="AT142" s="41" t="n"/>
      <c r="AU142" s="41" t="n"/>
      <c r="AV142" s="41" t="n"/>
      <c r="AW142" s="41" t="n"/>
      <c r="AX142" s="41" t="n"/>
      <c r="AY142" s="41" t="n"/>
      <c r="AZ142" s="41" t="n"/>
      <c r="BA142" s="41" t="n"/>
      <c r="BB142" s="41" t="n"/>
      <c r="BC142" s="41" t="n"/>
      <c r="BD142" s="41" t="n"/>
    </row>
    <row r="143" ht="15.75" customFormat="1" customHeight="1" s="1">
      <c r="B143" s="31" t="inlineStr">
        <is>
          <t>Finance Actuals (Monthly)</t>
        </is>
      </c>
      <c r="D143" s="32" t="inlineStr">
        <is>
          <t>$k</t>
        </is>
      </c>
      <c r="E143" s="41" t="n"/>
      <c r="F143" s="41" t="n"/>
      <c r="G143" s="41" t="n"/>
      <c r="H143" s="41" t="n">
        <v>27.40602</v>
      </c>
      <c r="I143" s="41" t="n"/>
      <c r="J143" s="41" t="n"/>
      <c r="K143" s="41" t="n"/>
      <c r="L143" s="41" t="n">
        <v>102.21018</v>
      </c>
      <c r="M143" s="41" t="n"/>
      <c r="N143" s="41" t="n"/>
      <c r="O143" s="41" t="n"/>
      <c r="P143" s="41" t="n"/>
      <c r="Q143" s="41" t="n">
        <v>190.98193</v>
      </c>
      <c r="R143" s="41" t="n"/>
      <c r="S143" s="41" t="n"/>
      <c r="T143" s="41" t="n"/>
      <c r="U143" s="41" t="n">
        <v>13.59783</v>
      </c>
      <c r="V143" s="41" t="n"/>
      <c r="W143" s="41" t="n"/>
      <c r="X143" s="41" t="n"/>
      <c r="Y143" s="41" t="n"/>
      <c r="Z143" s="41" t="n">
        <v>67.42460000000001</v>
      </c>
      <c r="AA143" s="41" t="n"/>
      <c r="AB143" s="41" t="n"/>
      <c r="AC143" s="41" t="n"/>
      <c r="AD143" s="41" t="n"/>
      <c r="AE143" s="41" t="n"/>
      <c r="AF143" s="41" t="n"/>
      <c r="AG143" s="41" t="n"/>
      <c r="AH143" s="41" t="n"/>
      <c r="AI143" s="41" t="n"/>
      <c r="AJ143" s="41" t="n"/>
      <c r="AK143" s="41" t="n"/>
      <c r="AL143" s="41" t="n"/>
      <c r="AM143" s="41" t="n"/>
      <c r="AN143" s="41" t="n"/>
      <c r="AO143" s="41" t="n"/>
      <c r="AP143" s="41" t="n"/>
      <c r="AQ143" s="41" t="n"/>
      <c r="AR143" s="41" t="n"/>
      <c r="AS143" s="41" t="n"/>
      <c r="AT143" s="41" t="n"/>
      <c r="AU143" s="41" t="n"/>
      <c r="AV143" s="41" t="n"/>
      <c r="AW143" s="41" t="n"/>
      <c r="AX143" s="41" t="n"/>
      <c r="AY143" s="41" t="n"/>
      <c r="AZ143" s="41" t="n"/>
      <c r="BA143" s="41" t="n"/>
      <c r="BB143" s="41" t="n"/>
      <c r="BC143" s="41" t="n"/>
      <c r="BD143" s="41" t="n"/>
    </row>
    <row r="144" ht="15.75" customHeight="1">
      <c r="B144" s="9" t="inlineStr">
        <is>
          <t>Budgeted (Monthly)</t>
        </is>
      </c>
      <c r="C144" s="9" t="n"/>
      <c r="D144" s="10" t="inlineStr">
        <is>
          <t>$k</t>
        </is>
      </c>
      <c r="E144" s="41" t="n"/>
      <c r="F144" s="41" t="n"/>
      <c r="G144" s="41" t="n"/>
      <c r="H144" s="41" t="n">
        <v>119.5833333333333</v>
      </c>
      <c r="I144" s="41" t="n"/>
      <c r="J144" s="41" t="n"/>
      <c r="K144" s="41" t="n"/>
      <c r="L144" s="41" t="n">
        <v>119.5833333333333</v>
      </c>
      <c r="M144" s="41" t="n"/>
      <c r="N144" s="41" t="n"/>
      <c r="O144" s="41" t="n"/>
      <c r="P144" s="41" t="n"/>
      <c r="Q144" s="41" t="n">
        <v>119.5833333333333</v>
      </c>
      <c r="R144" s="41" t="n"/>
      <c r="S144" s="41" t="n"/>
      <c r="T144" s="41" t="n"/>
      <c r="U144" s="41" t="n">
        <v>81.25</v>
      </c>
      <c r="V144" s="41" t="n"/>
      <c r="W144" s="41" t="n"/>
      <c r="X144" s="41" t="n"/>
      <c r="Y144" s="41" t="n"/>
      <c r="Z144" s="41" t="n">
        <v>81.25</v>
      </c>
      <c r="AA144" s="41" t="n"/>
      <c r="AB144" s="41" t="n"/>
      <c r="AC144" s="41" t="n"/>
      <c r="AD144" s="41" t="n">
        <v>81.25</v>
      </c>
      <c r="AE144" s="41" t="n"/>
      <c r="AF144" s="41" t="n"/>
      <c r="AG144" s="41" t="n"/>
      <c r="AH144" s="41" t="n">
        <v>81.25</v>
      </c>
      <c r="AI144" s="41" t="n"/>
      <c r="AJ144" s="41" t="n"/>
      <c r="AK144" s="41" t="n"/>
      <c r="AL144" s="41" t="n"/>
      <c r="AM144" s="41" t="n">
        <v>81.25</v>
      </c>
      <c r="AN144" s="41" t="n"/>
      <c r="AO144" s="41" t="n"/>
      <c r="AP144" s="41" t="n"/>
      <c r="AQ144" s="41" t="n">
        <v>81.25</v>
      </c>
      <c r="AR144" s="41" t="n"/>
      <c r="AS144" s="41" t="n"/>
      <c r="AT144" s="41" t="n"/>
      <c r="AU144" s="41" t="n">
        <v>81.25</v>
      </c>
      <c r="AV144" s="41" t="n"/>
      <c r="AW144" s="41" t="n"/>
      <c r="AX144" s="41" t="n"/>
      <c r="AY144" s="41" t="n"/>
      <c r="AZ144" s="41" t="n">
        <v>81.25</v>
      </c>
      <c r="BA144" s="41" t="n"/>
      <c r="BB144" s="41" t="n"/>
      <c r="BC144" s="41" t="n"/>
      <c r="BD144" s="41" t="n">
        <v>81.25</v>
      </c>
    </row>
    <row r="145">
      <c r="B145" t="inlineStr">
        <is>
          <t>As % of budget - this month</t>
        </is>
      </c>
      <c r="D145" s="6" t="inlineStr">
        <is>
          <t>%</t>
        </is>
      </c>
      <c r="E145" s="42" t="n"/>
      <c r="F145" s="42" t="n"/>
      <c r="G145" s="42" t="n"/>
      <c r="H145" s="42">
        <f>IFERROR(SUM(E142:H142)/H144,"")</f>
        <v/>
      </c>
      <c r="I145" s="42" t="n"/>
      <c r="J145" s="42" t="n"/>
      <c r="K145" s="42" t="n"/>
      <c r="L145" s="42">
        <f>IFERROR(SUM(I142:L142)/L144,"")</f>
        <v/>
      </c>
      <c r="M145" s="42" t="n"/>
      <c r="N145" s="42" t="n"/>
      <c r="O145" s="42" t="n"/>
      <c r="P145" s="42" t="n"/>
      <c r="Q145" s="42">
        <f>IFERROR(SUM(M142:Q142)/Q144,"")</f>
        <v/>
      </c>
      <c r="R145" s="42" t="n"/>
      <c r="S145" s="42" t="n"/>
      <c r="T145" s="42" t="n"/>
      <c r="U145" s="42">
        <f>IFERROR(SUM(R142:U142)/U144,"")</f>
        <v/>
      </c>
      <c r="V145" s="42" t="n"/>
      <c r="W145" s="42" t="n"/>
      <c r="X145" s="42" t="n"/>
      <c r="Y145" s="42" t="n"/>
      <c r="Z145" s="42">
        <f>IFERROR(SUM(V142:Z142)/Z144,"")</f>
        <v/>
      </c>
      <c r="AA145" s="42" t="n"/>
      <c r="AB145" s="42" t="n"/>
      <c r="AC145" s="42" t="n"/>
      <c r="AD145" s="42" t="n"/>
      <c r="AE145" s="42" t="n"/>
      <c r="AF145" s="42" t="n"/>
      <c r="AG145" s="42" t="n"/>
      <c r="AH145" s="42" t="n"/>
      <c r="AI145" s="42" t="n"/>
      <c r="AJ145" s="42" t="n"/>
      <c r="AK145" s="42" t="n"/>
      <c r="AL145" s="42" t="n"/>
      <c r="AM145" s="42" t="n"/>
      <c r="AN145" s="42" t="n"/>
      <c r="AO145" s="42" t="n"/>
      <c r="AP145" s="42" t="n"/>
      <c r="AQ145" s="42" t="n"/>
      <c r="AR145" s="42" t="n"/>
      <c r="AS145" s="42" t="n"/>
      <c r="AT145" s="42" t="n"/>
      <c r="AU145" s="42" t="n"/>
      <c r="AV145" s="42" t="n"/>
      <c r="AW145" s="42" t="n"/>
      <c r="AX145" s="42" t="n"/>
      <c r="AY145" s="42" t="n"/>
      <c r="AZ145" s="42" t="n"/>
      <c r="BA145" s="42" t="n"/>
      <c r="BB145" s="42" t="n"/>
      <c r="BC145" s="42" t="n"/>
      <c r="BD145" s="42" t="n"/>
    </row>
    <row r="146">
      <c r="B146" t="inlineStr">
        <is>
          <t>As % of budget - YTD</t>
        </is>
      </c>
      <c r="D146" s="6" t="inlineStr">
        <is>
          <t>%</t>
        </is>
      </c>
      <c r="E146" s="42" t="n"/>
      <c r="F146" s="42" t="n"/>
      <c r="G146" s="42" t="n"/>
      <c r="H146" s="42">
        <f>IFERROR(SUM($E$142:H142)/SUM($E$144:H144),"")</f>
        <v/>
      </c>
      <c r="I146" s="42" t="n"/>
      <c r="J146" s="42" t="n"/>
      <c r="K146" s="42" t="n"/>
      <c r="L146" s="42">
        <f>IFERROR(SUM($E$142:L142)/SUM($E$144:L144),"")</f>
        <v/>
      </c>
      <c r="M146" s="42" t="n"/>
      <c r="N146" s="42" t="n"/>
      <c r="O146" s="42" t="n"/>
      <c r="P146" s="42" t="n"/>
      <c r="Q146" s="42">
        <f>IFERROR(SUM($E$142:Q142)/SUM($E$144:Q144),"")</f>
        <v/>
      </c>
      <c r="R146" s="42" t="n"/>
      <c r="S146" s="42" t="n"/>
      <c r="T146" s="42" t="n"/>
      <c r="U146" s="42">
        <f>IFERROR(SUM($E$142:U142)/SUM($E$144:U144),"")</f>
        <v/>
      </c>
      <c r="V146" s="42" t="n"/>
      <c r="W146" s="42" t="n"/>
      <c r="X146" s="42" t="n"/>
      <c r="Y146" s="42" t="n"/>
      <c r="Z146" s="42">
        <f>IFERROR(SUM($E$142:Z142)/SUM($E$144:Z144),"")</f>
        <v/>
      </c>
      <c r="AA146" s="42" t="n"/>
      <c r="AB146" s="42" t="n"/>
      <c r="AC146" s="42" t="n"/>
      <c r="AD146" s="42" t="n"/>
      <c r="AE146" s="42" t="n"/>
      <c r="AF146" s="42" t="n"/>
      <c r="AG146" s="42" t="n"/>
      <c r="AH146" s="42" t="n"/>
      <c r="AI146" s="42" t="n"/>
      <c r="AJ146" s="42" t="n"/>
      <c r="AK146" s="42" t="n"/>
      <c r="AL146" s="42" t="n"/>
      <c r="AM146" s="42" t="n"/>
      <c r="AN146" s="42" t="n"/>
      <c r="AO146" s="42" t="n"/>
      <c r="AP146" s="42" t="n"/>
      <c r="AQ146" s="42" t="n"/>
      <c r="AR146" s="42" t="n"/>
      <c r="AS146" s="42" t="n"/>
      <c r="AT146" s="42" t="n"/>
      <c r="AU146" s="42" t="n"/>
      <c r="AV146" s="42" t="n"/>
      <c r="AW146" s="42" t="n"/>
      <c r="AX146" s="42" t="n"/>
      <c r="AY146" s="42" t="n"/>
      <c r="AZ146" s="42" t="n"/>
      <c r="BA146" s="42" t="n"/>
      <c r="BB146" s="42" t="n"/>
      <c r="BC146" s="42" t="n"/>
      <c r="BD146" s="42" t="n"/>
    </row>
    <row r="147"/>
    <row r="148"/>
    <row r="149" customFormat="1" s="35">
      <c r="A149" s="34" t="inlineStr">
        <is>
          <t>Other Omni-channel Accounts</t>
        </is>
      </c>
      <c r="D149" s="36" t="n"/>
    </row>
    <row r="150">
      <c r="A150" s="1" t="inlineStr">
        <is>
          <t>Sell-in value</t>
        </is>
      </c>
      <c r="D150" s="24" t="inlineStr">
        <is>
          <t>$k</t>
        </is>
      </c>
      <c r="E150" s="41" t="n">
        <v>547.825</v>
      </c>
      <c r="F150" s="41" t="n">
        <v>40.265</v>
      </c>
      <c r="G150" s="41" t="n">
        <v>36.672</v>
      </c>
      <c r="H150" s="41" t="n">
        <v>69.074</v>
      </c>
      <c r="I150" s="41" t="n">
        <v>127.596</v>
      </c>
      <c r="J150" s="41" t="n">
        <v>86.351</v>
      </c>
      <c r="K150" s="41" t="n">
        <v>26.149</v>
      </c>
      <c r="L150" s="41" t="n">
        <v>44.528</v>
      </c>
      <c r="M150" s="41" t="n">
        <v>156.413</v>
      </c>
      <c r="N150" s="41" t="n">
        <v>40.758</v>
      </c>
      <c r="O150" s="41" t="n">
        <v>45.15</v>
      </c>
      <c r="P150" s="41" t="n">
        <v>48.79</v>
      </c>
      <c r="Q150" s="41" t="n">
        <v>47.999</v>
      </c>
      <c r="R150" s="41" t="n">
        <v>242.401</v>
      </c>
      <c r="S150" s="41" t="n">
        <v>45.439</v>
      </c>
      <c r="T150" s="41" t="n">
        <v>64.428</v>
      </c>
      <c r="U150" s="41" t="n">
        <v>15.019</v>
      </c>
      <c r="V150" s="41" t="n">
        <v>148.254</v>
      </c>
      <c r="W150" s="41" t="n">
        <v>28.287</v>
      </c>
      <c r="X150" s="41" t="n">
        <v>39.21</v>
      </c>
      <c r="Y150" s="41" t="n">
        <v>23.705</v>
      </c>
      <c r="Z150" s="41" t="n">
        <v>121.666</v>
      </c>
      <c r="AA150" s="41" t="n">
        <v>55.168</v>
      </c>
      <c r="AB150" s="41" t="n"/>
      <c r="AC150" s="41" t="n"/>
      <c r="AD150" s="41" t="n"/>
      <c r="AE150" s="41" t="n"/>
      <c r="AF150" s="41" t="n"/>
      <c r="AG150" s="41" t="n"/>
      <c r="AH150" s="41" t="n"/>
      <c r="AI150" s="41" t="n"/>
      <c r="AJ150" s="41" t="n"/>
      <c r="AK150" s="41" t="n"/>
      <c r="AL150" s="41" t="n"/>
      <c r="AM150" s="41" t="n"/>
      <c r="AN150" s="41" t="n"/>
      <c r="AO150" s="41" t="n"/>
      <c r="AP150" s="41" t="n"/>
      <c r="AQ150" s="41" t="n"/>
      <c r="AR150" s="41" t="n"/>
      <c r="AS150" s="41" t="n"/>
      <c r="AT150" s="41" t="n"/>
      <c r="AU150" s="41" t="n"/>
      <c r="AV150" s="41" t="n"/>
      <c r="AW150" s="41" t="n"/>
      <c r="AX150" s="41" t="n"/>
      <c r="AY150" s="41" t="n"/>
      <c r="AZ150" s="41" t="n"/>
      <c r="BA150" s="41" t="n"/>
      <c r="BB150" s="41" t="n"/>
      <c r="BC150" s="41" t="n"/>
      <c r="BD150" s="41" t="n"/>
    </row>
    <row r="151" customFormat="1" s="4">
      <c r="A151" s="3" t="n"/>
      <c r="B151" s="4" t="inlineStr">
        <is>
          <t>% of Total - YTD</t>
        </is>
      </c>
      <c r="D151" s="33" t="inlineStr">
        <is>
          <t>%</t>
        </is>
      </c>
      <c r="E151" s="42">
        <f>IFERROR(SUM($E$150:E150)/SUM($E$3:E3),"")</f>
        <v/>
      </c>
      <c r="F151" s="42">
        <f>IFERROR(SUM($E$150:F150)/SUM($E$3:F3),"")</f>
        <v/>
      </c>
      <c r="G151" s="42">
        <f>IFERROR(SUM($E$150:G150)/SUM($E$3:G3),"")</f>
        <v/>
      </c>
      <c r="H151" s="42">
        <f>IFERROR(SUM($E$150:H150)/SUM($E$3:H3),"")</f>
        <v/>
      </c>
      <c r="I151" s="42">
        <f>IFERROR(SUM($E$150:I150)/SUM($E$3:I3),"")</f>
        <v/>
      </c>
      <c r="J151" s="42">
        <f>IFERROR(SUM($E$150:J150)/SUM($E$3:J3),"")</f>
        <v/>
      </c>
      <c r="K151" s="42">
        <f>IFERROR(SUM($E$150:K150)/SUM($E$3:K3),"")</f>
        <v/>
      </c>
      <c r="L151" s="42">
        <f>IFERROR(SUM($E$150:L150)/SUM($E$3:L3),"")</f>
        <v/>
      </c>
      <c r="M151" s="42">
        <f>IFERROR(SUM($E$150:M150)/SUM($E$3:M3),"")</f>
        <v/>
      </c>
      <c r="N151" s="42">
        <f>IFERROR(SUM($E$150:N150)/SUM($E$3:N3),"")</f>
        <v/>
      </c>
      <c r="O151" s="42">
        <f>IFERROR(SUM($E$150:O150)/SUM($E$3:O3),"")</f>
        <v/>
      </c>
      <c r="P151" s="42">
        <f>IFERROR(SUM($E$150:P150)/SUM($E$3:P3),"")</f>
        <v/>
      </c>
      <c r="Q151" s="42">
        <f>IFERROR(SUM($E$150:Q150)/SUM($E$3:Q3),"")</f>
        <v/>
      </c>
      <c r="R151" s="42">
        <f>IFERROR(SUM($E$150:R150)/SUM($E$3:R3),"")</f>
        <v/>
      </c>
      <c r="S151" s="42">
        <f>IFERROR(SUM($E$150:S150)/SUM($E$3:S3),"")</f>
        <v/>
      </c>
      <c r="T151" s="42">
        <f>IFERROR(SUM($E$150:T150)/SUM($E$3:T3),"")</f>
        <v/>
      </c>
      <c r="U151" s="42">
        <f>IFERROR(SUM($E$150:U150)/SUM($E$3:U3),"")</f>
        <v/>
      </c>
      <c r="V151" s="42">
        <f>IFERROR(SUM($E$150:V150)/SUM($E$3:V3),"")</f>
        <v/>
      </c>
      <c r="W151" s="42">
        <f>IFERROR(SUM($E$150:W150)/SUM($E$3:W3),"")</f>
        <v/>
      </c>
      <c r="X151" s="42">
        <f>IFERROR(SUM($E$150:X150)/SUM($E$3:X3),"")</f>
        <v/>
      </c>
      <c r="Y151" s="42">
        <f>IFERROR(SUM($E$150:Y150)/SUM($E$3:Y3),"")</f>
        <v/>
      </c>
      <c r="Z151" s="42">
        <f>IFERROR(SUM($E$150:Z150)/SUM($E$3:Z3),"")</f>
        <v/>
      </c>
      <c r="AA151" s="42">
        <f>IFERROR(SUM($E$150:AA150)/SUM($E$3:AA3),"")</f>
        <v/>
      </c>
      <c r="AB151" s="42" t="n"/>
      <c r="AC151" s="42" t="n"/>
      <c r="AD151" s="42" t="n"/>
      <c r="AE151" s="42" t="n"/>
      <c r="AF151" s="42" t="n"/>
      <c r="AG151" s="42" t="n"/>
      <c r="AH151" s="42" t="n"/>
      <c r="AI151" s="42" t="n"/>
      <c r="AJ151" s="42" t="n"/>
      <c r="AK151" s="42" t="n"/>
      <c r="AL151" s="42" t="n"/>
      <c r="AM151" s="42" t="n"/>
      <c r="AN151" s="42" t="n"/>
      <c r="AO151" s="42" t="n"/>
      <c r="AP151" s="42" t="n"/>
      <c r="AQ151" s="42" t="n"/>
      <c r="AR151" s="42" t="n"/>
      <c r="AS151" s="42" t="n"/>
      <c r="AT151" s="42" t="n"/>
      <c r="AU151" s="42" t="n"/>
      <c r="AV151" s="42" t="n"/>
      <c r="AW151" s="42" t="n"/>
      <c r="AX151" s="42" t="n"/>
      <c r="AY151" s="42" t="n"/>
      <c r="AZ151" s="42" t="n"/>
      <c r="BA151" s="42" t="n"/>
      <c r="BB151" s="42" t="n"/>
      <c r="BC151" s="42" t="n"/>
      <c r="BD151" s="42" t="n"/>
    </row>
    <row r="152" customFormat="1" s="40">
      <c r="B152" s="40" t="inlineStr">
        <is>
          <t>% of Target</t>
        </is>
      </c>
      <c r="D152" s="8" t="inlineStr">
        <is>
          <t>%</t>
        </is>
      </c>
      <c r="E152" s="42">
        <f>IFERROR(E150/E154,"")</f>
        <v/>
      </c>
      <c r="F152" s="42">
        <f>IFERROR(F150/F154,"")</f>
        <v/>
      </c>
      <c r="G152" s="42">
        <f>IFERROR(G150/G154,"")</f>
        <v/>
      </c>
      <c r="H152" s="42">
        <f>IFERROR(H150/H154,"")</f>
        <v/>
      </c>
      <c r="I152" s="42">
        <f>IFERROR(I150/I154,"")</f>
        <v/>
      </c>
      <c r="J152" s="42">
        <f>IFERROR(J150/J154,"")</f>
        <v/>
      </c>
      <c r="K152" s="42">
        <f>IFERROR(K150/K154,"")</f>
        <v/>
      </c>
      <c r="L152" s="42">
        <f>IFERROR(L150/L154,"")</f>
        <v/>
      </c>
      <c r="M152" s="42">
        <f>IFERROR(M150/M154,"")</f>
        <v/>
      </c>
      <c r="N152" s="42">
        <f>IFERROR(N150/N154,"")</f>
        <v/>
      </c>
      <c r="O152" s="42">
        <f>IFERROR(O150/O154,"")</f>
        <v/>
      </c>
      <c r="P152" s="42">
        <f>IFERROR(P150/P154,"")</f>
        <v/>
      </c>
      <c r="Q152" s="42">
        <f>IFERROR(Q150/Q154,"")</f>
        <v/>
      </c>
      <c r="R152" s="42">
        <f>IFERROR(R150/R154,"")</f>
        <v/>
      </c>
      <c r="S152" s="42">
        <f>IFERROR(S150/S154,"")</f>
        <v/>
      </c>
      <c r="T152" s="42">
        <f>IFERROR(T150/T154,"")</f>
        <v/>
      </c>
      <c r="U152" s="42">
        <f>IFERROR(U150/U154,"")</f>
        <v/>
      </c>
      <c r="V152" s="42">
        <f>IFERROR(V150/V154,"")</f>
        <v/>
      </c>
      <c r="W152" s="42">
        <f>IFERROR(W150/W154,"")</f>
        <v/>
      </c>
      <c r="X152" s="42">
        <f>IFERROR(X150/X154,"")</f>
        <v/>
      </c>
      <c r="Y152" s="42">
        <f>IFERROR(Y150/Y154,"")</f>
        <v/>
      </c>
      <c r="Z152" s="42">
        <f>IFERROR(Z150/Z154,"")</f>
        <v/>
      </c>
      <c r="AA152" s="42">
        <f>IFERROR(AA150/AA154,"")</f>
        <v/>
      </c>
      <c r="AB152" s="42" t="n"/>
      <c r="AC152" s="42" t="n"/>
      <c r="AD152" s="42" t="n"/>
      <c r="AE152" s="42" t="n"/>
      <c r="AF152" s="42" t="n"/>
      <c r="AG152" s="42" t="n"/>
      <c r="AH152" s="42" t="n"/>
      <c r="AI152" s="42" t="n"/>
      <c r="AJ152" s="42" t="n"/>
      <c r="AK152" s="42" t="n"/>
      <c r="AL152" s="42" t="n"/>
      <c r="AM152" s="42" t="n"/>
      <c r="AN152" s="42" t="n"/>
      <c r="AO152" s="42" t="n"/>
      <c r="AP152" s="42" t="n"/>
      <c r="AQ152" s="42" t="n"/>
      <c r="AR152" s="42" t="n"/>
      <c r="AS152" s="42" t="n"/>
      <c r="AT152" s="42" t="n"/>
      <c r="AU152" s="42" t="n"/>
      <c r="AV152" s="42" t="n"/>
      <c r="AW152" s="42" t="n"/>
      <c r="AX152" s="42" t="n"/>
      <c r="AY152" s="42" t="n"/>
      <c r="AZ152" s="42" t="n"/>
      <c r="BA152" s="42" t="n"/>
      <c r="BB152" s="42" t="n"/>
      <c r="BC152" s="42" t="n"/>
      <c r="BD152" s="42" t="n"/>
    </row>
    <row r="153" ht="15.75" customFormat="1" customHeight="1" s="40">
      <c r="B153" s="40" t="inlineStr">
        <is>
          <t>% of Target - YTD</t>
        </is>
      </c>
      <c r="C153" s="16" t="n"/>
      <c r="D153" s="17" t="inlineStr">
        <is>
          <t>%</t>
        </is>
      </c>
      <c r="E153" s="42">
        <f>IFERROR(SUM($E$150:E150)/SUM($E$154:E154),"")</f>
        <v/>
      </c>
      <c r="F153" s="42">
        <f>IFERROR(SUM($E$150:F150)/SUM($E$154:F154),"")</f>
        <v/>
      </c>
      <c r="G153" s="42">
        <f>IFERROR(SUM($E$150:G150)/SUM($E$154:G154),"")</f>
        <v/>
      </c>
      <c r="H153" s="42">
        <f>IFERROR(SUM($E$150:H150)/SUM($E$154:H154),"")</f>
        <v/>
      </c>
      <c r="I153" s="42">
        <f>IFERROR(SUM($E$150:I150)/SUM($E$154:I154),"")</f>
        <v/>
      </c>
      <c r="J153" s="42">
        <f>IFERROR(SUM($E$150:J150)/SUM($E$154:J154),"")</f>
        <v/>
      </c>
      <c r="K153" s="42">
        <f>IFERROR(SUM($E$150:K150)/SUM($E$154:K154),"")</f>
        <v/>
      </c>
      <c r="L153" s="42">
        <f>IFERROR(SUM($E$150:L150)/SUM($E$154:L154),"")</f>
        <v/>
      </c>
      <c r="M153" s="42">
        <f>IFERROR(SUM($E$150:M150)/SUM($E$154:M154),"")</f>
        <v/>
      </c>
      <c r="N153" s="42">
        <f>IFERROR(SUM($E$150:N150)/SUM($E$154:N154),"")</f>
        <v/>
      </c>
      <c r="O153" s="42">
        <f>IFERROR(SUM($E$150:O150)/SUM($E$154:O154),"")</f>
        <v/>
      </c>
      <c r="P153" s="42">
        <f>IFERROR(SUM($E$150:P150)/SUM($E$154:P154),"")</f>
        <v/>
      </c>
      <c r="Q153" s="42">
        <f>IFERROR(SUM($E$150:Q150)/SUM($E$154:Q154),"")</f>
        <v/>
      </c>
      <c r="R153" s="42">
        <f>IFERROR(SUM($E$150:R150)/SUM($E$154:R154),"")</f>
        <v/>
      </c>
      <c r="S153" s="42">
        <f>IFERROR(SUM($E$150:S150)/SUM($E$154:S154),"")</f>
        <v/>
      </c>
      <c r="T153" s="42">
        <f>IFERROR(SUM($E$150:T150)/SUM($E$154:T154),"")</f>
        <v/>
      </c>
      <c r="U153" s="42">
        <f>IFERROR(SUM($E$150:U150)/SUM($E$154:U154),"")</f>
        <v/>
      </c>
      <c r="V153" s="42">
        <f>IFERROR(SUM($E$150:V150)/SUM($E$154:V154),"")</f>
        <v/>
      </c>
      <c r="W153" s="42">
        <f>IFERROR(SUM($E$150:W150)/SUM($E$154:W154),"")</f>
        <v/>
      </c>
      <c r="X153" s="42">
        <f>IFERROR(SUM($E$150:X150)/SUM($E$154:X154),"")</f>
        <v/>
      </c>
      <c r="Y153" s="42">
        <f>IFERROR(SUM($E$150:Y150)/SUM($E$154:Y154),"")</f>
        <v/>
      </c>
      <c r="Z153" s="42">
        <f>IFERROR(SUM($E$150:Z150)/SUM($E$154:Z154),"")</f>
        <v/>
      </c>
      <c r="AA153" s="42">
        <f>IFERROR(SUM($E$150:AA150)/SUM($E$154:AA154),"")</f>
        <v/>
      </c>
      <c r="AB153" s="42" t="n"/>
      <c r="AC153" s="42" t="n"/>
      <c r="AD153" s="42" t="n"/>
      <c r="AE153" s="42" t="n"/>
      <c r="AF153" s="42" t="n"/>
      <c r="AG153" s="42" t="n"/>
      <c r="AH153" s="42" t="n"/>
      <c r="AI153" s="42" t="n"/>
      <c r="AJ153" s="42" t="n"/>
      <c r="AK153" s="42" t="n"/>
      <c r="AL153" s="42" t="n"/>
      <c r="AM153" s="42" t="n"/>
      <c r="AN153" s="42" t="n"/>
      <c r="AO153" s="42" t="n"/>
      <c r="AP153" s="42" t="n"/>
      <c r="AQ153" s="42" t="n"/>
      <c r="AR153" s="42" t="n"/>
      <c r="AS153" s="42" t="n"/>
      <c r="AT153" s="42" t="n"/>
      <c r="AU153" s="42" t="n"/>
      <c r="AV153" s="42" t="n"/>
      <c r="AW153" s="42" t="n"/>
      <c r="AX153" s="42" t="n"/>
      <c r="AY153" s="42" t="n"/>
      <c r="AZ153" s="42" t="n"/>
      <c r="BA153" s="42" t="n"/>
      <c r="BB153" s="42" t="n"/>
      <c r="BC153" s="42" t="n"/>
      <c r="BD153" s="42" t="n"/>
    </row>
    <row r="154" customFormat="1" s="9">
      <c r="B154" s="9" t="inlineStr">
        <is>
          <t>Target</t>
        </is>
      </c>
      <c r="D154" s="10" t="inlineStr">
        <is>
          <t>$k</t>
        </is>
      </c>
      <c r="E154" s="41" t="n">
        <v>41.219788528</v>
      </c>
      <c r="F154" s="41" t="n">
        <v>72.134629924</v>
      </c>
      <c r="G154" s="41" t="n">
        <v>72.134629924</v>
      </c>
      <c r="H154" s="41" t="n">
        <v>72.134629924</v>
      </c>
      <c r="I154" s="41" t="n">
        <v>75.09150526799999</v>
      </c>
      <c r="J154" s="41" t="n">
        <v>92.8335</v>
      </c>
      <c r="K154" s="41" t="n">
        <v>92.8335</v>
      </c>
      <c r="L154" s="41" t="n">
        <v>92.8335</v>
      </c>
      <c r="M154" s="41" t="n">
        <v>88.96398132</v>
      </c>
      <c r="N154" s="41" t="n">
        <v>65.74612657200001</v>
      </c>
      <c r="O154" s="41" t="n">
        <v>65.74612657200001</v>
      </c>
      <c r="P154" s="41" t="n">
        <v>65.74612657200001</v>
      </c>
      <c r="Q154" s="41" t="n">
        <v>65.74612657200001</v>
      </c>
      <c r="R154" s="41" t="n">
        <v>69.526709076</v>
      </c>
      <c r="S154" s="41" t="n">
        <v>71.03869851600001</v>
      </c>
      <c r="T154" s="41" t="n">
        <v>71.03869851600001</v>
      </c>
      <c r="U154" s="41" t="n">
        <v>71.03869851600001</v>
      </c>
      <c r="V154" s="41" t="n">
        <v>77.047780446</v>
      </c>
      <c r="W154" s="41" t="n">
        <v>85.05999116999999</v>
      </c>
      <c r="X154" s="41" t="n">
        <v>85.05999116999999</v>
      </c>
      <c r="Y154" s="41" t="n">
        <v>85.05999116999999</v>
      </c>
      <c r="Z154" s="41" t="n">
        <v>85.05999116999999</v>
      </c>
      <c r="AA154" s="41" t="n">
        <v>84.886778733</v>
      </c>
      <c r="AB154" s="41" t="n"/>
      <c r="AC154" s="41" t="n"/>
      <c r="AD154" s="41" t="n"/>
      <c r="AE154" s="41" t="n"/>
      <c r="AF154" s="41" t="n"/>
      <c r="AG154" s="41" t="n"/>
      <c r="AH154" s="41" t="n"/>
      <c r="AI154" s="41" t="n"/>
      <c r="AJ154" s="41" t="n"/>
      <c r="AK154" s="41" t="n"/>
      <c r="AL154" s="41" t="n"/>
      <c r="AM154" s="41" t="n"/>
      <c r="AN154" s="41" t="n"/>
      <c r="AO154" s="41" t="n"/>
      <c r="AP154" s="41" t="n"/>
      <c r="AQ154" s="41" t="n"/>
      <c r="AR154" s="41" t="n"/>
      <c r="AS154" s="41" t="n"/>
      <c r="AT154" s="41" t="n"/>
      <c r="AU154" s="41" t="n"/>
      <c r="AV154" s="41" t="n"/>
      <c r="AW154" s="41" t="n"/>
      <c r="AX154" s="41" t="n"/>
      <c r="AY154" s="41" t="n"/>
      <c r="AZ154" s="41" t="n"/>
      <c r="BA154" s="41" t="n"/>
      <c r="BB154" s="41" t="n"/>
      <c r="BC154" s="41" t="n"/>
      <c r="BD154" s="41" t="n"/>
    </row>
    <row r="155"/>
    <row r="156">
      <c r="A156" s="1" t="inlineStr">
        <is>
          <t xml:space="preserve">Sell-through units </t>
        </is>
      </c>
      <c r="D156" s="24" t="inlineStr">
        <is>
          <t>#</t>
        </is>
      </c>
      <c r="E156" s="41" t="n">
        <v>1183</v>
      </c>
      <c r="F156" s="41" t="n">
        <v>941</v>
      </c>
      <c r="G156" s="41" t="n">
        <v>1082</v>
      </c>
      <c r="H156" s="41" t="n">
        <v>924</v>
      </c>
      <c r="I156" s="41" t="n">
        <v>828</v>
      </c>
      <c r="J156" s="41" t="n">
        <v>946</v>
      </c>
      <c r="K156" s="41" t="n">
        <v>1005</v>
      </c>
      <c r="L156" s="41" t="n">
        <v>1083</v>
      </c>
      <c r="M156" s="41" t="n">
        <v>1343</v>
      </c>
      <c r="N156" s="41" t="n">
        <v>1605</v>
      </c>
      <c r="O156" s="41" t="n">
        <v>1505</v>
      </c>
      <c r="P156" s="41" t="n">
        <v>1481</v>
      </c>
      <c r="Q156" s="41" t="n">
        <v>1379</v>
      </c>
      <c r="R156" s="41" t="n">
        <v>1296</v>
      </c>
      <c r="S156" s="41" t="n">
        <v>1032</v>
      </c>
      <c r="T156" s="41" t="n">
        <v>1062</v>
      </c>
      <c r="U156" s="41" t="n">
        <v>899</v>
      </c>
      <c r="V156" s="41" t="n">
        <v>1103</v>
      </c>
      <c r="W156" s="41" t="n">
        <v>1160</v>
      </c>
      <c r="X156" s="41" t="n">
        <v>970</v>
      </c>
      <c r="Y156" s="41" t="n">
        <v>1093</v>
      </c>
      <c r="Z156" s="41" t="n">
        <v>1082</v>
      </c>
      <c r="AA156" s="41" t="n">
        <v>1088</v>
      </c>
      <c r="AB156" s="41" t="n"/>
      <c r="AC156" s="41" t="n"/>
      <c r="AD156" s="41" t="n"/>
      <c r="AE156" s="41" t="n"/>
      <c r="AF156" s="41" t="n"/>
      <c r="AG156" s="41" t="n"/>
      <c r="AH156" s="41" t="n"/>
      <c r="AI156" s="41" t="n"/>
      <c r="AJ156" s="41" t="n"/>
      <c r="AK156" s="41" t="n"/>
      <c r="AL156" s="41" t="n"/>
      <c r="AM156" s="41" t="n"/>
      <c r="AN156" s="41" t="n"/>
      <c r="AO156" s="41" t="n"/>
      <c r="AP156" s="41" t="n"/>
      <c r="AQ156" s="41" t="n"/>
      <c r="AR156" s="41" t="n"/>
      <c r="AS156" s="41" t="n"/>
      <c r="AT156" s="41" t="n"/>
      <c r="AU156" s="41" t="n"/>
      <c r="AV156" s="41" t="n"/>
      <c r="AW156" s="41" t="n"/>
      <c r="AX156" s="41" t="n"/>
      <c r="AY156" s="41" t="n"/>
      <c r="AZ156" s="41" t="n"/>
      <c r="BA156" s="41" t="n"/>
      <c r="BB156" s="41" t="n"/>
      <c r="BC156" s="41" t="n"/>
      <c r="BD156" s="41" t="n"/>
    </row>
    <row r="157" customFormat="1" s="4">
      <c r="A157" s="3" t="n"/>
      <c r="B157" s="4" t="inlineStr">
        <is>
          <t>% of Total - YTD</t>
        </is>
      </c>
      <c r="D157" s="33" t="inlineStr">
        <is>
          <t>%</t>
        </is>
      </c>
      <c r="E157" s="42">
        <f>IFERROR(SUM($E$156:E156)/SUM($E$4:E4),"")</f>
        <v/>
      </c>
      <c r="F157" s="42">
        <f>IFERROR(SUM($E$156:F156)/SUM($E$4:F4),"")</f>
        <v/>
      </c>
      <c r="G157" s="42">
        <f>IFERROR(SUM($E$156:G156)/SUM($E$4:G4),"")</f>
        <v/>
      </c>
      <c r="H157" s="42">
        <f>IFERROR(SUM($E$156:H156)/SUM($E$4:H4),"")</f>
        <v/>
      </c>
      <c r="I157" s="42">
        <f>IFERROR(SUM($E$156:I156)/SUM($E$4:I4),"")</f>
        <v/>
      </c>
      <c r="J157" s="42">
        <f>IFERROR(SUM($E$156:J156)/SUM($E$4:J4),"")</f>
        <v/>
      </c>
      <c r="K157" s="42">
        <f>IFERROR(SUM($E$156:K156)/SUM($E$4:K4),"")</f>
        <v/>
      </c>
      <c r="L157" s="42">
        <f>IFERROR(SUM($E$156:L156)/SUM($E$4:L4),"")</f>
        <v/>
      </c>
      <c r="M157" s="42">
        <f>IFERROR(SUM($E$156:M156)/SUM($E$4:M4),"")</f>
        <v/>
      </c>
      <c r="N157" s="42">
        <f>IFERROR(SUM($E$156:N156)/SUM($E$4:N4),"")</f>
        <v/>
      </c>
      <c r="O157" s="42">
        <f>IFERROR(SUM($E$156:O156)/SUM($E$4:O4),"")</f>
        <v/>
      </c>
      <c r="P157" s="42">
        <f>IFERROR(SUM($E$156:P156)/SUM($E$4:P4),"")</f>
        <v/>
      </c>
      <c r="Q157" s="42">
        <f>IFERROR(SUM($E$156:Q156)/SUM($E$4:Q4),"")</f>
        <v/>
      </c>
      <c r="R157" s="42">
        <f>IFERROR(SUM($E$156:R156)/SUM($E$4:R4),"")</f>
        <v/>
      </c>
      <c r="S157" s="42">
        <f>IFERROR(SUM($E$156:S156)/SUM($E$4:S4),"")</f>
        <v/>
      </c>
      <c r="T157" s="42">
        <f>IFERROR(SUM($E$156:T156)/SUM($E$4:T4),"")</f>
        <v/>
      </c>
      <c r="U157" s="42">
        <f>IFERROR(SUM($E$156:U156)/SUM($E$4:U4),"")</f>
        <v/>
      </c>
      <c r="V157" s="42">
        <f>IFERROR(SUM($E$156:V156)/SUM($E$4:V4),"")</f>
        <v/>
      </c>
      <c r="W157" s="42">
        <f>IFERROR(SUM($E$156:W156)/SUM($E$4:W4),"")</f>
        <v/>
      </c>
      <c r="X157" s="42">
        <f>IFERROR(SUM($E$156:X156)/SUM($E$4:X4),"")</f>
        <v/>
      </c>
      <c r="Y157" s="42">
        <f>IFERROR(SUM($E$156:Y156)/SUM($E$4:Y4),"")</f>
        <v/>
      </c>
      <c r="Z157" s="42">
        <f>IFERROR(SUM($E$156:Z156)/SUM($E$4:Z4),"")</f>
        <v/>
      </c>
      <c r="AA157" s="42">
        <f>IFERROR(SUM($E$156:AA156)/SUM($E$4:AA4),"")</f>
        <v/>
      </c>
      <c r="AB157" s="42" t="n"/>
      <c r="AC157" s="42" t="n"/>
      <c r="AD157" s="42" t="n"/>
      <c r="AE157" s="42" t="n"/>
      <c r="AF157" s="42" t="n"/>
      <c r="AG157" s="42" t="n"/>
      <c r="AH157" s="42" t="n"/>
      <c r="AI157" s="42" t="n"/>
      <c r="AJ157" s="42" t="n"/>
      <c r="AK157" s="42" t="n"/>
      <c r="AL157" s="42" t="n"/>
      <c r="AM157" s="42" t="n"/>
      <c r="AN157" s="42" t="n"/>
      <c r="AO157" s="42" t="n"/>
      <c r="AP157" s="42" t="n"/>
      <c r="AQ157" s="42" t="n"/>
      <c r="AR157" s="42" t="n"/>
      <c r="AS157" s="42" t="n"/>
      <c r="AT157" s="42" t="n"/>
      <c r="AU157" s="42" t="n"/>
      <c r="AV157" s="42" t="n"/>
      <c r="AW157" s="42" t="n"/>
      <c r="AX157" s="42" t="n"/>
      <c r="AY157" s="42" t="n"/>
      <c r="AZ157" s="42" t="n"/>
      <c r="BA157" s="42" t="n"/>
      <c r="BB157" s="42" t="n"/>
      <c r="BC157" s="42" t="n"/>
      <c r="BD157" s="42" t="n"/>
    </row>
    <row r="158" customFormat="1" s="16">
      <c r="A158" s="15" t="n"/>
      <c r="B158" s="16" t="inlineStr">
        <is>
          <t>% of Target</t>
        </is>
      </c>
      <c r="D158" s="17" t="inlineStr">
        <is>
          <t>%</t>
        </is>
      </c>
      <c r="E158" s="42">
        <f>IFERROR(E156/E160,"")</f>
        <v/>
      </c>
      <c r="F158" s="42">
        <f>IFERROR(F156/F160,"")</f>
        <v/>
      </c>
      <c r="G158" s="42">
        <f>IFERROR(G156/G160,"")</f>
        <v/>
      </c>
      <c r="H158" s="42">
        <f>IFERROR(H156/H160,"")</f>
        <v/>
      </c>
      <c r="I158" s="42">
        <f>IFERROR(I156/I160,"")</f>
        <v/>
      </c>
      <c r="J158" s="42">
        <f>IFERROR(J156/J160,"")</f>
        <v/>
      </c>
      <c r="K158" s="42">
        <f>IFERROR(K156/K160,"")</f>
        <v/>
      </c>
      <c r="L158" s="42">
        <f>IFERROR(L156/L160,"")</f>
        <v/>
      </c>
      <c r="M158" s="42">
        <f>IFERROR(M156/M160,"")</f>
        <v/>
      </c>
      <c r="N158" s="42">
        <f>IFERROR(N156/N160,"")</f>
        <v/>
      </c>
      <c r="O158" s="42">
        <f>IFERROR(O156/O160,"")</f>
        <v/>
      </c>
      <c r="P158" s="42">
        <f>IFERROR(P156/P160,"")</f>
        <v/>
      </c>
      <c r="Q158" s="42">
        <f>IFERROR(Q156/Q160,"")</f>
        <v/>
      </c>
      <c r="R158" s="42">
        <f>IFERROR(R156/R160,"")</f>
        <v/>
      </c>
      <c r="S158" s="42">
        <f>IFERROR(S156/S160,"")</f>
        <v/>
      </c>
      <c r="T158" s="42">
        <f>IFERROR(T156/T160,"")</f>
        <v/>
      </c>
      <c r="U158" s="42">
        <f>IFERROR(U156/U160,"")</f>
        <v/>
      </c>
      <c r="V158" s="42">
        <f>IFERROR(V156/V160,"")</f>
        <v/>
      </c>
      <c r="W158" s="42">
        <f>IFERROR(W156/W160,"")</f>
        <v/>
      </c>
      <c r="X158" s="42">
        <f>IFERROR(X156/X160,"")</f>
        <v/>
      </c>
      <c r="Y158" s="42">
        <f>IFERROR(Y156/Y160,"")</f>
        <v/>
      </c>
      <c r="Z158" s="42">
        <f>IFERROR(Z156/Z160,"")</f>
        <v/>
      </c>
      <c r="AA158" s="42">
        <f>IFERROR(AA156/AA160,"")</f>
        <v/>
      </c>
      <c r="AB158" s="42" t="n"/>
      <c r="AC158" s="42" t="n"/>
      <c r="AD158" s="42" t="n"/>
      <c r="AE158" s="42" t="n"/>
      <c r="AF158" s="42" t="n"/>
      <c r="AG158" s="42" t="n"/>
      <c r="AH158" s="42" t="n"/>
      <c r="AI158" s="42" t="n"/>
      <c r="AJ158" s="42" t="n"/>
      <c r="AK158" s="42" t="n"/>
      <c r="AL158" s="42" t="n"/>
      <c r="AM158" s="42" t="n"/>
      <c r="AN158" s="42" t="n"/>
      <c r="AO158" s="42" t="n"/>
      <c r="AP158" s="42" t="n"/>
      <c r="AQ158" s="42" t="n"/>
      <c r="AR158" s="42" t="n"/>
      <c r="AS158" s="42" t="n"/>
      <c r="AT158" s="42" t="n"/>
      <c r="AU158" s="42" t="n"/>
      <c r="AV158" s="42" t="n"/>
      <c r="AW158" s="42" t="n"/>
      <c r="AX158" s="42" t="n"/>
      <c r="AY158" s="42" t="n"/>
      <c r="AZ158" s="42" t="n"/>
      <c r="BA158" s="42" t="n"/>
      <c r="BB158" s="42" t="n"/>
      <c r="BC158" s="42" t="n"/>
      <c r="BD158" s="42" t="n"/>
    </row>
    <row r="159" ht="15.75" customFormat="1" customHeight="1" s="16">
      <c r="A159" s="15" t="n"/>
      <c r="B159" s="40" t="inlineStr">
        <is>
          <t>% of Target - YTD</t>
        </is>
      </c>
      <c r="D159" s="17" t="inlineStr">
        <is>
          <t>%</t>
        </is>
      </c>
      <c r="E159" s="42">
        <f>IFERROR(SUM($E$156:E156)/SUM($E$160:E160),"")</f>
        <v/>
      </c>
      <c r="F159" s="42">
        <f>IFERROR(SUM($E$156:F156)/SUM($E$160:F160),"")</f>
        <v/>
      </c>
      <c r="G159" s="42">
        <f>IFERROR(SUM($E$156:G156)/SUM($E$160:G160),"")</f>
        <v/>
      </c>
      <c r="H159" s="42">
        <f>IFERROR(SUM($E$156:H156)/SUM($E$160:H160),"")</f>
        <v/>
      </c>
      <c r="I159" s="42">
        <f>IFERROR(SUM($E$156:I156)/SUM($E$160:I160),"")</f>
        <v/>
      </c>
      <c r="J159" s="42">
        <f>IFERROR(SUM($E$156:J156)/SUM($E$160:J160),"")</f>
        <v/>
      </c>
      <c r="K159" s="42">
        <f>IFERROR(SUM($E$156:K156)/SUM($E$160:K160),"")</f>
        <v/>
      </c>
      <c r="L159" s="42">
        <f>IFERROR(SUM($E$156:L156)/SUM($E$160:L160),"")</f>
        <v/>
      </c>
      <c r="M159" s="42">
        <f>IFERROR(SUM($E$156:M156)/SUM($E$160:M160),"")</f>
        <v/>
      </c>
      <c r="N159" s="42">
        <f>IFERROR(SUM($E$156:N156)/SUM($E$160:N160),"")</f>
        <v/>
      </c>
      <c r="O159" s="42">
        <f>IFERROR(SUM($E$156:O156)/SUM($E$160:O160),"")</f>
        <v/>
      </c>
      <c r="P159" s="42">
        <f>IFERROR(SUM($E$156:P156)/SUM($E$160:P160),"")</f>
        <v/>
      </c>
      <c r="Q159" s="42">
        <f>IFERROR(SUM($E$156:Q156)/SUM($E$160:Q160),"")</f>
        <v/>
      </c>
      <c r="R159" s="42">
        <f>IFERROR(SUM($E$156:R156)/SUM($E$160:R160),"")</f>
        <v/>
      </c>
      <c r="S159" s="42">
        <f>IFERROR(SUM($E$156:S156)/SUM($E$160:S160),"")</f>
        <v/>
      </c>
      <c r="T159" s="42">
        <f>IFERROR(SUM($E$156:T156)/SUM($E$160:T160),"")</f>
        <v/>
      </c>
      <c r="U159" s="42">
        <f>IFERROR(SUM($E$156:U156)/SUM($E$160:U160),"")</f>
        <v/>
      </c>
      <c r="V159" s="42">
        <f>IFERROR(SUM($E$156:V156)/SUM($E$160:V160),"")</f>
        <v/>
      </c>
      <c r="W159" s="42">
        <f>IFERROR(SUM($E$156:W156)/SUM($E$160:W160),"")</f>
        <v/>
      </c>
      <c r="X159" s="42">
        <f>IFERROR(SUM($E$156:X156)/SUM($E$160:X160),"")</f>
        <v/>
      </c>
      <c r="Y159" s="42">
        <f>IFERROR(SUM($E$156:Y156)/SUM($E$160:Y160),"")</f>
        <v/>
      </c>
      <c r="Z159" s="42">
        <f>IFERROR(SUM($E$156:Z156)/SUM($E$160:Z160),"")</f>
        <v/>
      </c>
      <c r="AA159" s="42">
        <f>IFERROR(SUM($E$156:AA156)/SUM($E$160:AA160),"")</f>
        <v/>
      </c>
      <c r="AB159" s="42" t="n"/>
      <c r="AC159" s="42" t="n"/>
      <c r="AD159" s="42" t="n"/>
      <c r="AE159" s="42" t="n"/>
      <c r="AF159" s="42" t="n"/>
      <c r="AG159" s="42" t="n"/>
      <c r="AH159" s="42" t="n"/>
      <c r="AI159" s="42" t="n"/>
      <c r="AJ159" s="42" t="n"/>
      <c r="AK159" s="42" t="n"/>
      <c r="AL159" s="42" t="n"/>
      <c r="AM159" s="42" t="n"/>
      <c r="AN159" s="42" t="n"/>
      <c r="AO159" s="42" t="n"/>
      <c r="AP159" s="42" t="n"/>
      <c r="AQ159" s="42" t="n"/>
      <c r="AR159" s="42" t="n"/>
      <c r="AS159" s="42" t="n"/>
      <c r="AT159" s="42" t="n"/>
      <c r="AU159" s="42" t="n"/>
      <c r="AV159" s="42" t="n"/>
      <c r="AW159" s="42" t="n"/>
      <c r="AX159" s="42" t="n"/>
      <c r="AY159" s="42" t="n"/>
      <c r="AZ159" s="42" t="n"/>
      <c r="BA159" s="42" t="n"/>
      <c r="BB159" s="42" t="n"/>
      <c r="BC159" s="42" t="n"/>
      <c r="BD159" s="42" t="n"/>
    </row>
    <row r="160" customFormat="1" s="13">
      <c r="A160" s="12" t="n"/>
      <c r="B160" s="13" t="inlineStr">
        <is>
          <t>Target</t>
        </is>
      </c>
      <c r="D160" s="14" t="inlineStr">
        <is>
          <t>#</t>
        </is>
      </c>
      <c r="E160" s="41" t="n"/>
      <c r="F160" s="41" t="n">
        <v>1085</v>
      </c>
      <c r="G160" s="41" t="n">
        <v>1056</v>
      </c>
      <c r="H160" s="41" t="n">
        <v>1056</v>
      </c>
      <c r="I160" s="41" t="n">
        <v>1033</v>
      </c>
      <c r="J160" s="41" t="n">
        <v>1935</v>
      </c>
      <c r="K160" s="41" t="n">
        <v>1162</v>
      </c>
      <c r="L160" s="41" t="n">
        <v>1248</v>
      </c>
      <c r="M160" s="41" t="n">
        <v>1452</v>
      </c>
      <c r="N160" s="41" t="n">
        <v>1133</v>
      </c>
      <c r="O160" s="41" t="n">
        <v>1056</v>
      </c>
      <c r="P160" s="41" t="n">
        <v>1083</v>
      </c>
      <c r="Q160" s="41" t="n">
        <v>975</v>
      </c>
      <c r="R160" s="41" t="n">
        <v>652</v>
      </c>
      <c r="S160" s="41" t="n">
        <v>1033</v>
      </c>
      <c r="T160" s="41" t="n">
        <v>1232</v>
      </c>
      <c r="U160" s="41" t="n">
        <v>1194</v>
      </c>
      <c r="V160" s="41" t="n">
        <v>1194</v>
      </c>
      <c r="W160" s="41" t="n">
        <v>1209</v>
      </c>
      <c r="X160" s="41" t="n">
        <v>1208</v>
      </c>
      <c r="Y160" s="41" t="n">
        <v>1561</v>
      </c>
      <c r="Z160" s="41" t="n">
        <v>1209</v>
      </c>
      <c r="AA160" s="41" t="n">
        <v>1526</v>
      </c>
      <c r="AB160" s="41" t="n"/>
      <c r="AC160" s="41" t="n"/>
      <c r="AD160" s="41" t="n"/>
      <c r="AE160" s="41" t="n"/>
      <c r="AF160" s="41" t="n"/>
      <c r="AG160" s="41" t="n"/>
      <c r="AH160" s="41" t="n"/>
      <c r="AI160" s="41" t="n"/>
      <c r="AJ160" s="41" t="n"/>
      <c r="AK160" s="41" t="n"/>
      <c r="AL160" s="41" t="n"/>
      <c r="AM160" s="41" t="n"/>
      <c r="AN160" s="41" t="n"/>
      <c r="AO160" s="41" t="n"/>
      <c r="AP160" s="41" t="n"/>
      <c r="AQ160" s="41" t="n"/>
      <c r="AR160" s="41" t="n"/>
      <c r="AS160" s="41" t="n"/>
      <c r="AT160" s="41" t="n"/>
      <c r="AU160" s="41" t="n"/>
      <c r="AV160" s="41" t="n"/>
      <c r="AW160" s="41" t="n"/>
      <c r="AX160" s="41" t="n"/>
      <c r="AY160" s="41" t="n"/>
      <c r="AZ160" s="41" t="n"/>
      <c r="BA160" s="41" t="n"/>
      <c r="BB160" s="41" t="n"/>
      <c r="BC160" s="41" t="n"/>
      <c r="BD160" s="41" t="n"/>
    </row>
    <row r="161">
      <c r="C161" s="11" t="inlineStr">
        <is>
          <t xml:space="preserve">Cam </t>
        </is>
      </c>
      <c r="D161" s="6" t="inlineStr">
        <is>
          <t>#</t>
        </is>
      </c>
      <c r="E161" s="41" t="n">
        <v>1053</v>
      </c>
      <c r="F161" s="41" t="n">
        <v>849</v>
      </c>
      <c r="G161" s="41" t="n">
        <v>960</v>
      </c>
      <c r="H161" s="41" t="n">
        <v>858</v>
      </c>
      <c r="I161" s="41" t="n">
        <v>745</v>
      </c>
      <c r="J161" s="41" t="n">
        <v>859</v>
      </c>
      <c r="K161" s="41" t="n">
        <v>894</v>
      </c>
      <c r="L161" s="41" t="n">
        <v>979</v>
      </c>
      <c r="M161" s="41" t="n">
        <v>1206</v>
      </c>
      <c r="N161" s="41" t="n">
        <v>1434</v>
      </c>
      <c r="O161" s="41" t="n">
        <v>1305</v>
      </c>
      <c r="P161" s="41" t="n">
        <v>1313</v>
      </c>
      <c r="Q161" s="41" t="n">
        <v>1278</v>
      </c>
      <c r="R161" s="41" t="n">
        <v>1210</v>
      </c>
      <c r="S161" s="41" t="n">
        <v>988</v>
      </c>
      <c r="T161" s="41" t="n">
        <v>1002</v>
      </c>
      <c r="U161" s="41" t="n">
        <v>839</v>
      </c>
      <c r="V161" s="41" t="n">
        <v>1032</v>
      </c>
      <c r="W161" s="41" t="n">
        <v>1085</v>
      </c>
      <c r="X161" s="41" t="n">
        <v>906</v>
      </c>
      <c r="Y161" s="41" t="n">
        <v>1017</v>
      </c>
      <c r="Z161" s="41" t="n">
        <v>1001</v>
      </c>
      <c r="AA161" s="41" t="n">
        <v>989</v>
      </c>
      <c r="AB161" s="41" t="n"/>
      <c r="AC161" s="41" t="n"/>
      <c r="AD161" s="41" t="n"/>
      <c r="AE161" s="41" t="n"/>
      <c r="AF161" s="41" t="n"/>
      <c r="AG161" s="41" t="n"/>
      <c r="AH161" s="41" t="n"/>
      <c r="AI161" s="41" t="n"/>
      <c r="AJ161" s="41" t="n"/>
      <c r="AK161" s="41" t="n"/>
      <c r="AL161" s="41" t="n"/>
      <c r="AM161" s="41" t="n"/>
      <c r="AN161" s="41" t="n"/>
      <c r="AO161" s="41" t="n"/>
      <c r="AP161" s="41" t="n"/>
      <c r="AQ161" s="41" t="n"/>
      <c r="AR161" s="41" t="n"/>
      <c r="AS161" s="41" t="n"/>
      <c r="AT161" s="41" t="n"/>
      <c r="AU161" s="41" t="n"/>
      <c r="AV161" s="41" t="n"/>
      <c r="AW161" s="41" t="n"/>
      <c r="AX161" s="41" t="n"/>
      <c r="AY161" s="41" t="n"/>
      <c r="AZ161" s="41" t="n"/>
      <c r="BA161" s="41" t="n"/>
      <c r="BB161" s="41" t="n"/>
      <c r="BC161" s="41" t="n"/>
      <c r="BD161" s="41" t="n"/>
    </row>
    <row r="162">
      <c r="C162" s="11" t="inlineStr">
        <is>
          <t>Non Cam</t>
        </is>
      </c>
      <c r="D162" s="6" t="inlineStr">
        <is>
          <t>#</t>
        </is>
      </c>
      <c r="E162" s="41" t="n">
        <v>130</v>
      </c>
      <c r="F162" s="41" t="n">
        <v>92</v>
      </c>
      <c r="G162" s="41" t="n">
        <v>122</v>
      </c>
      <c r="H162" s="41" t="n">
        <v>66</v>
      </c>
      <c r="I162" s="41" t="n">
        <v>83</v>
      </c>
      <c r="J162" s="41" t="n">
        <v>87</v>
      </c>
      <c r="K162" s="41" t="n">
        <v>111</v>
      </c>
      <c r="L162" s="41" t="n">
        <v>104</v>
      </c>
      <c r="M162" s="41" t="n">
        <v>137</v>
      </c>
      <c r="N162" s="41" t="n">
        <v>171</v>
      </c>
      <c r="O162" s="41" t="n">
        <v>200</v>
      </c>
      <c r="P162" s="41" t="n">
        <v>168</v>
      </c>
      <c r="Q162" s="41" t="n">
        <v>101</v>
      </c>
      <c r="R162" s="41" t="n">
        <v>86</v>
      </c>
      <c r="S162" s="41" t="n">
        <v>44</v>
      </c>
      <c r="T162" s="41" t="n">
        <v>60</v>
      </c>
      <c r="U162" s="41" t="n">
        <v>60</v>
      </c>
      <c r="V162" s="41" t="n">
        <v>71</v>
      </c>
      <c r="W162" s="41" t="n">
        <v>75</v>
      </c>
      <c r="X162" s="41" t="n">
        <v>64</v>
      </c>
      <c r="Y162" s="41" t="n">
        <v>76</v>
      </c>
      <c r="Z162" s="41" t="n">
        <v>81</v>
      </c>
      <c r="AA162" s="41" t="n">
        <v>99</v>
      </c>
      <c r="AB162" s="41" t="n"/>
      <c r="AC162" s="41" t="n"/>
      <c r="AD162" s="41" t="n"/>
      <c r="AE162" s="41" t="n"/>
      <c r="AF162" s="41" t="n"/>
      <c r="AG162" s="41" t="n"/>
      <c r="AH162" s="41" t="n"/>
      <c r="AI162" s="41" t="n"/>
      <c r="AJ162" s="41" t="n"/>
      <c r="AK162" s="41" t="n"/>
      <c r="AL162" s="41" t="n"/>
      <c r="AM162" s="41" t="n"/>
      <c r="AN162" s="41" t="n"/>
      <c r="AO162" s="41" t="n"/>
      <c r="AP162" s="41" t="n"/>
      <c r="AQ162" s="41" t="n"/>
      <c r="AR162" s="41" t="n"/>
      <c r="AS162" s="41" t="n"/>
      <c r="AT162" s="41" t="n"/>
      <c r="AU162" s="41" t="n"/>
      <c r="AV162" s="41" t="n"/>
      <c r="AW162" s="41" t="n"/>
      <c r="AX162" s="41" t="n"/>
      <c r="AY162" s="41" t="n"/>
      <c r="AZ162" s="41" t="n"/>
      <c r="BA162" s="41" t="n"/>
      <c r="BB162" s="41" t="n"/>
      <c r="BC162" s="41" t="n"/>
      <c r="BD162" s="41" t="n"/>
    </row>
    <row r="163">
      <c r="C163" s="6" t="n"/>
    </row>
    <row r="164" customFormat="1" s="1">
      <c r="A164" s="1" t="inlineStr">
        <is>
          <t xml:space="preserve">Promo </t>
        </is>
      </c>
      <c r="D164" s="24" t="inlineStr">
        <is>
          <t>$k</t>
        </is>
      </c>
      <c r="E164" s="41" t="n"/>
      <c r="F164" s="41" t="n"/>
      <c r="G164" s="41" t="n"/>
      <c r="H164" s="41" t="n"/>
      <c r="I164" s="41" t="n"/>
      <c r="J164" s="41" t="n"/>
      <c r="K164" s="41" t="n"/>
      <c r="L164" s="41" t="n"/>
      <c r="M164" s="41" t="n"/>
      <c r="N164" s="41" t="n"/>
      <c r="O164" s="41" t="n"/>
      <c r="P164" s="41" t="n"/>
      <c r="Q164" s="41" t="n">
        <v>2.57714</v>
      </c>
      <c r="R164" s="41" t="n">
        <v>0.9794299999999999</v>
      </c>
      <c r="S164" s="41" t="n">
        <v>1.91657</v>
      </c>
      <c r="T164" s="41" t="n">
        <v>2.78429</v>
      </c>
      <c r="U164" s="41" t="n">
        <v>0</v>
      </c>
      <c r="V164" s="41" t="n">
        <v>0.3</v>
      </c>
      <c r="W164" s="41" t="n">
        <v>0.17143</v>
      </c>
      <c r="X164" s="41" t="n">
        <v>0.15</v>
      </c>
      <c r="Y164" s="41" t="n">
        <v>2.365</v>
      </c>
      <c r="Z164" s="41" t="n">
        <v>1.44429</v>
      </c>
      <c r="AA164" s="41" t="n"/>
      <c r="AB164" s="41" t="n"/>
      <c r="AC164" s="41" t="n"/>
      <c r="AD164" s="41" t="n"/>
      <c r="AE164" s="41" t="n"/>
      <c r="AF164" s="41" t="n"/>
      <c r="AG164" s="41" t="n"/>
      <c r="AH164" s="41" t="n"/>
      <c r="AI164" s="41" t="n"/>
      <c r="AJ164" s="41" t="n"/>
      <c r="AK164" s="41" t="n"/>
      <c r="AL164" s="41" t="n"/>
      <c r="AM164" s="41" t="n"/>
      <c r="AN164" s="41" t="n"/>
      <c r="AO164" s="41" t="n"/>
      <c r="AP164" s="41" t="n"/>
      <c r="AQ164" s="41" t="n"/>
      <c r="AR164" s="41" t="n"/>
      <c r="AS164" s="41" t="n"/>
      <c r="AT164" s="41" t="n"/>
      <c r="AU164" s="41" t="n"/>
      <c r="AV164" s="41" t="n"/>
      <c r="AW164" s="41" t="n"/>
      <c r="AX164" s="41" t="n"/>
      <c r="AY164" s="41" t="n"/>
      <c r="AZ164" s="41" t="n"/>
      <c r="BA164" s="41" t="n"/>
      <c r="BB164" s="41" t="n"/>
      <c r="BC164" s="41" t="n"/>
      <c r="BD164" s="41" t="n"/>
    </row>
    <row r="165" ht="15.75" customFormat="1" customHeight="1" s="1">
      <c r="B165" s="31" t="inlineStr">
        <is>
          <t>Finance Actuals (Monthly)</t>
        </is>
      </c>
      <c r="D165" s="32" t="inlineStr">
        <is>
          <t>$k</t>
        </is>
      </c>
      <c r="E165" s="41" t="n"/>
      <c r="F165" s="41" t="n"/>
      <c r="G165" s="41" t="n"/>
      <c r="H165" s="41" t="n">
        <v>0.1392</v>
      </c>
      <c r="I165" s="41" t="n"/>
      <c r="J165" s="41" t="n"/>
      <c r="K165" s="41" t="n"/>
      <c r="L165" s="41" t="n">
        <v>0.28357</v>
      </c>
      <c r="M165" s="41" t="n"/>
      <c r="N165" s="41" t="n"/>
      <c r="O165" s="41" t="n"/>
      <c r="P165" s="41" t="n"/>
      <c r="Q165" s="41" t="n">
        <v>28.59598</v>
      </c>
      <c r="R165" s="41" t="n"/>
      <c r="S165" s="41" t="n"/>
      <c r="T165" s="41" t="n"/>
      <c r="U165" s="41" t="n">
        <v>5.506729999999999</v>
      </c>
      <c r="V165" s="41" t="n"/>
      <c r="W165" s="41" t="n"/>
      <c r="X165" s="41" t="n"/>
      <c r="Y165" s="41" t="n"/>
      <c r="Z165" s="41" t="n">
        <v>9.53669</v>
      </c>
      <c r="AA165" s="41" t="n"/>
      <c r="AB165" s="41" t="n"/>
      <c r="AC165" s="41" t="n"/>
      <c r="AD165" s="41" t="n"/>
      <c r="AE165" s="41" t="n"/>
      <c r="AF165" s="41" t="n"/>
      <c r="AG165" s="41" t="n"/>
      <c r="AH165" s="41" t="n"/>
      <c r="AI165" s="41" t="n"/>
      <c r="AJ165" s="41" t="n"/>
      <c r="AK165" s="41" t="n"/>
      <c r="AL165" s="41" t="n"/>
      <c r="AM165" s="41" t="n"/>
      <c r="AN165" s="41" t="n"/>
      <c r="AO165" s="41" t="n"/>
      <c r="AP165" s="41" t="n"/>
      <c r="AQ165" s="41" t="n"/>
      <c r="AR165" s="41" t="n"/>
      <c r="AS165" s="41" t="n"/>
      <c r="AT165" s="41" t="n"/>
      <c r="AU165" s="41" t="n"/>
      <c r="AV165" s="41" t="n"/>
      <c r="AW165" s="41" t="n"/>
      <c r="AX165" s="41" t="n"/>
      <c r="AY165" s="41" t="n"/>
      <c r="AZ165" s="41" t="n"/>
      <c r="BA165" s="41" t="n"/>
      <c r="BB165" s="41" t="n"/>
      <c r="BC165" s="41" t="n"/>
      <c r="BD165" s="41" t="n"/>
    </row>
    <row r="166" customFormat="1" s="9">
      <c r="B166" s="9" t="inlineStr">
        <is>
          <t>Budgeted (Monthly)</t>
        </is>
      </c>
      <c r="D166" s="10" t="inlineStr">
        <is>
          <t>$k</t>
        </is>
      </c>
      <c r="E166" s="41" t="n"/>
      <c r="F166" s="41" t="n"/>
      <c r="G166" s="41" t="n"/>
      <c r="H166" s="41" t="n">
        <v>0</v>
      </c>
      <c r="I166" s="41" t="n"/>
      <c r="J166" s="41" t="n"/>
      <c r="K166" s="41" t="n"/>
      <c r="L166" s="41" t="n">
        <v>0</v>
      </c>
      <c r="M166" s="41" t="n"/>
      <c r="N166" s="41" t="n"/>
      <c r="O166" s="41" t="n"/>
      <c r="P166" s="41" t="n"/>
      <c r="Q166" s="41" t="n">
        <v>5.535</v>
      </c>
      <c r="R166" s="41" t="n"/>
      <c r="S166" s="41" t="n"/>
      <c r="T166" s="41" t="n"/>
      <c r="U166" s="41" t="n">
        <v>6.835</v>
      </c>
      <c r="V166" s="41" t="n"/>
      <c r="W166" s="41" t="n"/>
      <c r="X166" s="41" t="n"/>
      <c r="Y166" s="41" t="n"/>
      <c r="Z166" s="41" t="n">
        <v>3.705</v>
      </c>
      <c r="AA166" s="41" t="n"/>
      <c r="AB166" s="41" t="n"/>
      <c r="AC166" s="41" t="n"/>
      <c r="AD166" s="41" t="n">
        <v>6.835</v>
      </c>
      <c r="AE166" s="41" t="n"/>
      <c r="AF166" s="41" t="n"/>
      <c r="AG166" s="41" t="n"/>
      <c r="AH166" s="41" t="n">
        <v>7.964285714285714</v>
      </c>
      <c r="AI166" s="41" t="n"/>
      <c r="AJ166" s="41" t="n"/>
      <c r="AK166" s="41" t="n"/>
      <c r="AL166" s="41" t="n"/>
      <c r="AM166" s="41" t="n">
        <v>0.7785714285714286</v>
      </c>
      <c r="AN166" s="41" t="n"/>
      <c r="AO166" s="41" t="n"/>
      <c r="AP166" s="41" t="n"/>
      <c r="AQ166" s="41" t="n">
        <v>3.707142857142857</v>
      </c>
      <c r="AR166" s="41" t="n"/>
      <c r="AS166" s="41" t="n"/>
      <c r="AT166" s="41" t="n"/>
      <c r="AU166" s="41" t="n">
        <v>7.885</v>
      </c>
      <c r="AV166" s="41" t="n"/>
      <c r="AW166" s="41" t="n"/>
      <c r="AX166" s="41" t="n"/>
      <c r="AY166" s="41" t="n"/>
      <c r="AZ166" s="41" t="n">
        <v>14.848</v>
      </c>
      <c r="BA166" s="41" t="n"/>
      <c r="BB166" s="41" t="n"/>
      <c r="BC166" s="41" t="n"/>
      <c r="BD166" s="41" t="n">
        <v>22.272</v>
      </c>
    </row>
    <row r="167">
      <c r="B167" t="inlineStr">
        <is>
          <t>As % of budget - this month</t>
        </is>
      </c>
      <c r="D167" s="6" t="inlineStr">
        <is>
          <t>%</t>
        </is>
      </c>
      <c r="E167" s="42" t="n"/>
      <c r="F167" s="42" t="n"/>
      <c r="G167" s="42" t="n"/>
      <c r="H167" s="42">
        <f>IFERROR(SUM(E164:H164)/H166,"")</f>
        <v/>
      </c>
      <c r="I167" s="42" t="n"/>
      <c r="J167" s="42" t="n"/>
      <c r="K167" s="42" t="n"/>
      <c r="L167" s="42">
        <f>IFERROR(SUM(I164:L164)/L166,"")</f>
        <v/>
      </c>
      <c r="M167" s="42" t="n"/>
      <c r="N167" s="42" t="n"/>
      <c r="O167" s="42" t="n"/>
      <c r="P167" s="42" t="n"/>
      <c r="Q167" s="42">
        <f>IFERROR(SUM(M164:Q164)/Q166,"")</f>
        <v/>
      </c>
      <c r="R167" s="42" t="n"/>
      <c r="S167" s="42" t="n"/>
      <c r="T167" s="42" t="n"/>
      <c r="U167" s="42">
        <f>IFERROR(SUM(R164:U164)/U166,"")</f>
        <v/>
      </c>
      <c r="V167" s="42" t="n"/>
      <c r="W167" s="42" t="n"/>
      <c r="X167" s="42" t="n"/>
      <c r="Y167" s="42" t="n"/>
      <c r="Z167" s="42">
        <f>IFERROR(SUM(V164:Z164)/Z166,"")</f>
        <v/>
      </c>
      <c r="AA167" s="42" t="n"/>
      <c r="AB167" s="42" t="n"/>
      <c r="AC167" s="42" t="n"/>
      <c r="AD167" s="42" t="n"/>
      <c r="AE167" s="42" t="n"/>
      <c r="AF167" s="42" t="n"/>
      <c r="AG167" s="42" t="n"/>
      <c r="AH167" s="42" t="n"/>
      <c r="AI167" s="42" t="n"/>
      <c r="AJ167" s="42" t="n"/>
      <c r="AK167" s="42" t="n"/>
      <c r="AL167" s="42" t="n"/>
      <c r="AM167" s="42" t="n"/>
      <c r="AN167" s="42" t="n"/>
      <c r="AO167" s="42" t="n"/>
      <c r="AP167" s="42" t="n"/>
      <c r="AQ167" s="42" t="n"/>
      <c r="AR167" s="42" t="n"/>
      <c r="AS167" s="42" t="n"/>
      <c r="AT167" s="42" t="n"/>
      <c r="AU167" s="42" t="n"/>
      <c r="AV167" s="42" t="n"/>
      <c r="AW167" s="42" t="n"/>
      <c r="AX167" s="42" t="n"/>
      <c r="AY167" s="42" t="n"/>
      <c r="AZ167" s="42" t="n"/>
      <c r="BA167" s="42" t="n"/>
      <c r="BB167" s="42" t="n"/>
      <c r="BC167" s="42" t="n"/>
      <c r="BD167" s="42" t="n"/>
    </row>
    <row r="168">
      <c r="B168" t="inlineStr">
        <is>
          <t>As % of budget - YTD</t>
        </is>
      </c>
      <c r="D168" s="6" t="inlineStr">
        <is>
          <t>%</t>
        </is>
      </c>
      <c r="E168" s="42" t="n"/>
      <c r="F168" s="42" t="n"/>
      <c r="G168" s="42" t="n"/>
      <c r="H168" s="42">
        <f>IFERROR(SUM($E$164:H164)/SUM($E$166:H166),"")</f>
        <v/>
      </c>
      <c r="I168" s="42" t="n"/>
      <c r="J168" s="42" t="n"/>
      <c r="K168" s="42" t="n"/>
      <c r="L168" s="42">
        <f>IFERROR(SUM($E$164:L164)/SUM($E$166:L166),"")</f>
        <v/>
      </c>
      <c r="M168" s="42" t="n"/>
      <c r="N168" s="42" t="n"/>
      <c r="O168" s="42" t="n"/>
      <c r="P168" s="42" t="n"/>
      <c r="Q168" s="42">
        <f>IFERROR(SUM($E$164:Q164)/SUM($E$166:Q166),"")</f>
        <v/>
      </c>
      <c r="R168" s="42" t="n"/>
      <c r="S168" s="42" t="n"/>
      <c r="T168" s="42" t="n"/>
      <c r="U168" s="42">
        <f>IFERROR(SUM($E$164:U164)/SUM($E$166:U166),"")</f>
        <v/>
      </c>
      <c r="V168" s="42" t="n"/>
      <c r="W168" s="42" t="n"/>
      <c r="X168" s="42" t="n"/>
      <c r="Y168" s="42" t="n"/>
      <c r="Z168" s="42">
        <f>IFERROR(SUM($E$164:Z164)/SUM($E$166:Z166),"")</f>
        <v/>
      </c>
      <c r="AA168" s="42" t="n"/>
      <c r="AB168" s="42" t="n"/>
      <c r="AC168" s="42" t="n"/>
      <c r="AD168" s="42" t="n"/>
      <c r="AE168" s="42" t="n"/>
      <c r="AF168" s="42" t="n"/>
      <c r="AG168" s="42" t="n"/>
      <c r="AH168" s="42" t="n"/>
      <c r="AI168" s="42" t="n"/>
      <c r="AJ168" s="42" t="n"/>
      <c r="AK168" s="42" t="n"/>
      <c r="AL168" s="42" t="n"/>
      <c r="AM168" s="42" t="n"/>
      <c r="AN168" s="42" t="n"/>
      <c r="AO168" s="42" t="n"/>
      <c r="AP168" s="42" t="n"/>
      <c r="AQ168" s="42" t="n"/>
      <c r="AR168" s="42" t="n"/>
      <c r="AS168" s="42" t="n"/>
      <c r="AT168" s="42" t="n"/>
      <c r="AU168" s="42" t="n"/>
      <c r="AV168" s="42" t="n"/>
      <c r="AW168" s="42" t="n"/>
      <c r="AX168" s="42" t="n"/>
      <c r="AY168" s="42" t="n"/>
      <c r="AZ168" s="42" t="n"/>
      <c r="BA168" s="42" t="n"/>
      <c r="BB168" s="42" t="n"/>
      <c r="BC168" s="42" t="n"/>
      <c r="BD168" s="42" t="n"/>
    </row>
    <row r="169"/>
    <row r="170" ht="15.75" customFormat="1" customHeight="1" s="1">
      <c r="A170" s="1" t="inlineStr">
        <is>
          <t>Total marketing</t>
        </is>
      </c>
      <c r="D170" s="24" t="inlineStr">
        <is>
          <t>$k</t>
        </is>
      </c>
      <c r="E170" s="41" t="n"/>
      <c r="F170" s="41" t="n"/>
      <c r="G170" s="41" t="n"/>
      <c r="H170" s="41" t="n"/>
      <c r="I170" s="41" t="n"/>
      <c r="J170" s="41" t="n"/>
      <c r="K170" s="41" t="n"/>
      <c r="L170" s="41" t="n"/>
      <c r="M170" s="41" t="n"/>
      <c r="N170" s="41" t="n"/>
      <c r="O170" s="41" t="n"/>
      <c r="P170" s="41" t="n"/>
      <c r="Q170" s="41" t="n"/>
      <c r="R170" s="41" t="n"/>
      <c r="S170" s="41" t="n"/>
      <c r="T170" s="41" t="n"/>
      <c r="U170" s="41" t="n"/>
      <c r="V170" s="41" t="n"/>
      <c r="W170" s="41" t="n"/>
      <c r="X170" s="41" t="n"/>
      <c r="Y170" s="41" t="n"/>
      <c r="Z170" s="41" t="n"/>
      <c r="AA170" s="41" t="n"/>
      <c r="AB170" s="41" t="n"/>
      <c r="AC170" s="41" t="n"/>
      <c r="AD170" s="41" t="n"/>
      <c r="AE170" s="41" t="n"/>
      <c r="AF170" s="41" t="n"/>
      <c r="AG170" s="41" t="n"/>
      <c r="AH170" s="41" t="n"/>
      <c r="AI170" s="41" t="n"/>
      <c r="AJ170" s="41" t="n"/>
      <c r="AK170" s="41" t="n"/>
      <c r="AL170" s="41" t="n"/>
      <c r="AM170" s="41" t="n"/>
      <c r="AN170" s="41" t="n"/>
      <c r="AO170" s="41" t="n"/>
      <c r="AP170" s="41" t="n"/>
      <c r="AQ170" s="41" t="n"/>
      <c r="AR170" s="41" t="n"/>
      <c r="AS170" s="41" t="n"/>
      <c r="AT170" s="41" t="n"/>
      <c r="AU170" s="41" t="n"/>
      <c r="AV170" s="41" t="n"/>
      <c r="AW170" s="41" t="n"/>
      <c r="AX170" s="41" t="n"/>
      <c r="AY170" s="41" t="n"/>
      <c r="AZ170" s="41" t="n"/>
      <c r="BA170" s="41" t="n"/>
      <c r="BB170" s="41" t="n"/>
      <c r="BC170" s="41" t="n"/>
      <c r="BD170" s="41" t="n"/>
    </row>
    <row r="171" ht="15.75" customFormat="1" customHeight="1" s="1">
      <c r="B171" s="31" t="inlineStr">
        <is>
          <t>Finance Actuals (Monthly)</t>
        </is>
      </c>
      <c r="D171" s="32" t="inlineStr">
        <is>
          <t>$k</t>
        </is>
      </c>
      <c r="E171" s="41" t="n"/>
      <c r="F171" s="41" t="n"/>
      <c r="G171" s="41" t="n"/>
      <c r="H171" s="41" t="n">
        <v>61.06405</v>
      </c>
      <c r="I171" s="41" t="n"/>
      <c r="J171" s="41" t="n"/>
      <c r="K171" s="41" t="n"/>
      <c r="L171" s="41" t="n">
        <v>31.91349</v>
      </c>
      <c r="M171" s="41" t="n"/>
      <c r="N171" s="41" t="n"/>
      <c r="O171" s="41" t="n"/>
      <c r="P171" s="41" t="n"/>
      <c r="Q171" s="41" t="n">
        <v>55.091</v>
      </c>
      <c r="R171" s="41" t="n"/>
      <c r="S171" s="41" t="n"/>
      <c r="T171" s="41" t="n"/>
      <c r="U171" s="41" t="n">
        <v>0.32444</v>
      </c>
      <c r="V171" s="41" t="n"/>
      <c r="W171" s="41" t="n"/>
      <c r="X171" s="41" t="n"/>
      <c r="Y171" s="41" t="n"/>
      <c r="Z171" s="41" t="n">
        <v>76.44851</v>
      </c>
      <c r="AA171" s="41" t="n"/>
      <c r="AB171" s="41" t="n"/>
      <c r="AC171" s="41" t="n"/>
      <c r="AD171" s="41" t="n"/>
      <c r="AE171" s="41" t="n"/>
      <c r="AF171" s="41" t="n"/>
      <c r="AG171" s="41" t="n"/>
      <c r="AH171" s="41" t="n"/>
      <c r="AI171" s="41" t="n"/>
      <c r="AJ171" s="41" t="n"/>
      <c r="AK171" s="41" t="n"/>
      <c r="AL171" s="41" t="n"/>
      <c r="AM171" s="41" t="n"/>
      <c r="AN171" s="41" t="n"/>
      <c r="AO171" s="41" t="n"/>
      <c r="AP171" s="41" t="n"/>
      <c r="AQ171" s="41" t="n"/>
      <c r="AR171" s="41" t="n"/>
      <c r="AS171" s="41" t="n"/>
      <c r="AT171" s="41" t="n"/>
      <c r="AU171" s="41" t="n"/>
      <c r="AV171" s="41" t="n"/>
      <c r="AW171" s="41" t="n"/>
      <c r="AX171" s="41" t="n"/>
      <c r="AY171" s="41" t="n"/>
      <c r="AZ171" s="41" t="n"/>
      <c r="BA171" s="41" t="n"/>
      <c r="BB171" s="41" t="n"/>
      <c r="BC171" s="41" t="n"/>
      <c r="BD171" s="41" t="n"/>
    </row>
    <row r="172" ht="15.75" customHeight="1">
      <c r="B172" s="9" t="inlineStr">
        <is>
          <t>Budgeted (Monthly)</t>
        </is>
      </c>
      <c r="C172" s="9" t="n"/>
      <c r="D172" s="10" t="inlineStr">
        <is>
          <t>$k</t>
        </is>
      </c>
      <c r="E172" s="41" t="n"/>
      <c r="F172" s="41" t="n"/>
      <c r="G172" s="41" t="n"/>
      <c r="H172" s="41" t="n">
        <v>56.66666666666667</v>
      </c>
      <c r="I172" s="41" t="n"/>
      <c r="J172" s="41" t="n"/>
      <c r="K172" s="41" t="n"/>
      <c r="L172" s="41" t="n">
        <v>56.66666666666667</v>
      </c>
      <c r="M172" s="41" t="n"/>
      <c r="N172" s="41" t="n"/>
      <c r="O172" s="41" t="n"/>
      <c r="P172" s="41" t="n"/>
      <c r="Q172" s="41" t="n">
        <v>56.66666666666667</v>
      </c>
      <c r="R172" s="41" t="n"/>
      <c r="S172" s="41" t="n"/>
      <c r="T172" s="41" t="n"/>
      <c r="U172" s="41" t="n">
        <v>56.66666666666667</v>
      </c>
      <c r="V172" s="41" t="n"/>
      <c r="W172" s="41" t="n"/>
      <c r="X172" s="41" t="n"/>
      <c r="Y172" s="41" t="n"/>
      <c r="Z172" s="41" t="n">
        <v>56.66666666666667</v>
      </c>
      <c r="AA172" s="41" t="n"/>
      <c r="AB172" s="41" t="n"/>
      <c r="AC172" s="41" t="n"/>
      <c r="AD172" s="41" t="n">
        <v>56.66666666666667</v>
      </c>
      <c r="AE172" s="41" t="n"/>
      <c r="AF172" s="41" t="n"/>
      <c r="AG172" s="41" t="n"/>
      <c r="AH172" s="41" t="n">
        <v>56.66666666666667</v>
      </c>
      <c r="AI172" s="41" t="n"/>
      <c r="AJ172" s="41" t="n"/>
      <c r="AK172" s="41" t="n"/>
      <c r="AL172" s="41" t="n"/>
      <c r="AM172" s="41" t="n">
        <v>56.66666666666667</v>
      </c>
      <c r="AN172" s="41" t="n"/>
      <c r="AO172" s="41" t="n"/>
      <c r="AP172" s="41" t="n"/>
      <c r="AQ172" s="41" t="n">
        <v>56.66666666666667</v>
      </c>
      <c r="AR172" s="41" t="n"/>
      <c r="AS172" s="41" t="n"/>
      <c r="AT172" s="41" t="n"/>
      <c r="AU172" s="41" t="n">
        <v>73.33333333333334</v>
      </c>
      <c r="AV172" s="41" t="n"/>
      <c r="AW172" s="41" t="n"/>
      <c r="AX172" s="41" t="n"/>
      <c r="AY172" s="41" t="n"/>
      <c r="AZ172" s="41" t="n">
        <v>73.33333333333334</v>
      </c>
      <c r="BA172" s="41" t="n"/>
      <c r="BB172" s="41" t="n"/>
      <c r="BC172" s="41" t="n"/>
      <c r="BD172" s="41" t="n">
        <v>73.33333333333334</v>
      </c>
    </row>
    <row r="173">
      <c r="B173" t="inlineStr">
        <is>
          <t>As % of budget - this month</t>
        </is>
      </c>
      <c r="D173" s="6" t="inlineStr">
        <is>
          <t>%</t>
        </is>
      </c>
      <c r="E173" s="42" t="n"/>
      <c r="F173" s="42" t="n"/>
      <c r="G173" s="42" t="n"/>
      <c r="H173" s="42">
        <f>IFERROR(SUM(E170:H170)/H172,"")</f>
        <v/>
      </c>
      <c r="I173" s="42" t="n"/>
      <c r="J173" s="42" t="n"/>
      <c r="K173" s="42" t="n"/>
      <c r="L173" s="42">
        <f>IFERROR(SUM(I170:L170)/L172,"")</f>
        <v/>
      </c>
      <c r="M173" s="42" t="n"/>
      <c r="N173" s="42" t="n"/>
      <c r="O173" s="42" t="n"/>
      <c r="P173" s="42" t="n"/>
      <c r="Q173" s="42">
        <f>IFERROR(SUM(M170:Q170)/Q172,"")</f>
        <v/>
      </c>
      <c r="R173" s="42" t="n"/>
      <c r="S173" s="42" t="n"/>
      <c r="T173" s="42" t="n"/>
      <c r="U173" s="42">
        <f>IFERROR(SUM(R170:U170)/U172,"")</f>
        <v/>
      </c>
      <c r="V173" s="42" t="n"/>
      <c r="W173" s="42" t="n"/>
      <c r="X173" s="42" t="n"/>
      <c r="Y173" s="42" t="n"/>
      <c r="Z173" s="42">
        <f>IFERROR(SUM(V170:Z170)/Z172,"")</f>
        <v/>
      </c>
      <c r="AA173" s="42" t="n"/>
      <c r="AB173" s="42" t="n"/>
      <c r="AC173" s="42" t="n"/>
      <c r="AD173" s="42" t="n"/>
      <c r="AE173" s="42" t="n"/>
      <c r="AF173" s="42" t="n"/>
      <c r="AG173" s="42" t="n"/>
      <c r="AH173" s="42" t="n"/>
      <c r="AI173" s="42" t="n"/>
      <c r="AJ173" s="42" t="n"/>
      <c r="AK173" s="42" t="n"/>
      <c r="AL173" s="42" t="n"/>
      <c r="AM173" s="42" t="n"/>
      <c r="AN173" s="42" t="n"/>
      <c r="AO173" s="42" t="n"/>
      <c r="AP173" s="42" t="n"/>
      <c r="AQ173" s="42" t="n"/>
      <c r="AR173" s="42" t="n"/>
      <c r="AS173" s="42" t="n"/>
      <c r="AT173" s="42" t="n"/>
      <c r="AU173" s="42" t="n"/>
      <c r="AV173" s="42" t="n"/>
      <c r="AW173" s="42" t="n"/>
      <c r="AX173" s="42" t="n"/>
      <c r="AY173" s="42" t="n"/>
      <c r="AZ173" s="42" t="n"/>
      <c r="BA173" s="42" t="n"/>
      <c r="BB173" s="42" t="n"/>
      <c r="BC173" s="42" t="n"/>
      <c r="BD173" s="42" t="n"/>
    </row>
    <row r="174">
      <c r="B174" t="inlineStr">
        <is>
          <t>As % of budget - YTD</t>
        </is>
      </c>
      <c r="D174" s="6" t="inlineStr">
        <is>
          <t>%</t>
        </is>
      </c>
      <c r="E174" s="42" t="n"/>
      <c r="F174" s="42" t="n"/>
      <c r="G174" s="42" t="n"/>
      <c r="H174" s="42">
        <f>IFERROR(SUM($E$170:H170)/SUM($E$172:H172),"")</f>
        <v/>
      </c>
      <c r="I174" s="42" t="n"/>
      <c r="J174" s="42" t="n"/>
      <c r="K174" s="42" t="n"/>
      <c r="L174" s="42">
        <f>IFERROR(SUM($E$170:L170)/SUM($E$172:L172),"")</f>
        <v/>
      </c>
      <c r="M174" s="42" t="n"/>
      <c r="N174" s="42" t="n"/>
      <c r="O174" s="42" t="n"/>
      <c r="P174" s="42" t="n"/>
      <c r="Q174" s="42">
        <f>IFERROR(SUM($E$170:Q170)/SUM($E$172:Q172),"")</f>
        <v/>
      </c>
      <c r="R174" s="42" t="n"/>
      <c r="S174" s="42" t="n"/>
      <c r="T174" s="42" t="n"/>
      <c r="U174" s="42">
        <f>IFERROR(SUM($E$170:U170)/SUM($E$172:U172),"")</f>
        <v/>
      </c>
      <c r="V174" s="42" t="n"/>
      <c r="W174" s="42" t="n"/>
      <c r="X174" s="42" t="n"/>
      <c r="Y174" s="42" t="n"/>
      <c r="Z174" s="42">
        <f>IFERROR(SUM($E$170:Z170)/SUM($E$172:Z172),"")</f>
        <v/>
      </c>
      <c r="AA174" s="42" t="n"/>
      <c r="AB174" s="42" t="n"/>
      <c r="AC174" s="42" t="n"/>
      <c r="AD174" s="42" t="n"/>
      <c r="AE174" s="42" t="n"/>
      <c r="AF174" s="42" t="n"/>
      <c r="AG174" s="42" t="n"/>
      <c r="AH174" s="42" t="n"/>
      <c r="AI174" s="42" t="n"/>
      <c r="AJ174" s="42" t="n"/>
      <c r="AK174" s="42" t="n"/>
      <c r="AL174" s="42" t="n"/>
      <c r="AM174" s="42" t="n"/>
      <c r="AN174" s="42" t="n"/>
      <c r="AO174" s="42" t="n"/>
      <c r="AP174" s="42" t="n"/>
      <c r="AQ174" s="42" t="n"/>
      <c r="AR174" s="42" t="n"/>
      <c r="AS174" s="42" t="n"/>
      <c r="AT174" s="42" t="n"/>
      <c r="AU174" s="42" t="n"/>
      <c r="AV174" s="42" t="n"/>
      <c r="AW174" s="42" t="n"/>
      <c r="AX174" s="42" t="n"/>
      <c r="AY174" s="42" t="n"/>
      <c r="AZ174" s="42" t="n"/>
      <c r="BA174" s="42" t="n"/>
      <c r="BB174" s="42" t="n"/>
      <c r="BC174" s="42" t="n"/>
      <c r="BD174" s="42" t="n"/>
    </row>
    <row r="175"/>
    <row r="176"/>
    <row r="177" customFormat="1" s="38">
      <c r="A177" s="37" t="inlineStr">
        <is>
          <t>TikTok Shop</t>
        </is>
      </c>
      <c r="D177" s="39" t="n"/>
    </row>
    <row r="178">
      <c r="A178" s="1" t="inlineStr">
        <is>
          <t>Sell-in value</t>
        </is>
      </c>
      <c r="D178" s="24" t="inlineStr">
        <is>
          <t>$k</t>
        </is>
      </c>
      <c r="E178" s="41" t="n">
        <v>328.4168911862</v>
      </c>
      <c r="F178" s="41" t="n">
        <v>209.989</v>
      </c>
      <c r="G178" s="41" t="n">
        <v>189.466</v>
      </c>
      <c r="H178" s="41" t="n">
        <v>190.482</v>
      </c>
      <c r="I178" s="41" t="n">
        <v>269.9673460942</v>
      </c>
      <c r="J178" s="41" t="n">
        <v>114.952</v>
      </c>
      <c r="K178" s="41" t="n">
        <v>200.984</v>
      </c>
      <c r="L178" s="41" t="n">
        <v>312.18</v>
      </c>
      <c r="M178" s="41" t="n">
        <v>416.6206320925</v>
      </c>
      <c r="N178" s="41" t="n">
        <v>185.849</v>
      </c>
      <c r="O178" s="41" t="n">
        <v>161.798</v>
      </c>
      <c r="P178" s="41" t="n">
        <v>264.673</v>
      </c>
      <c r="Q178" s="41" t="n">
        <v>301.588</v>
      </c>
      <c r="R178" s="41" t="n">
        <v>243.9297069575</v>
      </c>
      <c r="S178" s="41" t="n">
        <v>118.327</v>
      </c>
      <c r="T178" s="41" t="n">
        <v>207.45</v>
      </c>
      <c r="U178" s="41" t="n">
        <v>222.691</v>
      </c>
      <c r="V178" s="41" t="n">
        <v>273.13858402</v>
      </c>
      <c r="W178" s="41" t="n">
        <v>97.93000000000001</v>
      </c>
      <c r="X178" s="41" t="n">
        <v>96.291</v>
      </c>
      <c r="Y178" s="41" t="n">
        <v>199.012</v>
      </c>
      <c r="Z178" s="41" t="n">
        <v>262.069097147</v>
      </c>
      <c r="AA178" s="41" t="n">
        <v>126.1374</v>
      </c>
      <c r="AB178" s="41" t="n"/>
      <c r="AC178" s="41" t="n"/>
      <c r="AD178" s="41" t="n"/>
      <c r="AE178" s="41" t="n"/>
      <c r="AF178" s="41" t="n"/>
      <c r="AG178" s="41" t="n"/>
      <c r="AH178" s="41" t="n"/>
      <c r="AI178" s="41" t="n"/>
      <c r="AJ178" s="41" t="n"/>
      <c r="AK178" s="41" t="n"/>
      <c r="AL178" s="41" t="n"/>
      <c r="AM178" s="41" t="n"/>
      <c r="AN178" s="41" t="n"/>
      <c r="AO178" s="41" t="n"/>
      <c r="AP178" s="41" t="n"/>
      <c r="AQ178" s="41" t="n"/>
      <c r="AR178" s="41" t="n"/>
      <c r="AS178" s="41" t="n"/>
      <c r="AT178" s="41" t="n"/>
      <c r="AU178" s="41" t="n"/>
      <c r="AV178" s="41" t="n"/>
      <c r="AW178" s="41" t="n"/>
      <c r="AX178" s="41" t="n"/>
      <c r="AY178" s="41" t="n"/>
      <c r="AZ178" s="41" t="n"/>
      <c r="BA178" s="41" t="n"/>
      <c r="BB178" s="41" t="n"/>
      <c r="BC178" s="41" t="n"/>
      <c r="BD178" s="41" t="n"/>
    </row>
    <row r="179" customFormat="1" s="4">
      <c r="A179" s="3" t="n"/>
      <c r="B179" s="4" t="inlineStr">
        <is>
          <t>% of Total - YTD</t>
        </is>
      </c>
      <c r="D179" s="33" t="inlineStr">
        <is>
          <t>%</t>
        </is>
      </c>
      <c r="E179" s="42">
        <f>IFERROR(SUM($E$178:E178)/SUM($E$3:E3),"")</f>
        <v/>
      </c>
      <c r="F179" s="42">
        <f>IFERROR(SUM($E$178:F178)/SUM($E$3:F3),"")</f>
        <v/>
      </c>
      <c r="G179" s="42">
        <f>IFERROR(SUM($E$178:G178)/SUM($E$3:G3),"")</f>
        <v/>
      </c>
      <c r="H179" s="42">
        <f>IFERROR(SUM($E$178:H178)/SUM($E$3:H3),"")</f>
        <v/>
      </c>
      <c r="I179" s="42">
        <f>IFERROR(SUM($E$178:I178)/SUM($E$3:I3),"")</f>
        <v/>
      </c>
      <c r="J179" s="42">
        <f>IFERROR(SUM($E$178:J178)/SUM($E$3:J3),"")</f>
        <v/>
      </c>
      <c r="K179" s="42">
        <f>IFERROR(SUM($E$178:K178)/SUM($E$3:K3),"")</f>
        <v/>
      </c>
      <c r="L179" s="42">
        <f>IFERROR(SUM($E$178:L178)/SUM($E$3:L3),"")</f>
        <v/>
      </c>
      <c r="M179" s="42">
        <f>IFERROR(SUM($E$178:M178)/SUM($E$3:M3),"")</f>
        <v/>
      </c>
      <c r="N179" s="42">
        <f>IFERROR(SUM($E$178:N178)/SUM($E$3:N3),"")</f>
        <v/>
      </c>
      <c r="O179" s="42">
        <f>IFERROR(SUM($E$178:O178)/SUM($E$3:O3),"")</f>
        <v/>
      </c>
      <c r="P179" s="42">
        <f>IFERROR(SUM($E$178:P178)/SUM($E$3:P3),"")</f>
        <v/>
      </c>
      <c r="Q179" s="42">
        <f>IFERROR(SUM($E$178:Q178)/SUM($E$3:Q3),"")</f>
        <v/>
      </c>
      <c r="R179" s="42">
        <f>IFERROR(SUM($E$178:R178)/SUM($E$3:R3),"")</f>
        <v/>
      </c>
      <c r="S179" s="42">
        <f>IFERROR(SUM($E$178:S178)/SUM($E$3:S3),"")</f>
        <v/>
      </c>
      <c r="T179" s="42">
        <f>IFERROR(SUM($E$178:T178)/SUM($E$3:T3),"")</f>
        <v/>
      </c>
      <c r="U179" s="42">
        <f>IFERROR(SUM($E$178:U178)/SUM($E$3:U3),"")</f>
        <v/>
      </c>
      <c r="V179" s="42">
        <f>IFERROR(SUM($E$178:V178)/SUM($E$3:V3),"")</f>
        <v/>
      </c>
      <c r="W179" s="42">
        <f>IFERROR(SUM($E$178:W178)/SUM($E$3:W3),"")</f>
        <v/>
      </c>
      <c r="X179" s="42">
        <f>IFERROR(SUM($E$178:X178)/SUM($E$3:X3),"")</f>
        <v/>
      </c>
      <c r="Y179" s="42">
        <f>IFERROR(SUM($E$178:Y178)/SUM($E$3:Y3),"")</f>
        <v/>
      </c>
      <c r="Z179" s="42">
        <f>IFERROR(SUM($E$178:Z178)/SUM($E$3:Z3),"")</f>
        <v/>
      </c>
      <c r="AA179" s="42">
        <f>IFERROR(SUM($E$178:AA178)/SUM($E$3:AA3),"")</f>
        <v/>
      </c>
      <c r="AB179" s="42" t="n"/>
      <c r="AC179" s="42" t="n"/>
      <c r="AD179" s="42" t="n"/>
      <c r="AE179" s="42" t="n"/>
      <c r="AF179" s="42" t="n"/>
      <c r="AG179" s="42" t="n"/>
      <c r="AH179" s="42" t="n"/>
      <c r="AI179" s="42" t="n"/>
      <c r="AJ179" s="42" t="n"/>
      <c r="AK179" s="42" t="n"/>
      <c r="AL179" s="42" t="n"/>
      <c r="AM179" s="42" t="n"/>
      <c r="AN179" s="42" t="n"/>
      <c r="AO179" s="42" t="n"/>
      <c r="AP179" s="42" t="n"/>
      <c r="AQ179" s="42" t="n"/>
      <c r="AR179" s="42" t="n"/>
      <c r="AS179" s="42" t="n"/>
      <c r="AT179" s="42" t="n"/>
      <c r="AU179" s="42" t="n"/>
      <c r="AV179" s="42" t="n"/>
      <c r="AW179" s="42" t="n"/>
      <c r="AX179" s="42" t="n"/>
      <c r="AY179" s="42" t="n"/>
      <c r="AZ179" s="42" t="n"/>
      <c r="BA179" s="42" t="n"/>
      <c r="BB179" s="42" t="n"/>
      <c r="BC179" s="42" t="n"/>
      <c r="BD179" s="42" t="n"/>
    </row>
    <row r="180" customFormat="1" s="40">
      <c r="B180" s="40" t="inlineStr">
        <is>
          <t>% of Target</t>
        </is>
      </c>
      <c r="D180" s="8" t="inlineStr">
        <is>
          <t>%</t>
        </is>
      </c>
      <c r="E180" s="42">
        <f>IFERROR(E178/E182,"")</f>
        <v/>
      </c>
      <c r="F180" s="42">
        <f>IFERROR(F178/F182,"")</f>
        <v/>
      </c>
      <c r="G180" s="42">
        <f>IFERROR(G178/G182,"")</f>
        <v/>
      </c>
      <c r="H180" s="42">
        <f>IFERROR(H178/H182,"")</f>
        <v/>
      </c>
      <c r="I180" s="42">
        <f>IFERROR(I178/I182,"")</f>
        <v/>
      </c>
      <c r="J180" s="42">
        <f>IFERROR(J178/J182,"")</f>
        <v/>
      </c>
      <c r="K180" s="42">
        <f>IFERROR(K178/K182,"")</f>
        <v/>
      </c>
      <c r="L180" s="42">
        <f>IFERROR(L178/L182,"")</f>
        <v/>
      </c>
      <c r="M180" s="42">
        <f>IFERROR(M178/M182,"")</f>
        <v/>
      </c>
      <c r="N180" s="42">
        <f>IFERROR(N178/N182,"")</f>
        <v/>
      </c>
      <c r="O180" s="42">
        <f>IFERROR(O178/O182,"")</f>
        <v/>
      </c>
      <c r="P180" s="42">
        <f>IFERROR(P178/P182,"")</f>
        <v/>
      </c>
      <c r="Q180" s="42">
        <f>IFERROR(Q178/Q182,"")</f>
        <v/>
      </c>
      <c r="R180" s="42">
        <f>IFERROR(R178/R182,"")</f>
        <v/>
      </c>
      <c r="S180" s="42">
        <f>IFERROR(S178/S182,"")</f>
        <v/>
      </c>
      <c r="T180" s="42">
        <f>IFERROR(T178/T182,"")</f>
        <v/>
      </c>
      <c r="U180" s="42">
        <f>IFERROR(U178/U182,"")</f>
        <v/>
      </c>
      <c r="V180" s="42">
        <f>IFERROR(V178/V182,"")</f>
        <v/>
      </c>
      <c r="W180" s="42">
        <f>IFERROR(W178/W182,"")</f>
        <v/>
      </c>
      <c r="X180" s="42">
        <f>IFERROR(X178/X182,"")</f>
        <v/>
      </c>
      <c r="Y180" s="42">
        <f>IFERROR(Y178/Y182,"")</f>
        <v/>
      </c>
      <c r="Z180" s="42">
        <f>IFERROR(Z178/Z182,"")</f>
        <v/>
      </c>
      <c r="AA180" s="42">
        <f>IFERROR(AA178/AA182,"")</f>
        <v/>
      </c>
      <c r="AB180" s="42" t="n"/>
      <c r="AC180" s="42" t="n"/>
      <c r="AD180" s="42" t="n"/>
      <c r="AE180" s="42" t="n"/>
      <c r="AF180" s="42" t="n"/>
      <c r="AG180" s="42" t="n"/>
      <c r="AH180" s="42" t="n"/>
      <c r="AI180" s="42" t="n"/>
      <c r="AJ180" s="42" t="n"/>
      <c r="AK180" s="42" t="n"/>
      <c r="AL180" s="42" t="n"/>
      <c r="AM180" s="42" t="n"/>
      <c r="AN180" s="42" t="n"/>
      <c r="AO180" s="42" t="n"/>
      <c r="AP180" s="42" t="n"/>
      <c r="AQ180" s="42" t="n"/>
      <c r="AR180" s="42" t="n"/>
      <c r="AS180" s="42" t="n"/>
      <c r="AT180" s="42" t="n"/>
      <c r="AU180" s="42" t="n"/>
      <c r="AV180" s="42" t="n"/>
      <c r="AW180" s="42" t="n"/>
      <c r="AX180" s="42" t="n"/>
      <c r="AY180" s="42" t="n"/>
      <c r="AZ180" s="42" t="n"/>
      <c r="BA180" s="42" t="n"/>
      <c r="BB180" s="42" t="n"/>
      <c r="BC180" s="42" t="n"/>
      <c r="BD180" s="42" t="n"/>
    </row>
    <row r="181" ht="15.75" customFormat="1" customHeight="1" s="40">
      <c r="B181" s="40" t="inlineStr">
        <is>
          <t>% of Target - YTD</t>
        </is>
      </c>
      <c r="C181" s="16" t="n"/>
      <c r="D181" s="17" t="inlineStr">
        <is>
          <t>%</t>
        </is>
      </c>
      <c r="E181" s="42">
        <f>IFERROR(SUM($E$178:E178)/SUM($E$182:E182),"")</f>
        <v/>
      </c>
      <c r="F181" s="42">
        <f>IFERROR(SUM($E$178:F178)/SUM($E$182:F182),"")</f>
        <v/>
      </c>
      <c r="G181" s="42">
        <f>IFERROR(SUM($E$178:G178)/SUM($E$182:G182),"")</f>
        <v/>
      </c>
      <c r="H181" s="42">
        <f>IFERROR(SUM($E$178:H178)/SUM($E$182:H182),"")</f>
        <v/>
      </c>
      <c r="I181" s="42">
        <f>IFERROR(SUM($E$178:I178)/SUM($E$182:I182),"")</f>
        <v/>
      </c>
      <c r="J181" s="42">
        <f>IFERROR(SUM($E$178:J178)/SUM($E$182:J182),"")</f>
        <v/>
      </c>
      <c r="K181" s="42">
        <f>IFERROR(SUM($E$178:K178)/SUM($E$182:K182),"")</f>
        <v/>
      </c>
      <c r="L181" s="42">
        <f>IFERROR(SUM($E$178:L178)/SUM($E$182:L182),"")</f>
        <v/>
      </c>
      <c r="M181" s="42">
        <f>IFERROR(SUM($E$178:M178)/SUM($E$182:M182),"")</f>
        <v/>
      </c>
      <c r="N181" s="42">
        <f>IFERROR(SUM($E$178:N178)/SUM($E$182:N182),"")</f>
        <v/>
      </c>
      <c r="O181" s="42">
        <f>IFERROR(SUM($E$178:O178)/SUM($E$182:O182),"")</f>
        <v/>
      </c>
      <c r="P181" s="42">
        <f>IFERROR(SUM($E$178:P178)/SUM($E$182:P182),"")</f>
        <v/>
      </c>
      <c r="Q181" s="42">
        <f>IFERROR(SUM($E$178:Q178)/SUM($E$182:Q182),"")</f>
        <v/>
      </c>
      <c r="R181" s="42">
        <f>IFERROR(SUM($E$178:R178)/SUM($E$182:R182),"")</f>
        <v/>
      </c>
      <c r="S181" s="42">
        <f>IFERROR(SUM($E$178:S178)/SUM($E$182:S182),"")</f>
        <v/>
      </c>
      <c r="T181" s="42">
        <f>IFERROR(SUM($E$178:T178)/SUM($E$182:T182),"")</f>
        <v/>
      </c>
      <c r="U181" s="42">
        <f>IFERROR(SUM($E$178:U178)/SUM($E$182:U182),"")</f>
        <v/>
      </c>
      <c r="V181" s="42">
        <f>IFERROR(SUM($E$178:V178)/SUM($E$182:V182),"")</f>
        <v/>
      </c>
      <c r="W181" s="42">
        <f>IFERROR(SUM($E$178:W178)/SUM($E$182:W182),"")</f>
        <v/>
      </c>
      <c r="X181" s="42">
        <f>IFERROR(SUM($E$178:X178)/SUM($E$182:X182),"")</f>
        <v/>
      </c>
      <c r="Y181" s="42">
        <f>IFERROR(SUM($E$178:Y178)/SUM($E$182:Y182),"")</f>
        <v/>
      </c>
      <c r="Z181" s="42">
        <f>IFERROR(SUM($E$178:Z178)/SUM($E$182:Z182),"")</f>
        <v/>
      </c>
      <c r="AA181" s="42">
        <f>IFERROR(SUM($E$178:AA178)/SUM($E$182:AA182),"")</f>
        <v/>
      </c>
      <c r="AB181" s="42" t="n"/>
      <c r="AC181" s="42" t="n"/>
      <c r="AD181" s="42" t="n"/>
      <c r="AE181" s="42" t="n"/>
      <c r="AF181" s="42" t="n"/>
      <c r="AG181" s="42" t="n"/>
      <c r="AH181" s="42" t="n"/>
      <c r="AI181" s="42" t="n"/>
      <c r="AJ181" s="42" t="n"/>
      <c r="AK181" s="42" t="n"/>
      <c r="AL181" s="42" t="n"/>
      <c r="AM181" s="42" t="n"/>
      <c r="AN181" s="42" t="n"/>
      <c r="AO181" s="42" t="n"/>
      <c r="AP181" s="42" t="n"/>
      <c r="AQ181" s="42" t="n"/>
      <c r="AR181" s="42" t="n"/>
      <c r="AS181" s="42" t="n"/>
      <c r="AT181" s="42" t="n"/>
      <c r="AU181" s="42" t="n"/>
      <c r="AV181" s="42" t="n"/>
      <c r="AW181" s="42" t="n"/>
      <c r="AX181" s="42" t="n"/>
      <c r="AY181" s="42" t="n"/>
      <c r="AZ181" s="42" t="n"/>
      <c r="BA181" s="42" t="n"/>
      <c r="BB181" s="42" t="n"/>
      <c r="BC181" s="42" t="n"/>
      <c r="BD181" s="42" t="n"/>
    </row>
    <row r="182" customFormat="1" s="9">
      <c r="B182" s="9" t="inlineStr">
        <is>
          <t>Target</t>
        </is>
      </c>
      <c r="D182" s="10" t="inlineStr">
        <is>
          <t>$k</t>
        </is>
      </c>
      <c r="E182" s="41" t="n">
        <v>121.107370688</v>
      </c>
      <c r="F182" s="41" t="n">
        <v>211.937898704</v>
      </c>
      <c r="G182" s="41" t="n">
        <v>211.937898704</v>
      </c>
      <c r="H182" s="41" t="n">
        <v>211.937898704</v>
      </c>
      <c r="I182" s="41" t="n">
        <v>207.298172362</v>
      </c>
      <c r="J182" s="41" t="n">
        <v>179.46125</v>
      </c>
      <c r="K182" s="41" t="n">
        <v>179.46125</v>
      </c>
      <c r="L182" s="41" t="n">
        <v>179.46125</v>
      </c>
      <c r="M182" s="41" t="n">
        <v>179.133470148</v>
      </c>
      <c r="N182" s="41" t="n">
        <v>177.165355346</v>
      </c>
      <c r="O182" s="41" t="n">
        <v>177.165355346</v>
      </c>
      <c r="P182" s="41" t="n">
        <v>177.165355346</v>
      </c>
      <c r="Q182" s="41" t="n">
        <v>177.165355346</v>
      </c>
      <c r="R182" s="41" t="n">
        <v>156.164717381</v>
      </c>
      <c r="S182" s="41" t="n">
        <v>147.763955575</v>
      </c>
      <c r="T182" s="41" t="n">
        <v>147.763955575</v>
      </c>
      <c r="U182" s="41" t="n">
        <v>147.763955575</v>
      </c>
      <c r="V182" s="41" t="n">
        <v>168.270997583</v>
      </c>
      <c r="W182" s="41" t="n">
        <v>195.613931352</v>
      </c>
      <c r="X182" s="41" t="n">
        <v>195.613931352</v>
      </c>
      <c r="Y182" s="41" t="n">
        <v>195.613931352</v>
      </c>
      <c r="Z182" s="41" t="n">
        <v>195.613931352</v>
      </c>
      <c r="AA182" s="41" t="n">
        <v>187.862231625</v>
      </c>
      <c r="AB182" s="41" t="n"/>
      <c r="AC182" s="41" t="n"/>
      <c r="AD182" s="41" t="n"/>
      <c r="AE182" s="41" t="n"/>
      <c r="AF182" s="41" t="n"/>
      <c r="AG182" s="41" t="n"/>
      <c r="AH182" s="41" t="n"/>
      <c r="AI182" s="41" t="n"/>
      <c r="AJ182" s="41" t="n"/>
      <c r="AK182" s="41" t="n"/>
      <c r="AL182" s="41" t="n"/>
      <c r="AM182" s="41" t="n"/>
      <c r="AN182" s="41" t="n"/>
      <c r="AO182" s="41" t="n"/>
      <c r="AP182" s="41" t="n"/>
      <c r="AQ182" s="41" t="n"/>
      <c r="AR182" s="41" t="n"/>
      <c r="AS182" s="41" t="n"/>
      <c r="AT182" s="41" t="n"/>
      <c r="AU182" s="41" t="n"/>
      <c r="AV182" s="41" t="n"/>
      <c r="AW182" s="41" t="n"/>
      <c r="AX182" s="41" t="n"/>
      <c r="AY182" s="41" t="n"/>
      <c r="AZ182" s="41" t="n"/>
      <c r="BA182" s="41" t="n"/>
      <c r="BB182" s="41" t="n"/>
      <c r="BC182" s="41" t="n"/>
      <c r="BD182" s="41" t="n"/>
    </row>
    <row r="183"/>
    <row r="184">
      <c r="A184" s="1" t="inlineStr">
        <is>
          <t xml:space="preserve">Sell-through units </t>
        </is>
      </c>
      <c r="D184" s="24" t="inlineStr">
        <is>
          <t>#</t>
        </is>
      </c>
      <c r="E184" s="41" t="n">
        <v>5901</v>
      </c>
      <c r="F184" s="41" t="n">
        <v>4405</v>
      </c>
      <c r="G184" s="41" t="n">
        <v>4553</v>
      </c>
      <c r="H184" s="41" t="n">
        <v>4473</v>
      </c>
      <c r="I184" s="41" t="n">
        <v>4702</v>
      </c>
      <c r="J184" s="41" t="n">
        <v>3447</v>
      </c>
      <c r="K184" s="41" t="n">
        <v>3964</v>
      </c>
      <c r="L184" s="41" t="n">
        <v>6882</v>
      </c>
      <c r="M184" s="41" t="n">
        <v>8157</v>
      </c>
      <c r="N184" s="41" t="n">
        <v>4407</v>
      </c>
      <c r="O184" s="41" t="n">
        <v>3800</v>
      </c>
      <c r="P184" s="41" t="n">
        <v>5747</v>
      </c>
      <c r="Q184" s="41" t="n">
        <v>6181</v>
      </c>
      <c r="R184" s="41" t="n">
        <v>4242</v>
      </c>
      <c r="S184" s="41" t="n">
        <v>3153</v>
      </c>
      <c r="T184" s="41" t="n">
        <v>4865</v>
      </c>
      <c r="U184" s="41" t="n">
        <v>4766</v>
      </c>
      <c r="V184" s="41" t="n">
        <v>5137</v>
      </c>
      <c r="W184" s="41" t="n">
        <v>2243</v>
      </c>
      <c r="X184" s="41" t="n">
        <v>2469</v>
      </c>
      <c r="Y184" s="41" t="n">
        <v>3796</v>
      </c>
      <c r="Z184" s="41" t="n">
        <v>4862</v>
      </c>
      <c r="AA184" s="41" t="n">
        <v>2747</v>
      </c>
      <c r="AB184" s="41" t="n"/>
      <c r="AC184" s="41" t="n"/>
      <c r="AD184" s="41" t="n"/>
      <c r="AE184" s="41" t="n"/>
      <c r="AF184" s="41" t="n"/>
      <c r="AG184" s="41" t="n"/>
      <c r="AH184" s="41" t="n"/>
      <c r="AI184" s="41" t="n"/>
      <c r="AJ184" s="41" t="n"/>
      <c r="AK184" s="41" t="n"/>
      <c r="AL184" s="41" t="n"/>
      <c r="AM184" s="41" t="n"/>
      <c r="AN184" s="41" t="n"/>
      <c r="AO184" s="41" t="n"/>
      <c r="AP184" s="41" t="n"/>
      <c r="AQ184" s="41" t="n"/>
      <c r="AR184" s="41" t="n"/>
      <c r="AS184" s="41" t="n"/>
      <c r="AT184" s="41" t="n"/>
      <c r="AU184" s="41" t="n"/>
      <c r="AV184" s="41" t="n"/>
      <c r="AW184" s="41" t="n"/>
      <c r="AX184" s="41" t="n"/>
      <c r="AY184" s="41" t="n"/>
      <c r="AZ184" s="41" t="n"/>
      <c r="BA184" s="41" t="n"/>
      <c r="BB184" s="41" t="n"/>
      <c r="BC184" s="41" t="n"/>
      <c r="BD184" s="41" t="n"/>
    </row>
    <row r="185" customFormat="1" s="4">
      <c r="A185" s="3" t="n"/>
      <c r="B185" s="4" t="inlineStr">
        <is>
          <t>% of Total - YTD</t>
        </is>
      </c>
      <c r="D185" s="33" t="inlineStr">
        <is>
          <t>%</t>
        </is>
      </c>
      <c r="E185" s="42">
        <f>IFERROR(SUM($E$184:E184)/SUM($E$4:E4),"")</f>
        <v/>
      </c>
      <c r="F185" s="42">
        <f>IFERROR(SUM($E$184:F184)/SUM($E$4:F4),"")</f>
        <v/>
      </c>
      <c r="G185" s="42">
        <f>IFERROR(SUM($E$184:G184)/SUM($E$4:G4),"")</f>
        <v/>
      </c>
      <c r="H185" s="42">
        <f>IFERROR(SUM($E$184:H184)/SUM($E$4:H4),"")</f>
        <v/>
      </c>
      <c r="I185" s="42">
        <f>IFERROR(SUM($E$184:I184)/SUM($E$4:I4),"")</f>
        <v/>
      </c>
      <c r="J185" s="42">
        <f>IFERROR(SUM($E$184:J184)/SUM($E$4:J4),"")</f>
        <v/>
      </c>
      <c r="K185" s="42">
        <f>IFERROR(SUM($E$184:K184)/SUM($E$4:K4),"")</f>
        <v/>
      </c>
      <c r="L185" s="42">
        <f>IFERROR(SUM($E$184:L184)/SUM($E$4:L4),"")</f>
        <v/>
      </c>
      <c r="M185" s="42">
        <f>IFERROR(SUM($E$184:M184)/SUM($E$4:M4),"")</f>
        <v/>
      </c>
      <c r="N185" s="42">
        <f>IFERROR(SUM($E$184:N184)/SUM($E$4:N4),"")</f>
        <v/>
      </c>
      <c r="O185" s="42">
        <f>IFERROR(SUM($E$184:O184)/SUM($E$4:O4),"")</f>
        <v/>
      </c>
      <c r="P185" s="42">
        <f>IFERROR(SUM($E$184:P184)/SUM($E$4:P4),"")</f>
        <v/>
      </c>
      <c r="Q185" s="42">
        <f>IFERROR(SUM($E$184:Q184)/SUM($E$4:Q4),"")</f>
        <v/>
      </c>
      <c r="R185" s="42">
        <f>IFERROR(SUM($E$184:R184)/SUM($E$4:R4),"")</f>
        <v/>
      </c>
      <c r="S185" s="42">
        <f>IFERROR(SUM($E$184:S184)/SUM($E$4:S4),"")</f>
        <v/>
      </c>
      <c r="T185" s="42">
        <f>IFERROR(SUM($E$184:T184)/SUM($E$4:T4),"")</f>
        <v/>
      </c>
      <c r="U185" s="42">
        <f>IFERROR(SUM($E$184:U184)/SUM($E$4:U4),"")</f>
        <v/>
      </c>
      <c r="V185" s="42">
        <f>IFERROR(SUM($E$184:V184)/SUM($E$4:V4),"")</f>
        <v/>
      </c>
      <c r="W185" s="42">
        <f>IFERROR(SUM($E$184:W184)/SUM($E$4:W4),"")</f>
        <v/>
      </c>
      <c r="X185" s="42">
        <f>IFERROR(SUM($E$184:X184)/SUM($E$4:X4),"")</f>
        <v/>
      </c>
      <c r="Y185" s="42">
        <f>IFERROR(SUM($E$184:Y184)/SUM($E$4:Y4),"")</f>
        <v/>
      </c>
      <c r="Z185" s="42">
        <f>IFERROR(SUM($E$184:Z184)/SUM($E$4:Z4),"")</f>
        <v/>
      </c>
      <c r="AA185" s="42">
        <f>IFERROR(SUM($E$184:AA184)/SUM($E$4:AA4),"")</f>
        <v/>
      </c>
      <c r="AB185" s="42" t="n"/>
      <c r="AC185" s="42" t="n"/>
      <c r="AD185" s="42" t="n"/>
      <c r="AE185" s="42" t="n"/>
      <c r="AF185" s="42" t="n"/>
      <c r="AG185" s="42" t="n"/>
      <c r="AH185" s="42" t="n"/>
      <c r="AI185" s="42" t="n"/>
      <c r="AJ185" s="42" t="n"/>
      <c r="AK185" s="42" t="n"/>
      <c r="AL185" s="42" t="n"/>
      <c r="AM185" s="42" t="n"/>
      <c r="AN185" s="42" t="n"/>
      <c r="AO185" s="42" t="n"/>
      <c r="AP185" s="42" t="n"/>
      <c r="AQ185" s="42" t="n"/>
      <c r="AR185" s="42" t="n"/>
      <c r="AS185" s="42" t="n"/>
      <c r="AT185" s="42" t="n"/>
      <c r="AU185" s="42" t="n"/>
      <c r="AV185" s="42" t="n"/>
      <c r="AW185" s="42" t="n"/>
      <c r="AX185" s="42" t="n"/>
      <c r="AY185" s="42" t="n"/>
      <c r="AZ185" s="42" t="n"/>
      <c r="BA185" s="42" t="n"/>
      <c r="BB185" s="42" t="n"/>
      <c r="BC185" s="42" t="n"/>
      <c r="BD185" s="42" t="n"/>
    </row>
    <row r="186" customFormat="1" s="16">
      <c r="A186" s="15" t="n"/>
      <c r="B186" s="16" t="inlineStr">
        <is>
          <t>% of Target</t>
        </is>
      </c>
      <c r="D186" s="17" t="inlineStr">
        <is>
          <t>%</t>
        </is>
      </c>
      <c r="E186" s="42">
        <f>IFERROR(E184/E188,"")</f>
        <v/>
      </c>
      <c r="F186" s="42">
        <f>IFERROR(F184/F188,"")</f>
        <v/>
      </c>
      <c r="G186" s="42">
        <f>IFERROR(G184/G188,"")</f>
        <v/>
      </c>
      <c r="H186" s="42">
        <f>IFERROR(H184/H188,"")</f>
        <v/>
      </c>
      <c r="I186" s="42">
        <f>IFERROR(I184/I188,"")</f>
        <v/>
      </c>
      <c r="J186" s="42">
        <f>IFERROR(J184/J188,"")</f>
        <v/>
      </c>
      <c r="K186" s="42">
        <f>IFERROR(K184/K188,"")</f>
        <v/>
      </c>
      <c r="L186" s="42">
        <f>IFERROR(L184/L188,"")</f>
        <v/>
      </c>
      <c r="M186" s="42">
        <f>IFERROR(M184/M188,"")</f>
        <v/>
      </c>
      <c r="N186" s="42">
        <f>IFERROR(N184/N188,"")</f>
        <v/>
      </c>
      <c r="O186" s="42">
        <f>IFERROR(O184/O188,"")</f>
        <v/>
      </c>
      <c r="P186" s="42">
        <f>IFERROR(P184/P188,"")</f>
        <v/>
      </c>
      <c r="Q186" s="42">
        <f>IFERROR(Q184/Q188,"")</f>
        <v/>
      </c>
      <c r="R186" s="42">
        <f>IFERROR(R184/R188,"")</f>
        <v/>
      </c>
      <c r="S186" s="42">
        <f>IFERROR(S184/S188,"")</f>
        <v/>
      </c>
      <c r="T186" s="42">
        <f>IFERROR(T184/T188,"")</f>
        <v/>
      </c>
      <c r="U186" s="42">
        <f>IFERROR(U184/U188,"")</f>
        <v/>
      </c>
      <c r="V186" s="42">
        <f>IFERROR(V184/V188,"")</f>
        <v/>
      </c>
      <c r="W186" s="42">
        <f>IFERROR(W184/W188,"")</f>
        <v/>
      </c>
      <c r="X186" s="42">
        <f>IFERROR(X184/X188,"")</f>
        <v/>
      </c>
      <c r="Y186" s="42">
        <f>IFERROR(Y184/Y188,"")</f>
        <v/>
      </c>
      <c r="Z186" s="42">
        <f>IFERROR(Z184/Z188,"")</f>
        <v/>
      </c>
      <c r="AA186" s="42">
        <f>IFERROR(AA184/AA188,"")</f>
        <v/>
      </c>
      <c r="AB186" s="42" t="n"/>
      <c r="AC186" s="42" t="n"/>
      <c r="AD186" s="42" t="n"/>
      <c r="AE186" s="42" t="n"/>
      <c r="AF186" s="42" t="n"/>
      <c r="AG186" s="42" t="n"/>
      <c r="AH186" s="42" t="n"/>
      <c r="AI186" s="42" t="n"/>
      <c r="AJ186" s="42" t="n"/>
      <c r="AK186" s="42" t="n"/>
      <c r="AL186" s="42" t="n"/>
      <c r="AM186" s="42" t="n"/>
      <c r="AN186" s="42" t="n"/>
      <c r="AO186" s="42" t="n"/>
      <c r="AP186" s="42" t="n"/>
      <c r="AQ186" s="42" t="n"/>
      <c r="AR186" s="42" t="n"/>
      <c r="AS186" s="42" t="n"/>
      <c r="AT186" s="42" t="n"/>
      <c r="AU186" s="42" t="n"/>
      <c r="AV186" s="42" t="n"/>
      <c r="AW186" s="42" t="n"/>
      <c r="AX186" s="42" t="n"/>
      <c r="AY186" s="42" t="n"/>
      <c r="AZ186" s="42" t="n"/>
      <c r="BA186" s="42" t="n"/>
      <c r="BB186" s="42" t="n"/>
      <c r="BC186" s="42" t="n"/>
      <c r="BD186" s="42" t="n"/>
    </row>
    <row r="187" ht="15.75" customFormat="1" customHeight="1" s="16">
      <c r="A187" s="15" t="n"/>
      <c r="B187" s="40" t="inlineStr">
        <is>
          <t>% of Target - YTD</t>
        </is>
      </c>
      <c r="D187" s="17" t="inlineStr">
        <is>
          <t>%</t>
        </is>
      </c>
      <c r="E187" s="42">
        <f>IFERROR(SUM($E$184:E184)/SUM($E$188:E188),"")</f>
        <v/>
      </c>
      <c r="F187" s="42">
        <f>IFERROR(SUM($E$184:F184)/SUM($E$188:F188),"")</f>
        <v/>
      </c>
      <c r="G187" s="42">
        <f>IFERROR(SUM($E$184:G184)/SUM($E$188:G188),"")</f>
        <v/>
      </c>
      <c r="H187" s="42">
        <f>IFERROR(SUM($E$184:H184)/SUM($E$188:H188),"")</f>
        <v/>
      </c>
      <c r="I187" s="42">
        <f>IFERROR(SUM($E$184:I184)/SUM($E$188:I188),"")</f>
        <v/>
      </c>
      <c r="J187" s="42">
        <f>IFERROR(SUM($E$184:J184)/SUM($E$188:J188),"")</f>
        <v/>
      </c>
      <c r="K187" s="42">
        <f>IFERROR(SUM($E$184:K184)/SUM($E$188:K188),"")</f>
        <v/>
      </c>
      <c r="L187" s="42">
        <f>IFERROR(SUM($E$184:L184)/SUM($E$188:L188),"")</f>
        <v/>
      </c>
      <c r="M187" s="42">
        <f>IFERROR(SUM($E$184:M184)/SUM($E$188:M188),"")</f>
        <v/>
      </c>
      <c r="N187" s="42">
        <f>IFERROR(SUM($E$184:N184)/SUM($E$188:N188),"")</f>
        <v/>
      </c>
      <c r="O187" s="42">
        <f>IFERROR(SUM($E$184:O184)/SUM($E$188:O188),"")</f>
        <v/>
      </c>
      <c r="P187" s="42">
        <f>IFERROR(SUM($E$184:P184)/SUM($E$188:P188),"")</f>
        <v/>
      </c>
      <c r="Q187" s="42">
        <f>IFERROR(SUM($E$184:Q184)/SUM($E$188:Q188),"")</f>
        <v/>
      </c>
      <c r="R187" s="42">
        <f>IFERROR(SUM($E$184:R184)/SUM($E$188:R188),"")</f>
        <v/>
      </c>
      <c r="S187" s="42">
        <f>IFERROR(SUM($E$184:S184)/SUM($E$188:S188),"")</f>
        <v/>
      </c>
      <c r="T187" s="42">
        <f>IFERROR(SUM($E$184:T184)/SUM($E$188:T188),"")</f>
        <v/>
      </c>
      <c r="U187" s="42">
        <f>IFERROR(SUM($E$184:U184)/SUM($E$188:U188),"")</f>
        <v/>
      </c>
      <c r="V187" s="42">
        <f>IFERROR(SUM($E$184:V184)/SUM($E$188:V188),"")</f>
        <v/>
      </c>
      <c r="W187" s="42">
        <f>IFERROR(SUM($E$184:W184)/SUM($E$188:W188),"")</f>
        <v/>
      </c>
      <c r="X187" s="42">
        <f>IFERROR(SUM($E$184:X184)/SUM($E$188:X188),"")</f>
        <v/>
      </c>
      <c r="Y187" s="42">
        <f>IFERROR(SUM($E$184:Y184)/SUM($E$188:Y188),"")</f>
        <v/>
      </c>
      <c r="Z187" s="42">
        <f>IFERROR(SUM($E$184:Z184)/SUM($E$188:Z188),"")</f>
        <v/>
      </c>
      <c r="AA187" s="42">
        <f>IFERROR(SUM($E$184:AA184)/SUM($E$188:AA188),"")</f>
        <v/>
      </c>
      <c r="AB187" s="42" t="n"/>
      <c r="AC187" s="42" t="n"/>
      <c r="AD187" s="42" t="n"/>
      <c r="AE187" s="42" t="n"/>
      <c r="AF187" s="42" t="n"/>
      <c r="AG187" s="42" t="n"/>
      <c r="AH187" s="42" t="n"/>
      <c r="AI187" s="42" t="n"/>
      <c r="AJ187" s="42" t="n"/>
      <c r="AK187" s="42" t="n"/>
      <c r="AL187" s="42" t="n"/>
      <c r="AM187" s="42" t="n"/>
      <c r="AN187" s="42" t="n"/>
      <c r="AO187" s="42" t="n"/>
      <c r="AP187" s="42" t="n"/>
      <c r="AQ187" s="42" t="n"/>
      <c r="AR187" s="42" t="n"/>
      <c r="AS187" s="42" t="n"/>
      <c r="AT187" s="42" t="n"/>
      <c r="AU187" s="42" t="n"/>
      <c r="AV187" s="42" t="n"/>
      <c r="AW187" s="42" t="n"/>
      <c r="AX187" s="42" t="n"/>
      <c r="AY187" s="42" t="n"/>
      <c r="AZ187" s="42" t="n"/>
      <c r="BA187" s="42" t="n"/>
      <c r="BB187" s="42" t="n"/>
      <c r="BC187" s="42" t="n"/>
      <c r="BD187" s="42" t="n"/>
    </row>
    <row r="188" customFormat="1" s="13">
      <c r="A188" s="12" t="n"/>
      <c r="B188" s="13" t="inlineStr">
        <is>
          <t>Target</t>
        </is>
      </c>
      <c r="D188" s="14" t="inlineStr">
        <is>
          <t>#</t>
        </is>
      </c>
      <c r="E188" s="41" t="n"/>
      <c r="F188" s="41" t="n">
        <v>6299</v>
      </c>
      <c r="G188" s="41" t="n">
        <v>3542</v>
      </c>
      <c r="H188" s="41" t="n">
        <v>3136</v>
      </c>
      <c r="I188" s="41" t="n">
        <v>2995</v>
      </c>
      <c r="J188" s="41" t="n">
        <v>3429</v>
      </c>
      <c r="K188" s="41" t="n">
        <v>3278</v>
      </c>
      <c r="L188" s="41" t="n">
        <v>3175</v>
      </c>
      <c r="M188" s="41" t="n">
        <v>3265</v>
      </c>
      <c r="N188" s="41" t="n">
        <v>2659</v>
      </c>
      <c r="O188" s="41" t="n">
        <v>2692</v>
      </c>
      <c r="P188" s="41" t="n">
        <v>2582</v>
      </c>
      <c r="Q188" s="41" t="n">
        <v>6251</v>
      </c>
      <c r="R188" s="41" t="n">
        <v>2516</v>
      </c>
      <c r="S188" s="41" t="n">
        <v>3264</v>
      </c>
      <c r="T188" s="41" t="n">
        <v>2846</v>
      </c>
      <c r="U188" s="41" t="n">
        <v>2850</v>
      </c>
      <c r="V188" s="41" t="n">
        <v>2780</v>
      </c>
      <c r="W188" s="41" t="n">
        <v>1866</v>
      </c>
      <c r="X188" s="41" t="n">
        <v>5691</v>
      </c>
      <c r="Y188" s="41" t="n">
        <v>5701</v>
      </c>
      <c r="Z188" s="41" t="n">
        <v>2372</v>
      </c>
      <c r="AA188" s="41" t="n">
        <v>2364</v>
      </c>
      <c r="AB188" s="41" t="n"/>
      <c r="AC188" s="41" t="n"/>
      <c r="AD188" s="41" t="n"/>
      <c r="AE188" s="41" t="n"/>
      <c r="AF188" s="41" t="n"/>
      <c r="AG188" s="41" t="n"/>
      <c r="AH188" s="41" t="n"/>
      <c r="AI188" s="41" t="n"/>
      <c r="AJ188" s="41" t="n"/>
      <c r="AK188" s="41" t="n"/>
      <c r="AL188" s="41" t="n"/>
      <c r="AM188" s="41" t="n"/>
      <c r="AN188" s="41" t="n"/>
      <c r="AO188" s="41" t="n"/>
      <c r="AP188" s="41" t="n"/>
      <c r="AQ188" s="41" t="n"/>
      <c r="AR188" s="41" t="n"/>
      <c r="AS188" s="41" t="n"/>
      <c r="AT188" s="41" t="n"/>
      <c r="AU188" s="41" t="n"/>
      <c r="AV188" s="41" t="n"/>
      <c r="AW188" s="41" t="n"/>
      <c r="AX188" s="41" t="n"/>
      <c r="AY188" s="41" t="n"/>
      <c r="AZ188" s="41" t="n"/>
      <c r="BA188" s="41" t="n"/>
      <c r="BB188" s="41" t="n"/>
      <c r="BC188" s="41" t="n"/>
      <c r="BD188" s="41" t="n"/>
    </row>
    <row r="189">
      <c r="C189" s="11" t="inlineStr">
        <is>
          <t xml:space="preserve">Cam </t>
        </is>
      </c>
      <c r="D189" s="6" t="inlineStr">
        <is>
          <t>#</t>
        </is>
      </c>
      <c r="E189" s="41" t="n">
        <v>2914</v>
      </c>
      <c r="F189" s="41" t="n">
        <v>2338</v>
      </c>
      <c r="G189" s="41" t="n">
        <v>2777</v>
      </c>
      <c r="H189" s="41" t="n">
        <v>2627</v>
      </c>
      <c r="I189" s="41" t="n">
        <v>2722</v>
      </c>
      <c r="J189" s="41" t="n">
        <v>1940</v>
      </c>
      <c r="K189" s="41" t="n">
        <v>2448</v>
      </c>
      <c r="L189" s="41" t="n">
        <v>4336</v>
      </c>
      <c r="M189" s="41" t="n">
        <v>5136</v>
      </c>
      <c r="N189" s="41" t="n">
        <v>2395</v>
      </c>
      <c r="O189" s="41" t="n">
        <v>2079</v>
      </c>
      <c r="P189" s="41" t="n">
        <v>3265</v>
      </c>
      <c r="Q189" s="41" t="n">
        <v>3463</v>
      </c>
      <c r="R189" s="41" t="n">
        <v>2135</v>
      </c>
      <c r="S189" s="41" t="n">
        <v>1398</v>
      </c>
      <c r="T189" s="41" t="n">
        <v>3130</v>
      </c>
      <c r="U189" s="41" t="n">
        <v>2591</v>
      </c>
      <c r="V189" s="41" t="n">
        <v>2255</v>
      </c>
      <c r="W189" s="41" t="n">
        <v>1183</v>
      </c>
      <c r="X189" s="41" t="n">
        <v>1244</v>
      </c>
      <c r="Y189" s="41" t="n">
        <v>1931</v>
      </c>
      <c r="Z189" s="41" t="n">
        <v>2519</v>
      </c>
      <c r="AA189" s="41" t="n">
        <v>1235</v>
      </c>
      <c r="AB189" s="41" t="n"/>
      <c r="AC189" s="41" t="n"/>
      <c r="AD189" s="41" t="n"/>
      <c r="AE189" s="41" t="n"/>
      <c r="AF189" s="41" t="n"/>
      <c r="AG189" s="41" t="n"/>
      <c r="AH189" s="41" t="n"/>
      <c r="AI189" s="41" t="n"/>
      <c r="AJ189" s="41" t="n"/>
      <c r="AK189" s="41" t="n"/>
      <c r="AL189" s="41" t="n"/>
      <c r="AM189" s="41" t="n"/>
      <c r="AN189" s="41" t="n"/>
      <c r="AO189" s="41" t="n"/>
      <c r="AP189" s="41" t="n"/>
      <c r="AQ189" s="41" t="n"/>
      <c r="AR189" s="41" t="n"/>
      <c r="AS189" s="41" t="n"/>
      <c r="AT189" s="41" t="n"/>
      <c r="AU189" s="41" t="n"/>
      <c r="AV189" s="41" t="n"/>
      <c r="AW189" s="41" t="n"/>
      <c r="AX189" s="41" t="n"/>
      <c r="AY189" s="41" t="n"/>
      <c r="AZ189" s="41" t="n"/>
      <c r="BA189" s="41" t="n"/>
      <c r="BB189" s="41" t="n"/>
      <c r="BC189" s="41" t="n"/>
      <c r="BD189" s="41" t="n"/>
    </row>
    <row r="190">
      <c r="C190" s="11" t="inlineStr">
        <is>
          <t>Non Cam</t>
        </is>
      </c>
      <c r="D190" s="6" t="inlineStr">
        <is>
          <t>#</t>
        </is>
      </c>
      <c r="E190" s="41" t="n">
        <v>2987</v>
      </c>
      <c r="F190" s="41" t="n">
        <v>2067</v>
      </c>
      <c r="G190" s="41" t="n">
        <v>1776</v>
      </c>
      <c r="H190" s="41" t="n">
        <v>1846</v>
      </c>
      <c r="I190" s="41" t="n">
        <v>1980</v>
      </c>
      <c r="J190" s="41" t="n">
        <v>1507</v>
      </c>
      <c r="K190" s="41" t="n">
        <v>1516</v>
      </c>
      <c r="L190" s="41" t="n">
        <v>2546</v>
      </c>
      <c r="M190" s="41" t="n">
        <v>3021</v>
      </c>
      <c r="N190" s="41" t="n">
        <v>2012</v>
      </c>
      <c r="O190" s="41" t="n">
        <v>1721</v>
      </c>
      <c r="P190" s="41" t="n">
        <v>2482</v>
      </c>
      <c r="Q190" s="41" t="n">
        <v>2718</v>
      </c>
      <c r="R190" s="41" t="n">
        <v>2107</v>
      </c>
      <c r="S190" s="41" t="n">
        <v>1755</v>
      </c>
      <c r="T190" s="41" t="n">
        <v>1735</v>
      </c>
      <c r="U190" s="41" t="n">
        <v>2175</v>
      </c>
      <c r="V190" s="41" t="n">
        <v>2882</v>
      </c>
      <c r="W190" s="41" t="n">
        <v>1060</v>
      </c>
      <c r="X190" s="41" t="n">
        <v>1225</v>
      </c>
      <c r="Y190" s="41" t="n">
        <v>1865</v>
      </c>
      <c r="Z190" s="41" t="n">
        <v>2343</v>
      </c>
      <c r="AA190" s="41" t="n">
        <v>1512</v>
      </c>
      <c r="AB190" s="41" t="n"/>
      <c r="AC190" s="41" t="n"/>
      <c r="AD190" s="41" t="n"/>
      <c r="AE190" s="41" t="n"/>
      <c r="AF190" s="41" t="n"/>
      <c r="AG190" s="41" t="n"/>
      <c r="AH190" s="41" t="n"/>
      <c r="AI190" s="41" t="n"/>
      <c r="AJ190" s="41" t="n"/>
      <c r="AK190" s="41" t="n"/>
      <c r="AL190" s="41" t="n"/>
      <c r="AM190" s="41" t="n"/>
      <c r="AN190" s="41" t="n"/>
      <c r="AO190" s="41" t="n"/>
      <c r="AP190" s="41" t="n"/>
      <c r="AQ190" s="41" t="n"/>
      <c r="AR190" s="41" t="n"/>
      <c r="AS190" s="41" t="n"/>
      <c r="AT190" s="41" t="n"/>
      <c r="AU190" s="41" t="n"/>
      <c r="AV190" s="41" t="n"/>
      <c r="AW190" s="41" t="n"/>
      <c r="AX190" s="41" t="n"/>
      <c r="AY190" s="41" t="n"/>
      <c r="AZ190" s="41" t="n"/>
      <c r="BA190" s="41" t="n"/>
      <c r="BB190" s="41" t="n"/>
      <c r="BC190" s="41" t="n"/>
      <c r="BD190" s="41" t="n"/>
    </row>
    <row r="191">
      <c r="C191" s="6" t="n"/>
    </row>
    <row r="192" customFormat="1" s="1">
      <c r="A192" s="1" t="inlineStr">
        <is>
          <t xml:space="preserve">Promo </t>
        </is>
      </c>
      <c r="D192" s="24" t="inlineStr">
        <is>
          <t>$k</t>
        </is>
      </c>
      <c r="E192" s="41" t="n">
        <v>44.67041</v>
      </c>
      <c r="F192" s="41" t="n">
        <v>22.18212</v>
      </c>
      <c r="G192" s="41" t="n">
        <v>29.00855</v>
      </c>
      <c r="H192" s="41" t="n">
        <v>29.42086</v>
      </c>
      <c r="I192" s="41" t="n">
        <v>35.08533</v>
      </c>
      <c r="J192" s="41" t="n">
        <v>8.85036</v>
      </c>
      <c r="K192" s="41" t="n">
        <v>17.51459</v>
      </c>
      <c r="L192" s="41" t="n">
        <v>48.73032</v>
      </c>
      <c r="M192" s="41" t="n">
        <v>57.54705000000001</v>
      </c>
      <c r="N192" s="41" t="n">
        <v>16.11398</v>
      </c>
      <c r="O192" s="41" t="n">
        <v>7.36188</v>
      </c>
      <c r="P192" s="41" t="n">
        <v>34.55707</v>
      </c>
      <c r="Q192" s="41" t="n">
        <v>48.75215</v>
      </c>
      <c r="R192" s="41" t="n">
        <v>18.90543</v>
      </c>
      <c r="S192" s="41" t="n">
        <v>4.91811</v>
      </c>
      <c r="T192" s="41" t="n">
        <v>15.30413</v>
      </c>
      <c r="U192" s="41" t="n">
        <v>32.61127</v>
      </c>
      <c r="V192" s="41" t="n">
        <v>42.59935</v>
      </c>
      <c r="W192" s="41" t="n">
        <v>4.751390000000001</v>
      </c>
      <c r="X192" s="41" t="n">
        <v>4.0914</v>
      </c>
      <c r="Y192" s="41" t="n">
        <v>29.69274</v>
      </c>
      <c r="Z192" s="41" t="n">
        <v>39.31711</v>
      </c>
      <c r="AA192" s="41" t="n">
        <v>5.78569</v>
      </c>
      <c r="AB192" s="41" t="n"/>
      <c r="AC192" s="41" t="n"/>
      <c r="AD192" s="41" t="n"/>
      <c r="AE192" s="41" t="n"/>
      <c r="AF192" s="41" t="n"/>
      <c r="AG192" s="41" t="n"/>
      <c r="AH192" s="41" t="n"/>
      <c r="AI192" s="41" t="n"/>
      <c r="AJ192" s="41" t="n"/>
      <c r="AK192" s="41" t="n"/>
      <c r="AL192" s="41" t="n"/>
      <c r="AM192" s="41" t="n"/>
      <c r="AN192" s="41" t="n"/>
      <c r="AO192" s="41" t="n"/>
      <c r="AP192" s="41" t="n"/>
      <c r="AQ192" s="41" t="n"/>
      <c r="AR192" s="41" t="n"/>
      <c r="AS192" s="41" t="n"/>
      <c r="AT192" s="41" t="n"/>
      <c r="AU192" s="41" t="n"/>
      <c r="AV192" s="41" t="n"/>
      <c r="AW192" s="41" t="n"/>
      <c r="AX192" s="41" t="n"/>
      <c r="AY192" s="41" t="n"/>
      <c r="AZ192" s="41" t="n"/>
      <c r="BA192" s="41" t="n"/>
      <c r="BB192" s="41" t="n"/>
      <c r="BC192" s="41" t="n"/>
      <c r="BD192" s="41" t="n"/>
    </row>
    <row r="193" ht="15.75" customFormat="1" customHeight="1" s="1">
      <c r="B193" s="31" t="inlineStr">
        <is>
          <t>Finance Actuals (Monthly)</t>
        </is>
      </c>
      <c r="D193" s="32" t="inlineStr">
        <is>
          <t>$k</t>
        </is>
      </c>
      <c r="E193" s="41" t="n"/>
      <c r="F193" s="41" t="n"/>
      <c r="G193" s="41" t="n"/>
      <c r="H193" s="41" t="n">
        <v>131.2552</v>
      </c>
      <c r="I193" s="41" t="n"/>
      <c r="J193" s="41" t="n"/>
      <c r="K193" s="41" t="n"/>
      <c r="L193" s="41" t="n">
        <v>109.74642</v>
      </c>
      <c r="M193" s="41" t="n"/>
      <c r="N193" s="41" t="n"/>
      <c r="O193" s="41" t="n"/>
      <c r="P193" s="41" t="n"/>
      <c r="Q193" s="41" t="n">
        <v>156.62207</v>
      </c>
      <c r="R193" s="41" t="n"/>
      <c r="S193" s="41" t="n"/>
      <c r="T193" s="41" t="n"/>
      <c r="U193" s="41" t="n">
        <v>101.05282</v>
      </c>
      <c r="V193" s="41" t="n"/>
      <c r="W193" s="41" t="n"/>
      <c r="X193" s="41" t="n"/>
      <c r="Y193" s="41" t="n"/>
      <c r="Z193" s="41" t="n">
        <v>112.06002</v>
      </c>
      <c r="AA193" s="41" t="n"/>
      <c r="AB193" s="41" t="n"/>
      <c r="AC193" s="41" t="n"/>
      <c r="AD193" s="41" t="n"/>
      <c r="AE193" s="41" t="n"/>
      <c r="AF193" s="41" t="n"/>
      <c r="AG193" s="41" t="n"/>
      <c r="AH193" s="41" t="n"/>
      <c r="AI193" s="41" t="n"/>
      <c r="AJ193" s="41" t="n"/>
      <c r="AK193" s="41" t="n"/>
      <c r="AL193" s="41" t="n"/>
      <c r="AM193" s="41" t="n"/>
      <c r="AN193" s="41" t="n"/>
      <c r="AO193" s="41" t="n"/>
      <c r="AP193" s="41" t="n"/>
      <c r="AQ193" s="41" t="n"/>
      <c r="AR193" s="41" t="n"/>
      <c r="AS193" s="41" t="n"/>
      <c r="AT193" s="41" t="n"/>
      <c r="AU193" s="41" t="n"/>
      <c r="AV193" s="41" t="n"/>
      <c r="AW193" s="41" t="n"/>
      <c r="AX193" s="41" t="n"/>
      <c r="AY193" s="41" t="n"/>
      <c r="AZ193" s="41" t="n"/>
      <c r="BA193" s="41" t="n"/>
      <c r="BB193" s="41" t="n"/>
      <c r="BC193" s="41" t="n"/>
      <c r="BD193" s="41" t="n"/>
    </row>
    <row r="194" customFormat="1" s="9">
      <c r="B194" s="9" t="inlineStr">
        <is>
          <t>Budgeted (Monthly)</t>
        </is>
      </c>
      <c r="D194" s="10" t="inlineStr">
        <is>
          <t>$k</t>
        </is>
      </c>
      <c r="E194" s="41" t="n"/>
      <c r="F194" s="41" t="n"/>
      <c r="G194" s="41" t="n"/>
      <c r="H194" s="41" t="n">
        <v>66.67209603489979</v>
      </c>
      <c r="I194" s="41" t="n"/>
      <c r="J194" s="41" t="n"/>
      <c r="K194" s="41" t="n"/>
      <c r="L194" s="41" t="n">
        <v>51.59123322641948</v>
      </c>
      <c r="M194" s="41" t="n"/>
      <c r="N194" s="41" t="n"/>
      <c r="O194" s="41" t="n"/>
      <c r="P194" s="41" t="n"/>
      <c r="Q194" s="41" t="n">
        <v>52.69869839668941</v>
      </c>
      <c r="R194" s="41" t="n"/>
      <c r="S194" s="41" t="n"/>
      <c r="T194" s="41" t="n"/>
      <c r="U194" s="41" t="n">
        <v>41.65774272207034</v>
      </c>
      <c r="V194" s="41" t="n"/>
      <c r="W194" s="41" t="n"/>
      <c r="X194" s="41" t="n"/>
      <c r="Y194" s="41" t="n"/>
      <c r="Z194" s="41" t="n">
        <v>58.97775773556774</v>
      </c>
      <c r="AA194" s="41" t="n"/>
      <c r="AB194" s="41" t="n"/>
      <c r="AC194" s="41" t="n"/>
      <c r="AD194" s="41" t="n">
        <v>54.02665873645324</v>
      </c>
      <c r="AE194" s="41" t="n"/>
      <c r="AF194" s="41" t="n"/>
      <c r="AG194" s="41" t="n"/>
      <c r="AH194" s="41" t="n">
        <v>100.7972372036713</v>
      </c>
      <c r="AI194" s="41" t="n"/>
      <c r="AJ194" s="41" t="n"/>
      <c r="AK194" s="41" t="n"/>
      <c r="AL194" s="41" t="n"/>
      <c r="AM194" s="41" t="n">
        <v>45.90416509779239</v>
      </c>
      <c r="AN194" s="41" t="n"/>
      <c r="AO194" s="41" t="n"/>
      <c r="AP194" s="41" t="n"/>
      <c r="AQ194" s="41" t="n">
        <v>68.32736876380628</v>
      </c>
      <c r="AR194" s="41" t="n"/>
      <c r="AS194" s="41" t="n"/>
      <c r="AT194" s="41" t="n"/>
      <c r="AU194" s="41" t="n">
        <v>170.7816230303037</v>
      </c>
      <c r="AV194" s="41" t="n"/>
      <c r="AW194" s="41" t="n"/>
      <c r="AX194" s="41" t="n"/>
      <c r="AY194" s="41" t="n"/>
      <c r="AZ194" s="41" t="n">
        <v>196.0246219502299</v>
      </c>
      <c r="BA194" s="41" t="n"/>
      <c r="BB194" s="41" t="n"/>
      <c r="BC194" s="41" t="n"/>
      <c r="BD194" s="41" t="n">
        <v>77.67697508665465</v>
      </c>
    </row>
    <row r="195">
      <c r="B195" t="inlineStr">
        <is>
          <t>As % of budget - this month</t>
        </is>
      </c>
      <c r="D195" s="6" t="inlineStr">
        <is>
          <t>%</t>
        </is>
      </c>
      <c r="E195" s="42" t="n"/>
      <c r="F195" s="42" t="n"/>
      <c r="G195" s="42" t="n"/>
      <c r="H195" s="42">
        <f>IFERROR(SUM(E192:H192)/H194,"")</f>
        <v/>
      </c>
      <c r="I195" s="42" t="n"/>
      <c r="J195" s="42" t="n"/>
      <c r="K195" s="42" t="n"/>
      <c r="L195" s="42">
        <f>IFERROR(SUM(I192:L192)/L194,"")</f>
        <v/>
      </c>
      <c r="M195" s="42" t="n"/>
      <c r="N195" s="42" t="n"/>
      <c r="O195" s="42" t="n"/>
      <c r="P195" s="42" t="n"/>
      <c r="Q195" s="42">
        <f>IFERROR(SUM(M192:Q192)/Q194,"")</f>
        <v/>
      </c>
      <c r="R195" s="42" t="n"/>
      <c r="S195" s="42" t="n"/>
      <c r="T195" s="42" t="n"/>
      <c r="U195" s="42">
        <f>IFERROR(SUM(R192:U192)/U194,"")</f>
        <v/>
      </c>
      <c r="V195" s="42" t="n"/>
      <c r="W195" s="42" t="n"/>
      <c r="X195" s="42" t="n"/>
      <c r="Y195" s="42" t="n"/>
      <c r="Z195" s="42">
        <f>IFERROR(SUM(V192:Z192)/Z194,"")</f>
        <v/>
      </c>
      <c r="AA195" s="42" t="n"/>
      <c r="AB195" s="42" t="n"/>
      <c r="AC195" s="42" t="n"/>
      <c r="AD195" s="42" t="n"/>
      <c r="AE195" s="42" t="n"/>
      <c r="AF195" s="42" t="n"/>
      <c r="AG195" s="42" t="n"/>
      <c r="AH195" s="42" t="n"/>
      <c r="AI195" s="42" t="n"/>
      <c r="AJ195" s="42" t="n"/>
      <c r="AK195" s="42" t="n"/>
      <c r="AL195" s="42" t="n"/>
      <c r="AM195" s="42" t="n"/>
      <c r="AN195" s="42" t="n"/>
      <c r="AO195" s="42" t="n"/>
      <c r="AP195" s="42" t="n"/>
      <c r="AQ195" s="42" t="n"/>
      <c r="AR195" s="42" t="n"/>
      <c r="AS195" s="42" t="n"/>
      <c r="AT195" s="42" t="n"/>
      <c r="AU195" s="42" t="n"/>
      <c r="AV195" s="42" t="n"/>
      <c r="AW195" s="42" t="n"/>
      <c r="AX195" s="42" t="n"/>
      <c r="AY195" s="42" t="n"/>
      <c r="AZ195" s="42" t="n"/>
      <c r="BA195" s="42" t="n"/>
      <c r="BB195" s="42" t="n"/>
      <c r="BC195" s="42" t="n"/>
      <c r="BD195" s="42" t="n"/>
    </row>
    <row r="196">
      <c r="B196" t="inlineStr">
        <is>
          <t>As % of budget - YTD</t>
        </is>
      </c>
      <c r="D196" s="6" t="inlineStr">
        <is>
          <t>%</t>
        </is>
      </c>
      <c r="E196" s="42" t="n"/>
      <c r="F196" s="42" t="n"/>
      <c r="G196" s="42" t="n"/>
      <c r="H196" s="42">
        <f>IFERROR(SUM($E$192:H192)/SUM($E$194:H194),"")</f>
        <v/>
      </c>
      <c r="I196" s="42" t="n"/>
      <c r="J196" s="42" t="n"/>
      <c r="K196" s="42" t="n"/>
      <c r="L196" s="42">
        <f>IFERROR(SUM($E$192:L192)/SUM($E$194:L194),"")</f>
        <v/>
      </c>
      <c r="M196" s="42" t="n"/>
      <c r="N196" s="42" t="n"/>
      <c r="O196" s="42" t="n"/>
      <c r="P196" s="42" t="n"/>
      <c r="Q196" s="42">
        <f>IFERROR(SUM($E$192:Q192)/SUM($E$194:Q194),"")</f>
        <v/>
      </c>
      <c r="R196" s="42" t="n"/>
      <c r="S196" s="42" t="n"/>
      <c r="T196" s="42" t="n"/>
      <c r="U196" s="42">
        <f>IFERROR(SUM($E$192:U192)/SUM($E$194:U194),"")</f>
        <v/>
      </c>
      <c r="V196" s="42" t="n"/>
      <c r="W196" s="42" t="n"/>
      <c r="X196" s="42" t="n"/>
      <c r="Y196" s="42" t="n"/>
      <c r="Z196" s="42">
        <f>IFERROR(SUM($E$192:Z192)/SUM($E$194:Z194),"")</f>
        <v/>
      </c>
      <c r="AA196" s="42" t="n"/>
      <c r="AB196" s="42" t="n"/>
      <c r="AC196" s="42" t="n"/>
      <c r="AD196" s="42" t="n"/>
      <c r="AE196" s="42" t="n"/>
      <c r="AF196" s="42" t="n"/>
      <c r="AG196" s="42" t="n"/>
      <c r="AH196" s="42" t="n"/>
      <c r="AI196" s="42" t="n"/>
      <c r="AJ196" s="42" t="n"/>
      <c r="AK196" s="42" t="n"/>
      <c r="AL196" s="42" t="n"/>
      <c r="AM196" s="42" t="n"/>
      <c r="AN196" s="42" t="n"/>
      <c r="AO196" s="42" t="n"/>
      <c r="AP196" s="42" t="n"/>
      <c r="AQ196" s="42" t="n"/>
      <c r="AR196" s="42" t="n"/>
      <c r="AS196" s="42" t="n"/>
      <c r="AT196" s="42" t="n"/>
      <c r="AU196" s="42" t="n"/>
      <c r="AV196" s="42" t="n"/>
      <c r="AW196" s="42" t="n"/>
      <c r="AX196" s="42" t="n"/>
      <c r="AY196" s="42" t="n"/>
      <c r="AZ196" s="42" t="n"/>
      <c r="BA196" s="42" t="n"/>
      <c r="BB196" s="42" t="n"/>
      <c r="BC196" s="42" t="n"/>
      <c r="BD196" s="42" t="n"/>
    </row>
    <row r="197"/>
    <row r="198" customFormat="1" s="1">
      <c r="A198" s="1" t="inlineStr">
        <is>
          <t>Ads</t>
        </is>
      </c>
      <c r="D198" s="24" t="inlineStr">
        <is>
          <t>$k</t>
        </is>
      </c>
      <c r="E198" s="41" t="n">
        <v>54.4255</v>
      </c>
      <c r="F198" s="41" t="n">
        <v>38.51414</v>
      </c>
      <c r="G198" s="41" t="n">
        <v>36.04068</v>
      </c>
      <c r="H198" s="41" t="n">
        <v>39.34256</v>
      </c>
      <c r="I198" s="41" t="n">
        <v>47.3189</v>
      </c>
      <c r="J198" s="41" t="n">
        <v>26.57542</v>
      </c>
      <c r="K198" s="41" t="n">
        <v>28.53181</v>
      </c>
      <c r="L198" s="41" t="n">
        <v>53.06933</v>
      </c>
      <c r="M198" s="41" t="n">
        <v>74.18224000000001</v>
      </c>
      <c r="N198" s="41" t="n">
        <v>40.59018</v>
      </c>
      <c r="O198" s="41" t="n">
        <v>33.00131</v>
      </c>
      <c r="P198" s="41" t="n">
        <v>51.236</v>
      </c>
      <c r="Q198" s="41" t="n">
        <v>64.90655000000001</v>
      </c>
      <c r="R198" s="41" t="n">
        <v>37.60924</v>
      </c>
      <c r="S198" s="41" t="n">
        <v>26.63017</v>
      </c>
      <c r="T198" s="41" t="n">
        <v>39.15215</v>
      </c>
      <c r="U198" s="41" t="n">
        <v>44.35764</v>
      </c>
      <c r="V198" s="41" t="n">
        <v>54.72473</v>
      </c>
      <c r="W198" s="41" t="n">
        <v>8.374000000000001</v>
      </c>
      <c r="X198" s="41" t="n">
        <v>10.33057</v>
      </c>
      <c r="Y198" s="41" t="n">
        <v>41.81375</v>
      </c>
      <c r="Z198" s="41" t="n">
        <v>50.55479</v>
      </c>
      <c r="AA198" s="41" t="n">
        <v>19.0568</v>
      </c>
      <c r="AB198" s="41" t="n"/>
      <c r="AC198" s="41" t="n"/>
      <c r="AD198" s="41" t="n"/>
      <c r="AE198" s="41" t="n"/>
      <c r="AF198" s="41" t="n"/>
      <c r="AG198" s="41" t="n"/>
      <c r="AH198" s="41" t="n"/>
      <c r="AI198" s="41" t="n"/>
      <c r="AJ198" s="41" t="n"/>
      <c r="AK198" s="41" t="n"/>
      <c r="AL198" s="41" t="n"/>
      <c r="AM198" s="41" t="n"/>
      <c r="AN198" s="41" t="n"/>
      <c r="AO198" s="41" t="n"/>
      <c r="AP198" s="41" t="n"/>
      <c r="AQ198" s="41" t="n"/>
      <c r="AR198" s="41" t="n"/>
      <c r="AS198" s="41" t="n"/>
      <c r="AT198" s="41" t="n"/>
      <c r="AU198" s="41" t="n"/>
      <c r="AV198" s="41" t="n"/>
      <c r="AW198" s="41" t="n"/>
      <c r="AX198" s="41" t="n"/>
      <c r="AY198" s="41" t="n"/>
      <c r="AZ198" s="41" t="n"/>
      <c r="BA198" s="41" t="n"/>
      <c r="BB198" s="41" t="n"/>
      <c r="BC198" s="41" t="n"/>
      <c r="BD198" s="41" t="n"/>
    </row>
    <row r="199" ht="15.75" customFormat="1" customHeight="1" s="1">
      <c r="B199" s="31" t="inlineStr">
        <is>
          <t>Finance Actuals (Monthly)</t>
        </is>
      </c>
      <c r="D199" s="32" t="inlineStr">
        <is>
          <t>$k</t>
        </is>
      </c>
      <c r="E199" s="41" t="n"/>
      <c r="F199" s="41" t="n"/>
      <c r="G199" s="41" t="n"/>
      <c r="H199" s="41" t="n">
        <v>195.05886</v>
      </c>
      <c r="I199" s="41" t="n"/>
      <c r="J199" s="41" t="n"/>
      <c r="K199" s="41" t="n"/>
      <c r="L199" s="41" t="n">
        <v>181.49381</v>
      </c>
      <c r="M199" s="41" t="n"/>
      <c r="N199" s="41" t="n"/>
      <c r="O199" s="41" t="n"/>
      <c r="P199" s="41" t="n"/>
      <c r="Q199" s="41" t="n">
        <v>245.06567</v>
      </c>
      <c r="R199" s="41" t="n"/>
      <c r="S199" s="41" t="n"/>
      <c r="T199" s="41" t="n"/>
      <c r="U199" s="41" t="n">
        <v>224.70571</v>
      </c>
      <c r="V199" s="41" t="n"/>
      <c r="W199" s="41" t="n"/>
      <c r="X199" s="41" t="n"/>
      <c r="Y199" s="41" t="n"/>
      <c r="Z199" s="41" t="n">
        <v>165.87953</v>
      </c>
      <c r="AA199" s="41" t="n"/>
      <c r="AB199" s="41" t="n"/>
      <c r="AC199" s="41" t="n"/>
      <c r="AD199" s="41" t="n"/>
      <c r="AE199" s="41" t="n"/>
      <c r="AF199" s="41" t="n"/>
      <c r="AG199" s="41" t="n"/>
      <c r="AH199" s="41" t="n"/>
      <c r="AI199" s="41" t="n"/>
      <c r="AJ199" s="41" t="n"/>
      <c r="AK199" s="41" t="n"/>
      <c r="AL199" s="41" t="n"/>
      <c r="AM199" s="41" t="n"/>
      <c r="AN199" s="41" t="n"/>
      <c r="AO199" s="41" t="n"/>
      <c r="AP199" s="41" t="n"/>
      <c r="AQ199" s="41" t="n"/>
      <c r="AR199" s="41" t="n"/>
      <c r="AS199" s="41" t="n"/>
      <c r="AT199" s="41" t="n"/>
      <c r="AU199" s="41" t="n"/>
      <c r="AV199" s="41" t="n"/>
      <c r="AW199" s="41" t="n"/>
      <c r="AX199" s="41" t="n"/>
      <c r="AY199" s="41" t="n"/>
      <c r="AZ199" s="41" t="n"/>
      <c r="BA199" s="41" t="n"/>
      <c r="BB199" s="41" t="n"/>
      <c r="BC199" s="41" t="n"/>
      <c r="BD199" s="41" t="n"/>
    </row>
    <row r="200" ht="15.75" customHeight="1">
      <c r="B200" s="9" t="inlineStr">
        <is>
          <t>Budgeted (Monthly)</t>
        </is>
      </c>
      <c r="C200" s="9" t="n"/>
      <c r="D200" s="10" t="inlineStr">
        <is>
          <t>$k</t>
        </is>
      </c>
      <c r="E200" s="41" t="n"/>
      <c r="F200" s="41" t="n"/>
      <c r="G200" s="41" t="n"/>
      <c r="H200" s="41" t="n">
        <v>159.1227600026032</v>
      </c>
      <c r="I200" s="41" t="n"/>
      <c r="J200" s="41" t="n"/>
      <c r="K200" s="41" t="n"/>
      <c r="L200" s="41" t="n">
        <v>82.46673343111851</v>
      </c>
      <c r="M200" s="41" t="n"/>
      <c r="N200" s="41" t="n"/>
      <c r="O200" s="41" t="n"/>
      <c r="P200" s="41" t="n"/>
      <c r="Q200" s="41" t="n">
        <v>128.7440416851451</v>
      </c>
      <c r="R200" s="41" t="n"/>
      <c r="S200" s="41" t="n"/>
      <c r="T200" s="41" t="n"/>
      <c r="U200" s="41" t="n">
        <v>80.55575050193988</v>
      </c>
      <c r="V200" s="41" t="n"/>
      <c r="W200" s="41" t="n"/>
      <c r="X200" s="41" t="n"/>
      <c r="Y200" s="41" t="n"/>
      <c r="Z200" s="41" t="n">
        <v>152.8480377042177</v>
      </c>
      <c r="AA200" s="41" t="n"/>
      <c r="AB200" s="41" t="n"/>
      <c r="AC200" s="41" t="n"/>
      <c r="AD200" s="41" t="n">
        <v>137.156306744519</v>
      </c>
      <c r="AE200" s="41" t="n"/>
      <c r="AF200" s="41" t="n"/>
      <c r="AG200" s="41" t="n"/>
      <c r="AH200" s="41" t="n">
        <v>115.1800030589649</v>
      </c>
      <c r="AI200" s="41" t="n"/>
      <c r="AJ200" s="41" t="n"/>
      <c r="AK200" s="41" t="n"/>
      <c r="AL200" s="41" t="n"/>
      <c r="AM200" s="41" t="n">
        <v>103.6353020641332</v>
      </c>
      <c r="AN200" s="41" t="n"/>
      <c r="AO200" s="41" t="n"/>
      <c r="AP200" s="41" t="n"/>
      <c r="AQ200" s="41" t="n">
        <v>153.0253453986776</v>
      </c>
      <c r="AR200" s="41" t="n"/>
      <c r="AS200" s="41" t="n"/>
      <c r="AT200" s="41" t="n"/>
      <c r="AU200" s="41" t="n">
        <v>225.0910727691456</v>
      </c>
      <c r="AV200" s="41" t="n"/>
      <c r="AW200" s="41" t="n"/>
      <c r="AX200" s="41" t="n"/>
      <c r="AY200" s="41" t="n"/>
      <c r="AZ200" s="41" t="n">
        <v>277.6628041764977</v>
      </c>
      <c r="BA200" s="41" t="n"/>
      <c r="BB200" s="41" t="n"/>
      <c r="BC200" s="41" t="n"/>
      <c r="BD200" s="41" t="n">
        <v>200.8885724753731</v>
      </c>
    </row>
    <row r="201">
      <c r="B201" t="inlineStr">
        <is>
          <t>As % of budget - this month</t>
        </is>
      </c>
      <c r="D201" s="6" t="inlineStr">
        <is>
          <t>%</t>
        </is>
      </c>
      <c r="E201" s="42" t="n"/>
      <c r="F201" s="42" t="n"/>
      <c r="G201" s="42" t="n"/>
      <c r="H201" s="42">
        <f>IFERROR(SUM(E198:H198)/H200,"")</f>
        <v/>
      </c>
      <c r="I201" s="42" t="n"/>
      <c r="J201" s="42" t="n"/>
      <c r="K201" s="42" t="n"/>
      <c r="L201" s="42">
        <f>IFERROR(SUM(I198:L198)/L200,"")</f>
        <v/>
      </c>
      <c r="M201" s="42" t="n"/>
      <c r="N201" s="42" t="n"/>
      <c r="O201" s="42" t="n"/>
      <c r="P201" s="42" t="n"/>
      <c r="Q201" s="42">
        <f>IFERROR(SUM(M198:Q198)/Q200,"")</f>
        <v/>
      </c>
      <c r="R201" s="42" t="n"/>
      <c r="S201" s="42" t="n"/>
      <c r="T201" s="42" t="n"/>
      <c r="U201" s="42">
        <f>IFERROR(SUM(R198:U198)/U200,"")</f>
        <v/>
      </c>
      <c r="V201" s="42" t="n"/>
      <c r="W201" s="42" t="n"/>
      <c r="X201" s="42" t="n"/>
      <c r="Y201" s="42" t="n"/>
      <c r="Z201" s="42">
        <f>IFERROR(SUM(V198:Z198)/Z200,"")</f>
        <v/>
      </c>
      <c r="AA201" s="42" t="n"/>
      <c r="AB201" s="42" t="n"/>
      <c r="AC201" s="42" t="n"/>
      <c r="AD201" s="42" t="n"/>
      <c r="AE201" s="42" t="n"/>
      <c r="AF201" s="42" t="n"/>
      <c r="AG201" s="42" t="n"/>
      <c r="AH201" s="42" t="n"/>
      <c r="AI201" s="42" t="n"/>
      <c r="AJ201" s="42" t="n"/>
      <c r="AK201" s="42" t="n"/>
      <c r="AL201" s="42" t="n"/>
      <c r="AM201" s="42" t="n"/>
      <c r="AN201" s="42" t="n"/>
      <c r="AO201" s="42" t="n"/>
      <c r="AP201" s="42" t="n"/>
      <c r="AQ201" s="42" t="n"/>
      <c r="AR201" s="42" t="n"/>
      <c r="AS201" s="42" t="n"/>
      <c r="AT201" s="42" t="n"/>
      <c r="AU201" s="42" t="n"/>
      <c r="AV201" s="42" t="n"/>
      <c r="AW201" s="42" t="n"/>
      <c r="AX201" s="42" t="n"/>
      <c r="AY201" s="42" t="n"/>
      <c r="AZ201" s="42" t="n"/>
      <c r="BA201" s="42" t="n"/>
      <c r="BB201" s="42" t="n"/>
      <c r="BC201" s="42" t="n"/>
      <c r="BD201" s="42" t="n"/>
    </row>
    <row r="202">
      <c r="B202" t="inlineStr">
        <is>
          <t>As % of budget - YTD</t>
        </is>
      </c>
      <c r="D202" s="6" t="inlineStr">
        <is>
          <t>%</t>
        </is>
      </c>
      <c r="E202" s="42" t="n"/>
      <c r="F202" s="42" t="n"/>
      <c r="G202" s="42" t="n"/>
      <c r="H202" s="42">
        <f>IFERROR(SUM($E$198:H198)/SUM($E$200:H200),"")</f>
        <v/>
      </c>
      <c r="I202" s="42" t="n"/>
      <c r="J202" s="42" t="n"/>
      <c r="K202" s="42" t="n"/>
      <c r="L202" s="42">
        <f>IFERROR(SUM($E$198:L198)/SUM($E$200:L200),"")</f>
        <v/>
      </c>
      <c r="M202" s="42" t="n"/>
      <c r="N202" s="42" t="n"/>
      <c r="O202" s="42" t="n"/>
      <c r="P202" s="42" t="n"/>
      <c r="Q202" s="42">
        <f>IFERROR(SUM($E$198:Q198)/SUM($E$200:Q200),"")</f>
        <v/>
      </c>
      <c r="R202" s="42" t="n"/>
      <c r="S202" s="42" t="n"/>
      <c r="T202" s="42" t="n"/>
      <c r="U202" s="42">
        <f>IFERROR(SUM($E$198:U198)/SUM($E$200:U200),"")</f>
        <v/>
      </c>
      <c r="V202" s="42" t="n"/>
      <c r="W202" s="42" t="n"/>
      <c r="X202" s="42" t="n"/>
      <c r="Y202" s="42" t="n"/>
      <c r="Z202" s="42">
        <f>IFERROR(SUM($E$198:Z198)/SUM($E$200:Z200),"")</f>
        <v/>
      </c>
      <c r="AA202" s="42" t="n"/>
      <c r="AB202" s="42" t="n"/>
      <c r="AC202" s="42" t="n"/>
      <c r="AD202" s="42" t="n"/>
      <c r="AE202" s="42" t="n"/>
      <c r="AF202" s="42" t="n"/>
      <c r="AG202" s="42" t="n"/>
      <c r="AH202" s="42" t="n"/>
      <c r="AI202" s="42" t="n"/>
      <c r="AJ202" s="42" t="n"/>
      <c r="AK202" s="42" t="n"/>
      <c r="AL202" s="42" t="n"/>
      <c r="AM202" s="42" t="n"/>
      <c r="AN202" s="42" t="n"/>
      <c r="AO202" s="42" t="n"/>
      <c r="AP202" s="42" t="n"/>
      <c r="AQ202" s="42" t="n"/>
      <c r="AR202" s="42" t="n"/>
      <c r="AS202" s="42" t="n"/>
      <c r="AT202" s="42" t="n"/>
      <c r="AU202" s="42" t="n"/>
      <c r="AV202" s="42" t="n"/>
      <c r="AW202" s="42" t="n"/>
      <c r="AX202" s="42" t="n"/>
      <c r="AY202" s="42" t="n"/>
      <c r="AZ202" s="42" t="n"/>
      <c r="BA202" s="42" t="n"/>
      <c r="BB202" s="42" t="n"/>
      <c r="BC202" s="42" t="n"/>
      <c r="BD202" s="42" t="n"/>
    </row>
    <row r="203"/>
    <row r="204" ht="15.75" customFormat="1" customHeight="1" s="1">
      <c r="A204" s="1" t="inlineStr">
        <is>
          <t>Other Marketing - Commissions &amp; Samples, etc.</t>
        </is>
      </c>
      <c r="D204" s="24" t="inlineStr">
        <is>
          <t>$k</t>
        </is>
      </c>
      <c r="E204" s="41" t="n"/>
      <c r="F204" s="41" t="n"/>
      <c r="G204" s="41" t="n"/>
      <c r="H204" s="41" t="n"/>
      <c r="I204" s="41" t="n"/>
      <c r="J204" s="41" t="n"/>
      <c r="K204" s="41" t="n"/>
      <c r="L204" s="41" t="n"/>
      <c r="M204" s="41" t="n"/>
      <c r="N204" s="41" t="n"/>
      <c r="O204" s="41" t="n"/>
      <c r="P204" s="41" t="n"/>
      <c r="Q204" s="41" t="n"/>
      <c r="R204" s="41" t="n"/>
      <c r="S204" s="41" t="n"/>
      <c r="T204" s="41" t="n"/>
      <c r="U204" s="41" t="n"/>
      <c r="V204" s="41" t="n"/>
      <c r="W204" s="41" t="n"/>
      <c r="X204" s="41" t="n"/>
      <c r="Y204" s="41" t="n"/>
      <c r="Z204" s="41" t="n"/>
      <c r="AA204" s="41" t="n"/>
      <c r="AB204" s="41" t="n"/>
      <c r="AC204" s="41" t="n"/>
      <c r="AD204" s="41" t="n"/>
      <c r="AE204" s="41" t="n"/>
      <c r="AF204" s="41" t="n"/>
      <c r="AG204" s="41" t="n"/>
      <c r="AH204" s="41" t="n"/>
      <c r="AI204" s="41" t="n"/>
      <c r="AJ204" s="41" t="n"/>
      <c r="AK204" s="41" t="n"/>
      <c r="AL204" s="41" t="n"/>
      <c r="AM204" s="41" t="n"/>
      <c r="AN204" s="41" t="n"/>
      <c r="AO204" s="41" t="n"/>
      <c r="AP204" s="41" t="n"/>
      <c r="AQ204" s="41" t="n"/>
      <c r="AR204" s="41" t="n"/>
      <c r="AS204" s="41" t="n"/>
      <c r="AT204" s="41" t="n"/>
      <c r="AU204" s="41" t="n"/>
      <c r="AV204" s="41" t="n"/>
      <c r="AW204" s="41" t="n"/>
      <c r="AX204" s="41" t="n"/>
      <c r="AY204" s="41" t="n"/>
      <c r="AZ204" s="41" t="n"/>
      <c r="BA204" s="41" t="n"/>
      <c r="BB204" s="41" t="n"/>
      <c r="BC204" s="41" t="n"/>
      <c r="BD204" s="41" t="n"/>
    </row>
    <row r="205" ht="15.75" customFormat="1" customHeight="1" s="1">
      <c r="B205" s="31" t="inlineStr">
        <is>
          <t>Finance Actuals (Monthly)</t>
        </is>
      </c>
      <c r="D205" s="32" t="inlineStr">
        <is>
          <t>$k</t>
        </is>
      </c>
      <c r="E205" s="41" t="n"/>
      <c r="F205" s="41" t="n"/>
      <c r="G205" s="41" t="n"/>
      <c r="H205" s="41" t="n">
        <v>204.27941</v>
      </c>
      <c r="I205" s="41" t="n"/>
      <c r="J205" s="41" t="n"/>
      <c r="K205" s="41" t="n"/>
      <c r="L205" s="41" t="n">
        <v>199.21472</v>
      </c>
      <c r="M205" s="41" t="n"/>
      <c r="N205" s="41" t="n"/>
      <c r="O205" s="41" t="n"/>
      <c r="P205" s="41" t="n"/>
      <c r="Q205" s="41" t="n">
        <v>188.48993</v>
      </c>
      <c r="R205" s="41" t="n"/>
      <c r="S205" s="41" t="n"/>
      <c r="T205" s="41" t="n"/>
      <c r="U205" s="41" t="n">
        <v>109.97725</v>
      </c>
      <c r="V205" s="41" t="n"/>
      <c r="W205" s="41" t="n"/>
      <c r="X205" s="41" t="n"/>
      <c r="Y205" s="41" t="n"/>
      <c r="Z205" s="41" t="n">
        <v>103.44292</v>
      </c>
      <c r="AA205" s="41" t="n"/>
      <c r="AB205" s="41" t="n"/>
      <c r="AC205" s="41" t="n"/>
      <c r="AD205" s="41" t="n"/>
      <c r="AE205" s="41" t="n"/>
      <c r="AF205" s="41" t="n"/>
      <c r="AG205" s="41" t="n"/>
      <c r="AH205" s="41" t="n"/>
      <c r="AI205" s="41" t="n"/>
      <c r="AJ205" s="41" t="n"/>
      <c r="AK205" s="41" t="n"/>
      <c r="AL205" s="41" t="n"/>
      <c r="AM205" s="41" t="n"/>
      <c r="AN205" s="41" t="n"/>
      <c r="AO205" s="41" t="n"/>
      <c r="AP205" s="41" t="n"/>
      <c r="AQ205" s="41" t="n"/>
      <c r="AR205" s="41" t="n"/>
      <c r="AS205" s="41" t="n"/>
      <c r="AT205" s="41" t="n"/>
      <c r="AU205" s="41" t="n"/>
      <c r="AV205" s="41" t="n"/>
      <c r="AW205" s="41" t="n"/>
      <c r="AX205" s="41" t="n"/>
      <c r="AY205" s="41" t="n"/>
      <c r="AZ205" s="41" t="n"/>
      <c r="BA205" s="41" t="n"/>
      <c r="BB205" s="41" t="n"/>
      <c r="BC205" s="41" t="n"/>
      <c r="BD205" s="41" t="n"/>
    </row>
    <row r="206" ht="15.75" customHeight="1">
      <c r="B206" s="9" t="inlineStr">
        <is>
          <t>Budgeted (Monthly)</t>
        </is>
      </c>
      <c r="C206" s="9" t="n"/>
      <c r="D206" s="10" t="inlineStr">
        <is>
          <t>$k</t>
        </is>
      </c>
      <c r="E206" s="41" t="n"/>
      <c r="F206" s="41" t="n"/>
      <c r="G206" s="41" t="n"/>
      <c r="H206" s="41" t="n">
        <v>136.8333333333333</v>
      </c>
      <c r="I206" s="41" t="n"/>
      <c r="J206" s="41" t="n"/>
      <c r="K206" s="41" t="n"/>
      <c r="L206" s="41" t="n">
        <v>136.8333333333333</v>
      </c>
      <c r="M206" s="41" t="n"/>
      <c r="N206" s="41" t="n"/>
      <c r="O206" s="41" t="n"/>
      <c r="P206" s="41" t="n"/>
      <c r="Q206" s="41" t="n">
        <v>136.8333333333333</v>
      </c>
      <c r="R206" s="41" t="n"/>
      <c r="S206" s="41" t="n"/>
      <c r="T206" s="41" t="n"/>
      <c r="U206" s="41" t="n">
        <v>136.8333333333333</v>
      </c>
      <c r="V206" s="41" t="n"/>
      <c r="W206" s="41" t="n"/>
      <c r="X206" s="41" t="n"/>
      <c r="Y206" s="41" t="n"/>
      <c r="Z206" s="41" t="n">
        <v>136.8333333333333</v>
      </c>
      <c r="AA206" s="41" t="n"/>
      <c r="AB206" s="41" t="n"/>
      <c r="AC206" s="41" t="n"/>
      <c r="AD206" s="41" t="n">
        <v>136.8333333333333</v>
      </c>
      <c r="AE206" s="41" t="n"/>
      <c r="AF206" s="41" t="n"/>
      <c r="AG206" s="41" t="n"/>
      <c r="AH206" s="41" t="n">
        <v>136.8333333333333</v>
      </c>
      <c r="AI206" s="41" t="n"/>
      <c r="AJ206" s="41" t="n"/>
      <c r="AK206" s="41" t="n"/>
      <c r="AL206" s="41" t="n"/>
      <c r="AM206" s="41" t="n">
        <v>136.8333333333333</v>
      </c>
      <c r="AN206" s="41" t="n"/>
      <c r="AO206" s="41" t="n"/>
      <c r="AP206" s="41" t="n"/>
      <c r="AQ206" s="41" t="n">
        <v>136.8333333333333</v>
      </c>
      <c r="AR206" s="41" t="n"/>
      <c r="AS206" s="41" t="n"/>
      <c r="AT206" s="41" t="n"/>
      <c r="AU206" s="41" t="n">
        <v>136.8333333333333</v>
      </c>
      <c r="AV206" s="41" t="n"/>
      <c r="AW206" s="41" t="n"/>
      <c r="AX206" s="41" t="n"/>
      <c r="AY206" s="41" t="n"/>
      <c r="AZ206" s="41" t="n">
        <v>136.8333333333333</v>
      </c>
      <c r="BA206" s="41" t="n"/>
      <c r="BB206" s="41" t="n"/>
      <c r="BC206" s="41" t="n"/>
      <c r="BD206" s="41" t="n">
        <v>136.8333333333333</v>
      </c>
    </row>
    <row r="207">
      <c r="B207" t="inlineStr">
        <is>
          <t>As % of budget - this month</t>
        </is>
      </c>
      <c r="D207" s="6" t="inlineStr">
        <is>
          <t>%</t>
        </is>
      </c>
      <c r="E207" s="42" t="n"/>
      <c r="F207" s="42" t="n"/>
      <c r="G207" s="42" t="n"/>
      <c r="H207" s="42">
        <f>IFERROR(SUM(E204:H204)/H206,"")</f>
        <v/>
      </c>
      <c r="I207" s="42" t="n"/>
      <c r="J207" s="42" t="n"/>
      <c r="K207" s="42" t="n"/>
      <c r="L207" s="42">
        <f>IFERROR(SUM(I204:L204)/L206,"")</f>
        <v/>
      </c>
      <c r="M207" s="42" t="n"/>
      <c r="N207" s="42" t="n"/>
      <c r="O207" s="42" t="n"/>
      <c r="P207" s="42" t="n"/>
      <c r="Q207" s="42">
        <f>IFERROR(SUM(M204:Q204)/Q206,"")</f>
        <v/>
      </c>
      <c r="R207" s="42" t="n"/>
      <c r="S207" s="42" t="n"/>
      <c r="T207" s="42" t="n"/>
      <c r="U207" s="42">
        <f>IFERROR(SUM(R204:U204)/U206,"")</f>
        <v/>
      </c>
      <c r="V207" s="42" t="n"/>
      <c r="W207" s="42" t="n"/>
      <c r="X207" s="42" t="n"/>
      <c r="Y207" s="42" t="n"/>
      <c r="Z207" s="42">
        <f>IFERROR(SUM(V204:Z204)/Z206,"")</f>
        <v/>
      </c>
      <c r="AA207" s="42" t="n"/>
      <c r="AB207" s="42" t="n"/>
      <c r="AC207" s="42" t="n"/>
      <c r="AD207" s="42" t="n"/>
      <c r="AE207" s="42" t="n"/>
      <c r="AF207" s="42" t="n"/>
      <c r="AG207" s="42" t="n"/>
      <c r="AH207" s="42" t="n"/>
      <c r="AI207" s="42" t="n"/>
      <c r="AJ207" s="42" t="n"/>
      <c r="AK207" s="42" t="n"/>
      <c r="AL207" s="42" t="n"/>
      <c r="AM207" s="42" t="n"/>
      <c r="AN207" s="42" t="n"/>
      <c r="AO207" s="42" t="n"/>
      <c r="AP207" s="42" t="n"/>
      <c r="AQ207" s="42" t="n"/>
      <c r="AR207" s="42" t="n"/>
      <c r="AS207" s="42" t="n"/>
      <c r="AT207" s="42" t="n"/>
      <c r="AU207" s="42" t="n"/>
      <c r="AV207" s="42" t="n"/>
      <c r="AW207" s="42" t="n"/>
      <c r="AX207" s="42" t="n"/>
      <c r="AY207" s="42" t="n"/>
      <c r="AZ207" s="42" t="n"/>
      <c r="BA207" s="42" t="n"/>
      <c r="BB207" s="42" t="n"/>
      <c r="BC207" s="42" t="n"/>
      <c r="BD207" s="42" t="n"/>
    </row>
    <row r="208">
      <c r="B208" t="inlineStr">
        <is>
          <t>As % of budget - YTD</t>
        </is>
      </c>
      <c r="D208" s="6" t="inlineStr">
        <is>
          <t>%</t>
        </is>
      </c>
      <c r="E208" s="42" t="n"/>
      <c r="F208" s="42" t="n"/>
      <c r="G208" s="42" t="n"/>
      <c r="H208" s="42">
        <f>IFERROR(SUM($E$204:H204)/SUM($E$206:H206),"")</f>
        <v/>
      </c>
      <c r="I208" s="42" t="n"/>
      <c r="J208" s="42" t="n"/>
      <c r="K208" s="42" t="n"/>
      <c r="L208" s="42">
        <f>IFERROR(SUM($E$204:L204)/SUM($E$206:L206),"")</f>
        <v/>
      </c>
      <c r="M208" s="42" t="n"/>
      <c r="N208" s="42" t="n"/>
      <c r="O208" s="42" t="n"/>
      <c r="P208" s="42" t="n"/>
      <c r="Q208" s="42">
        <f>IFERROR(SUM($E$204:Q204)/SUM($E$206:Q206),"")</f>
        <v/>
      </c>
      <c r="R208" s="42" t="n"/>
      <c r="S208" s="42" t="n"/>
      <c r="T208" s="42" t="n"/>
      <c r="U208" s="42">
        <f>IFERROR(SUM($E$204:U204)/SUM($E$206:U206),"")</f>
        <v/>
      </c>
      <c r="V208" s="42" t="n"/>
      <c r="W208" s="42" t="n"/>
      <c r="X208" s="42" t="n"/>
      <c r="Y208" s="42" t="n"/>
      <c r="Z208" s="42">
        <f>IFERROR(SUM($E$204:Z204)/SUM($E$206:Z206),"")</f>
        <v/>
      </c>
      <c r="AA208" s="42" t="n"/>
      <c r="AB208" s="42" t="n"/>
      <c r="AC208" s="42" t="n"/>
      <c r="AD208" s="42" t="n"/>
      <c r="AE208" s="42" t="n"/>
      <c r="AF208" s="42" t="n"/>
      <c r="AG208" s="42" t="n"/>
      <c r="AH208" s="42" t="n"/>
      <c r="AI208" s="42" t="n"/>
      <c r="AJ208" s="42" t="n"/>
      <c r="AK208" s="42" t="n"/>
      <c r="AL208" s="42" t="n"/>
      <c r="AM208" s="42" t="n"/>
      <c r="AN208" s="42" t="n"/>
      <c r="AO208" s="42" t="n"/>
      <c r="AP208" s="42" t="n"/>
      <c r="AQ208" s="42" t="n"/>
      <c r="AR208" s="42" t="n"/>
      <c r="AS208" s="42" t="n"/>
      <c r="AT208" s="42" t="n"/>
      <c r="AU208" s="42" t="n"/>
      <c r="AV208" s="42" t="n"/>
      <c r="AW208" s="42" t="n"/>
      <c r="AX208" s="42" t="n"/>
      <c r="AY208" s="42" t="n"/>
      <c r="AZ208" s="42" t="n"/>
      <c r="BA208" s="42" t="n"/>
      <c r="BB208" s="42" t="n"/>
      <c r="BC208" s="42" t="n"/>
      <c r="BD208" s="42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Tina Si</dc:creator>
  <dcterms:created xmlns:dcterms="http://purl.org/dc/terms/" xmlns:xsi="http://www.w3.org/2001/XMLSchema-instance" xsi:type="dcterms:W3CDTF">2026-05-14T18:29:42Z</dcterms:created>
  <dcterms:modified xmlns:dcterms="http://purl.org/dc/terms/" xmlns:xsi="http://www.w3.org/2001/XMLSchema-instance" xsi:type="dcterms:W3CDTF">2026-06-18T09:01:49Z</dcterms:modified>
</cp:coreProperties>
</file>