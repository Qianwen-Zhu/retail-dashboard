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80" yWindow="500" windowWidth="27640" windowHeight="15800" tabRatio="600" firstSheet="0" activeTab="0" autoFilterDateGrouping="1"/>
  </bookViews>
  <sheets>
    <sheet xmlns:r="http://schemas.openxmlformats.org/officeDocument/2006/relationships" name="Dashboard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i val="1"/>
      <color theme="1"/>
      <sz val="12"/>
      <scheme val="minor"/>
    </font>
    <font>
      <name val="Aptos Narrow"/>
      <family val="2"/>
      <color theme="4"/>
      <sz val="12"/>
      <scheme val="minor"/>
    </font>
    <font>
      <name val="Aptos Narrow"/>
      <family val="2"/>
      <color theme="0" tint="-0.499984740745262"/>
      <sz val="12"/>
      <scheme val="minor"/>
    </font>
    <font>
      <name val="Aptos Narrow"/>
      <b val="1"/>
      <color theme="0" tint="-0.499984740745262"/>
      <sz val="12"/>
      <scheme val="minor"/>
    </font>
    <font>
      <name val="Aptos Narrow"/>
      <color theme="0" tint="-0.499984740745262"/>
      <sz val="12"/>
      <scheme val="minor"/>
    </font>
    <font>
      <name val="Aptos Narrow"/>
      <b val="1"/>
      <color theme="4"/>
      <sz val="12"/>
      <scheme val="minor"/>
    </font>
    <font>
      <name val="Aptos Narrow"/>
      <color theme="4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i val="1"/>
      <color theme="0"/>
      <sz val="12"/>
      <scheme val="minor"/>
    </font>
    <font>
      <name val="Aptos Narrow"/>
      <color theme="1"/>
      <sz val="12"/>
      <scheme val="minor"/>
    </font>
    <font>
      <name val="Aptos Narrow"/>
      <color theme="1"/>
      <sz val="12"/>
    </font>
    <font>
      <name val="Aptos Narrow"/>
      <b val="1"/>
      <color theme="1"/>
      <sz val="12"/>
    </font>
    <font>
      <name val="Aptos Narrow"/>
      <color theme="4"/>
      <sz val="12"/>
    </font>
    <font>
      <name val="Aptos Narrow"/>
      <color theme="0" tint="-0.499984740745262"/>
      <sz val="12"/>
    </font>
    <font>
      <name val="Aptos Narrow"/>
      <i val="1"/>
      <color theme="1"/>
      <sz val="12"/>
    </font>
  </fonts>
  <fills count="8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599993896298104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2" borderId="0" pivotButton="0" quotePrefix="0" xfId="0"/>
    <xf numFmtId="0" fontId="11" fillId="2" borderId="0" pivotButton="0" quotePrefix="0" xfId="0"/>
    <xf numFmtId="0" fontId="12" fillId="2" borderId="0" applyAlignment="1" pivotButton="0" quotePrefix="0" xfId="0">
      <alignment horizontal="center"/>
    </xf>
    <xf numFmtId="0" fontId="11" fillId="3" borderId="0" pivotButton="0" quotePrefix="0" xfId="0"/>
    <xf numFmtId="0" fontId="12" fillId="3" borderId="0" applyAlignment="1" pivotButton="0" quotePrefix="0" xfId="0">
      <alignment horizontal="center"/>
    </xf>
    <xf numFmtId="0" fontId="1" fillId="3" borderId="0" pivotButton="0" quotePrefix="0" xfId="0"/>
    <xf numFmtId="0" fontId="1" fillId="0" borderId="0" applyAlignment="1" pivotButton="0" quotePrefix="0" xfId="0">
      <alignment horizontal="center"/>
    </xf>
    <xf numFmtId="0" fontId="1" fillId="4" borderId="0" pivotButton="0" quotePrefix="0" xfId="0"/>
    <xf numFmtId="0" fontId="11" fillId="4" borderId="0" pivotButton="0" quotePrefix="0" xfId="0"/>
    <xf numFmtId="0" fontId="12" fillId="4" borderId="0" applyAlignment="1" pivotButton="0" quotePrefix="0" xfId="0">
      <alignment horizontal="center"/>
    </xf>
    <xf numFmtId="0" fontId="1" fillId="5" borderId="0" pivotButton="0" quotePrefix="0" xfId="0"/>
    <xf numFmtId="0" fontId="11" fillId="5" borderId="0" pivotButton="0" quotePrefix="0" xfId="0"/>
    <xf numFmtId="0" fontId="12" fillId="5" borderId="0" applyAlignment="1" pivotButton="0" quotePrefix="0" xfId="0">
      <alignment horizontal="center"/>
    </xf>
    <xf numFmtId="0" fontId="13" fillId="0" borderId="0" pivotButton="0" quotePrefix="0" xfId="0"/>
    <xf numFmtId="0" fontId="1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6" borderId="0" pivotButton="0" quotePrefix="0" xfId="0"/>
    <xf numFmtId="0" fontId="11" fillId="6" borderId="0" pivotButton="0" quotePrefix="0" xfId="0"/>
    <xf numFmtId="0" fontId="12" fillId="6" borderId="0" applyAlignment="1" pivotButton="0" quotePrefix="0" xfId="0">
      <alignment horizontal="center"/>
    </xf>
    <xf numFmtId="0" fontId="1" fillId="7" borderId="0" pivotButton="0" quotePrefix="0" xfId="0"/>
    <xf numFmtId="0" fontId="11" fillId="7" borderId="0" pivotButton="0" quotePrefix="0" xfId="0"/>
    <xf numFmtId="0" fontId="12" fillId="7" borderId="0" applyAlignment="1" pivotButton="0" quotePrefix="0" xfId="0">
      <alignment horizontal="center"/>
    </xf>
    <xf numFmtId="0" fontId="1" fillId="0" borderId="0" pivotButton="0" quotePrefix="0" xfId="0"/>
    <xf numFmtId="3" fontId="14" fillId="0" borderId="0" pivotButton="0" quotePrefix="0" xfId="0"/>
    <xf numFmtId="3" fontId="15" fillId="0" borderId="0" pivotButton="0" quotePrefix="0" xfId="0"/>
    <xf numFmtId="9" fontId="16" fillId="0" borderId="0" pivotButton="0" quotePrefix="0" xfId="0"/>
    <xf numFmtId="3" fontId="17" fillId="0" borderId="0" pivotButton="0" quotePrefix="0" xfId="0"/>
    <xf numFmtId="9" fontId="14" fillId="0" borderId="0" pivotButton="0" quotePrefix="0" xfId="0"/>
    <xf numFmtId="9" fontId="18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tc={B79BA3E3-E585-964D-9C92-483DFB65026F}</author>
    <author>tc={017799DC-20F9-774D-B346-E298DE127B5D}</author>
    <author>tc={634ACAA1-0E94-4376-ACB7-71D8813F2AF1}</author>
    <author>tc={82AF0F11-C6B4-F04D-A9ED-3915416AF9D9}</author>
    <author>tc={386011EC-DBE4-41A2-83DF-66AEF797BEDD}</author>
    <author>tc={1AFEDADD-C365-E749-8232-528FAE26FA5F}</author>
    <author>tc={7DA3C9F3-4C95-4438-8FD7-0EA0ADAF259C}</author>
    <author>tc={380AB180-B1D9-2D42-90D3-AB6531D1AE69}</author>
    <author>tc={67A3F2EF-43BD-4596-8C9E-95EE0B936536}</author>
    <author>tc={4D860FE9-95F1-44AC-8668-2173C60219B6}</author>
    <author>tc={7D78CC43-3312-0244-804C-8514DA03F6E7}</author>
  </authors>
  <commentList>
    <comment ref="A20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channels excluding DTC</t>
      </text>
    </comment>
    <comment ref="A44" authorId="1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# purchases - New to Brand</t>
      </text>
    </comment>
    <comment ref="A57" authorId="2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85" authorId="3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15" authorId="4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29" authorId="5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59" authorId="6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173" authorId="7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03" authorId="8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33" authorId="9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  <comment ref="A247" authorId="1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Monthly tracking following finance data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252"/>
  <sheetViews>
    <sheetView tabSelected="1" workbookViewId="0">
      <pane xSplit="4" ySplit="6" topLeftCell="E217" activePane="bottomRight" state="frozen"/>
      <selection pane="bottomRight" activeCell="A233" sqref="A233"/>
      <selection pane="bottomLeft" activeCell="A7" sqref="A7"/>
      <selection pane="topRight" activeCell="E1" sqref="E1"/>
    </sheetView>
  </sheetViews>
  <sheetFormatPr baseColWidth="8" defaultColWidth="11" defaultRowHeight="15.95"/>
  <cols>
    <col width="3.5" customWidth="1" min="1" max="1"/>
    <col width="5.5" customWidth="1" min="2" max="2"/>
    <col width="19.5" customWidth="1" min="3" max="3"/>
    <col width="8.625" customWidth="1" style="6" min="4" max="4"/>
    <col width="8.625" customWidth="1" min="5" max="5"/>
  </cols>
  <sheetData>
    <row r="1" customFormat="1" s="40">
      <c r="B1" s="4" t="inlineStr">
        <is>
          <t>Weeks ending</t>
        </is>
      </c>
      <c r="C1" s="4" t="n"/>
      <c r="D1" s="5" t="n"/>
      <c r="E1" s="2" t="n">
        <v>46026</v>
      </c>
      <c r="F1" s="2">
        <f>E1+7</f>
        <v/>
      </c>
      <c r="G1" s="2">
        <f>F1+7</f>
        <v/>
      </c>
      <c r="H1" s="2">
        <f>G1+7</f>
        <v/>
      </c>
      <c r="I1" s="2">
        <f>H1+7</f>
        <v/>
      </c>
      <c r="J1" s="2">
        <f>I1+7</f>
        <v/>
      </c>
      <c r="K1" s="2">
        <f>J1+7</f>
        <v/>
      </c>
      <c r="L1" s="2">
        <f>K1+7</f>
        <v/>
      </c>
      <c r="M1" s="2">
        <f>L1+7</f>
        <v/>
      </c>
      <c r="N1" s="2">
        <f>M1+7</f>
        <v/>
      </c>
      <c r="O1" s="2">
        <f>N1+7</f>
        <v/>
      </c>
      <c r="P1" s="2">
        <f>O1+7</f>
        <v/>
      </c>
      <c r="Q1" s="2">
        <f>P1+7</f>
        <v/>
      </c>
      <c r="R1" s="2">
        <f>Q1+7</f>
        <v/>
      </c>
      <c r="S1" s="2">
        <f>R1+7</f>
        <v/>
      </c>
      <c r="T1" s="2">
        <f>S1+7</f>
        <v/>
      </c>
      <c r="U1" s="2">
        <f>T1+7</f>
        <v/>
      </c>
      <c r="V1" s="2">
        <f>U1+7</f>
        <v/>
      </c>
      <c r="W1" s="2">
        <f>V1+7</f>
        <v/>
      </c>
      <c r="X1" s="2">
        <f>W1+7</f>
        <v/>
      </c>
      <c r="Y1" s="2">
        <f>X1+7</f>
        <v/>
      </c>
      <c r="Z1" s="2">
        <f>Y1+7</f>
        <v/>
      </c>
      <c r="AA1" s="2">
        <f>Z1+7</f>
        <v/>
      </c>
      <c r="AB1" s="2">
        <f>AA1+7</f>
        <v/>
      </c>
      <c r="AC1" s="2">
        <f>AB1+7</f>
        <v/>
      </c>
      <c r="AD1" s="2">
        <f>AC1+7</f>
        <v/>
      </c>
      <c r="AE1" s="2">
        <f>AD1+7</f>
        <v/>
      </c>
      <c r="AF1" s="2">
        <f>AE1+7</f>
        <v/>
      </c>
      <c r="AG1" s="2">
        <f>AF1+7</f>
        <v/>
      </c>
      <c r="AH1" s="2">
        <f>AG1+7</f>
        <v/>
      </c>
      <c r="AI1" s="2">
        <f>AH1+7</f>
        <v/>
      </c>
      <c r="AJ1" s="2">
        <f>AI1+7</f>
        <v/>
      </c>
      <c r="AK1" s="2">
        <f>AJ1+7</f>
        <v/>
      </c>
      <c r="AL1" s="2">
        <f>AK1+7</f>
        <v/>
      </c>
      <c r="AM1" s="2">
        <f>AL1+7</f>
        <v/>
      </c>
      <c r="AN1" s="2">
        <f>AM1+7</f>
        <v/>
      </c>
      <c r="AO1" s="2">
        <f>AN1+7</f>
        <v/>
      </c>
      <c r="AP1" s="2">
        <f>AO1+7</f>
        <v/>
      </c>
      <c r="AQ1" s="2">
        <f>AP1+7</f>
        <v/>
      </c>
      <c r="AR1" s="2">
        <f>AQ1+7</f>
        <v/>
      </c>
      <c r="AS1" s="2">
        <f>AR1+7</f>
        <v/>
      </c>
      <c r="AT1" s="2">
        <f>AS1+7</f>
        <v/>
      </c>
      <c r="AU1" s="2">
        <f>AT1+7</f>
        <v/>
      </c>
      <c r="AV1" s="2">
        <f>AU1+7</f>
        <v/>
      </c>
      <c r="AW1" s="2">
        <f>AV1+7</f>
        <v/>
      </c>
      <c r="AX1" s="2">
        <f>AW1+7</f>
        <v/>
      </c>
      <c r="AY1" s="2">
        <f>AX1+7</f>
        <v/>
      </c>
      <c r="AZ1" s="2">
        <f>AY1+7</f>
        <v/>
      </c>
      <c r="BA1" s="2">
        <f>AZ1+7</f>
        <v/>
      </c>
      <c r="BB1" s="2">
        <f>BA1+7</f>
        <v/>
      </c>
      <c r="BC1" s="2">
        <f>BB1+7</f>
        <v/>
      </c>
      <c r="BD1" s="2">
        <f>BC1+7</f>
        <v/>
      </c>
      <c r="BE1" s="2">
        <f>BD1+7</f>
        <v/>
      </c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  <c r="CG1" s="2" t="n"/>
      <c r="CH1" s="2" t="n"/>
      <c r="CI1" s="2" t="n"/>
    </row>
    <row r="2">
      <c r="A2" s="40" t="n"/>
      <c r="D2" s="5" t="inlineStr">
        <is>
          <t>Unit</t>
        </is>
      </c>
    </row>
    <row r="3" customFormat="1" s="31">
      <c r="A3" s="31" t="inlineStr">
        <is>
          <t>Sell-in value -- all channels</t>
        </is>
      </c>
      <c r="D3" s="32" t="inlineStr">
        <is>
          <t>$k</t>
        </is>
      </c>
      <c r="E3" s="41" t="n">
        <v>4956.05008929662</v>
      </c>
      <c r="F3" s="41" t="n">
        <v>2237.4512113112</v>
      </c>
      <c r="G3" s="41" t="n">
        <v>2335.4586737674</v>
      </c>
      <c r="H3" s="41" t="n">
        <v>1649.07083781414</v>
      </c>
      <c r="I3" s="41" t="n">
        <v>4150.7015449296</v>
      </c>
      <c r="J3" s="41" t="n">
        <v>2442.7975764364</v>
      </c>
      <c r="K3" s="41" t="n">
        <v>2422.39902996014</v>
      </c>
      <c r="L3" s="41" t="n">
        <v>3638.85222668684</v>
      </c>
      <c r="M3" s="41" t="n">
        <v>3854.504668764</v>
      </c>
      <c r="N3" s="41" t="n">
        <v>5146.87236335751</v>
      </c>
      <c r="O3" s="41" t="n">
        <v>1873.12654342892</v>
      </c>
      <c r="P3" s="41" t="n">
        <v>3799.64861455711</v>
      </c>
      <c r="Q3" s="41" t="n">
        <v>2194.51577538332</v>
      </c>
      <c r="R3" s="41" t="n">
        <v>2690.88277960665</v>
      </c>
      <c r="S3" s="41" t="n">
        <v>2624.02298683649</v>
      </c>
      <c r="T3" s="41" t="n">
        <v>3427.01404612472</v>
      </c>
      <c r="U3" s="41" t="n">
        <v>3319.94226771396</v>
      </c>
      <c r="V3" s="41" t="n">
        <v>4744.59565836478</v>
      </c>
      <c r="W3" s="41" t="n">
        <v>5035.0203536147</v>
      </c>
      <c r="X3" s="41" t="n">
        <v>2871.07439712839</v>
      </c>
      <c r="Y3" s="41" t="n">
        <v>7353.19002671799</v>
      </c>
      <c r="Z3" s="41" t="n">
        <v>2421.48277689049</v>
      </c>
      <c r="AA3" s="41" t="n">
        <v>3367.28271597657</v>
      </c>
      <c r="AB3" s="41" t="n">
        <v>3803.31125892043</v>
      </c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  <c r="AL3" s="41" t="n"/>
      <c r="AM3" s="41" t="n"/>
      <c r="AN3" s="41" t="n"/>
      <c r="AO3" s="41" t="n"/>
      <c r="AP3" s="41" t="n"/>
      <c r="AQ3" s="41" t="n"/>
      <c r="AR3" s="41" t="n"/>
      <c r="AS3" s="41" t="n"/>
      <c r="AT3" s="41" t="n"/>
      <c r="AU3" s="41" t="n"/>
      <c r="AV3" s="41" t="n"/>
      <c r="AW3" s="41" t="n"/>
      <c r="AX3" s="41" t="n"/>
      <c r="AY3" s="41" t="n"/>
      <c r="AZ3" s="41" t="n"/>
      <c r="BA3" s="41" t="n"/>
      <c r="BB3" s="41" t="n"/>
      <c r="BC3" s="41" t="n"/>
      <c r="BD3" s="41" t="n"/>
    </row>
    <row r="4" customFormat="1" s="31">
      <c r="A4" s="31" t="inlineStr">
        <is>
          <t>Sell-through untis -- all channels</t>
        </is>
      </c>
      <c r="D4" s="32" t="inlineStr">
        <is>
          <t>#</t>
        </is>
      </c>
      <c r="E4" s="41" t="n">
        <v>148534</v>
      </c>
      <c r="F4" s="41" t="n">
        <v>84186</v>
      </c>
      <c r="G4" s="41" t="n">
        <v>84112</v>
      </c>
      <c r="H4" s="41" t="n">
        <v>71550</v>
      </c>
      <c r="I4" s="41" t="n">
        <v>68139</v>
      </c>
      <c r="J4" s="41" t="n">
        <v>70649</v>
      </c>
      <c r="K4" s="41" t="n">
        <v>77324</v>
      </c>
      <c r="L4" s="41" t="n">
        <v>82636</v>
      </c>
      <c r="M4" s="41" t="n">
        <v>98319</v>
      </c>
      <c r="N4" s="41" t="n">
        <v>78073</v>
      </c>
      <c r="O4" s="41" t="n">
        <v>76630</v>
      </c>
      <c r="P4" s="41" t="n">
        <v>74714</v>
      </c>
      <c r="Q4" s="41" t="n">
        <v>90710</v>
      </c>
      <c r="R4" s="41" t="n">
        <v>81960</v>
      </c>
      <c r="S4" s="41" t="n">
        <v>81896</v>
      </c>
      <c r="T4" s="41" t="n">
        <v>87669</v>
      </c>
      <c r="U4" s="41" t="n">
        <v>71337</v>
      </c>
      <c r="V4" s="41" t="n">
        <v>79014</v>
      </c>
      <c r="W4" s="41" t="n">
        <v>73090</v>
      </c>
      <c r="X4" s="41" t="n">
        <v>74602</v>
      </c>
      <c r="Y4" s="41" t="n">
        <v>89317</v>
      </c>
      <c r="Z4" s="41" t="n">
        <v>83979</v>
      </c>
      <c r="AA4" s="41" t="n">
        <v>79857</v>
      </c>
      <c r="AB4" s="41" t="n">
        <v>71726</v>
      </c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</row>
    <row r="5" customFormat="1" s="31">
      <c r="A5" s="31" t="inlineStr">
        <is>
          <t>New Customers -- all channels</t>
        </is>
      </c>
      <c r="D5" s="32" t="inlineStr">
        <is>
          <t># ppl</t>
        </is>
      </c>
      <c r="E5" s="41" t="n">
        <v>31917</v>
      </c>
      <c r="F5" s="41" t="n">
        <v>29726</v>
      </c>
      <c r="G5" s="41" t="n">
        <v>27296</v>
      </c>
      <c r="H5" s="41" t="n">
        <v>24916</v>
      </c>
      <c r="I5" s="41" t="n">
        <v>22553</v>
      </c>
      <c r="J5" s="41" t="n">
        <v>23949</v>
      </c>
      <c r="K5" s="41" t="n">
        <v>24003</v>
      </c>
      <c r="L5" s="41" t="n">
        <v>25882</v>
      </c>
      <c r="M5" s="41" t="n">
        <v>26430</v>
      </c>
      <c r="N5" s="41" t="n">
        <v>27237</v>
      </c>
      <c r="O5" s="41" t="n">
        <v>26206</v>
      </c>
      <c r="P5" s="41" t="n">
        <v>24836</v>
      </c>
      <c r="Q5" s="41" t="n">
        <v>26298</v>
      </c>
      <c r="R5" s="41" t="n">
        <v>26821</v>
      </c>
      <c r="S5" s="41" t="n">
        <v>26145</v>
      </c>
      <c r="T5" s="41" t="n">
        <v>26511</v>
      </c>
      <c r="U5" s="41" t="n">
        <v>25456</v>
      </c>
      <c r="V5" s="41" t="n">
        <v>24824</v>
      </c>
      <c r="W5" s="41" t="n">
        <v>24498</v>
      </c>
      <c r="X5" s="41" t="n">
        <v>24033</v>
      </c>
      <c r="Y5" s="41" t="n">
        <v>24727</v>
      </c>
      <c r="Z5" s="41" t="n">
        <v>25823</v>
      </c>
      <c r="AA5" s="41" t="n">
        <v>26239</v>
      </c>
      <c r="AB5" s="41" t="n">
        <v>25269</v>
      </c>
      <c r="AC5" s="41" t="n"/>
      <c r="AD5" s="41" t="n"/>
      <c r="AE5" s="41" t="n"/>
      <c r="AF5" s="41" t="n"/>
      <c r="AG5" s="41" t="n"/>
      <c r="AH5" s="41" t="n"/>
      <c r="AI5" s="41" t="n"/>
      <c r="AJ5" s="41" t="n"/>
      <c r="AK5" s="41" t="n"/>
      <c r="AL5" s="41" t="n"/>
      <c r="AM5" s="41" t="n"/>
      <c r="AN5" s="41" t="n"/>
      <c r="AO5" s="41" t="n"/>
      <c r="AP5" s="41" t="n"/>
      <c r="AQ5" s="41" t="n"/>
      <c r="AR5" s="41" t="n"/>
      <c r="AS5" s="41" t="n"/>
      <c r="AT5" s="41" t="n"/>
      <c r="AU5" s="41" t="n"/>
      <c r="AV5" s="41" t="n"/>
      <c r="AW5" s="41" t="n"/>
      <c r="AX5" s="41" t="n"/>
      <c r="AY5" s="41" t="n"/>
      <c r="AZ5" s="41" t="n"/>
      <c r="BA5" s="41" t="n"/>
      <c r="BB5" s="41" t="n"/>
      <c r="BC5" s="41" t="n"/>
      <c r="BD5" s="41" t="n"/>
    </row>
    <row r="6" ht="6.95" customHeight="1">
      <c r="A6" s="40" t="n"/>
      <c r="D6" s="5" t="n"/>
    </row>
    <row r="7" customFormat="1" s="19">
      <c r="A7" s="18" t="inlineStr">
        <is>
          <t>Total Retail</t>
        </is>
      </c>
      <c r="D7" s="20" t="n"/>
    </row>
    <row r="8">
      <c r="A8" s="40" t="inlineStr">
        <is>
          <t>Sell-in value</t>
        </is>
      </c>
      <c r="D8" s="24" t="inlineStr">
        <is>
          <t>$k</t>
        </is>
      </c>
      <c r="E8" s="42">
        <f>E30+E94+E138+E182+E212</f>
        <v/>
      </c>
      <c r="F8" s="42">
        <f>F30+F94+F138+F182+F212</f>
        <v/>
      </c>
      <c r="G8" s="42">
        <f>G30+G94+G138+G182+G212</f>
        <v/>
      </c>
      <c r="H8" s="42">
        <f>H30+H94+H138+H182+H212</f>
        <v/>
      </c>
      <c r="I8" s="42">
        <f>I30+I94+I138+I182+I212</f>
        <v/>
      </c>
      <c r="J8" s="42">
        <f>J30+J94+J138+J182+J212</f>
        <v/>
      </c>
      <c r="K8" s="42">
        <f>K30+K94+K138+K182+K212</f>
        <v/>
      </c>
      <c r="L8" s="42">
        <f>L30+L94+L138+L182+L212</f>
        <v/>
      </c>
      <c r="M8" s="42">
        <f>M30+M94+M138+M182+M212</f>
        <v/>
      </c>
      <c r="N8" s="42">
        <f>N30+N94+N138+N182+N212</f>
        <v/>
      </c>
      <c r="O8" s="42">
        <f>O30+O94+O138+O182+O212</f>
        <v/>
      </c>
      <c r="P8" s="42">
        <f>P30+P94+P138+P182+P212</f>
        <v/>
      </c>
      <c r="Q8" s="42">
        <f>Q30+Q94+Q138+Q182+Q212</f>
        <v/>
      </c>
      <c r="R8" s="42">
        <f>R30+R94+R138+R182+R212</f>
        <v/>
      </c>
      <c r="S8" s="42">
        <f>S30+S94+S138+S182+S212</f>
        <v/>
      </c>
      <c r="T8" s="42">
        <f>T30+T94+T138+T182+T212</f>
        <v/>
      </c>
      <c r="U8" s="42">
        <f>U30+U94+U138+U182+U212</f>
        <v/>
      </c>
      <c r="V8" s="42">
        <f>V30+V94+V138+V182+V212</f>
        <v/>
      </c>
      <c r="W8" s="42">
        <f>W30+W94+W138+W182+W212</f>
        <v/>
      </c>
      <c r="X8" s="42">
        <f>X30+X94+X138+X182+X212</f>
        <v/>
      </c>
      <c r="Y8" s="42">
        <f>Y30+Y94+Y138+Y182+Y212</f>
        <v/>
      </c>
      <c r="Z8" s="42">
        <f>Z30+Z94+Z138+Z182+Z212</f>
        <v/>
      </c>
      <c r="AA8" s="42">
        <f>AA30+AA94+AA138+AA182+AA212</f>
        <v/>
      </c>
      <c r="AB8" s="42">
        <f>AB30+AB94+AB138+AB182+AB212</f>
        <v/>
      </c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</row>
    <row r="9" customFormat="1" s="7">
      <c r="B9" s="7" t="inlineStr">
        <is>
          <t>% of Target</t>
        </is>
      </c>
      <c r="D9" s="8" t="inlineStr">
        <is>
          <t>%</t>
        </is>
      </c>
      <c r="E9" s="43">
        <f>IFERROR(E8/E11,"")</f>
        <v/>
      </c>
      <c r="F9" s="43">
        <f>IFERROR(F8/F11,"")</f>
        <v/>
      </c>
      <c r="G9" s="43">
        <f>IFERROR(G8/G11,"")</f>
        <v/>
      </c>
      <c r="H9" s="43">
        <f>IFERROR(H8/H11,"")</f>
        <v/>
      </c>
      <c r="I9" s="43">
        <f>IFERROR(I8/I11,"")</f>
        <v/>
      </c>
      <c r="J9" s="43">
        <f>IFERROR(J8/J11,"")</f>
        <v/>
      </c>
      <c r="K9" s="43">
        <f>IFERROR(K8/K11,"")</f>
        <v/>
      </c>
      <c r="L9" s="43">
        <f>IFERROR(L8/L11,"")</f>
        <v/>
      </c>
      <c r="M9" s="43">
        <f>IFERROR(M8/M11,"")</f>
        <v/>
      </c>
      <c r="N9" s="43">
        <f>IFERROR(N8/N11,"")</f>
        <v/>
      </c>
      <c r="O9" s="43">
        <f>IFERROR(O8/O11,"")</f>
        <v/>
      </c>
      <c r="P9" s="43">
        <f>IFERROR(P8/P11,"")</f>
        <v/>
      </c>
      <c r="Q9" s="43">
        <f>IFERROR(Q8/Q11,"")</f>
        <v/>
      </c>
      <c r="R9" s="43">
        <f>IFERROR(R8/R11,"")</f>
        <v/>
      </c>
      <c r="S9" s="43">
        <f>IFERROR(S8/S11,"")</f>
        <v/>
      </c>
      <c r="T9" s="43">
        <f>IFERROR(T8/T11,"")</f>
        <v/>
      </c>
      <c r="U9" s="43">
        <f>IFERROR(U8/U11,"")</f>
        <v/>
      </c>
      <c r="V9" s="43">
        <f>IFERROR(V8/V11,"")</f>
        <v/>
      </c>
      <c r="W9" s="43">
        <f>IFERROR(W8/W11,"")</f>
        <v/>
      </c>
      <c r="X9" s="43">
        <f>IFERROR(X8/X11,"")</f>
        <v/>
      </c>
      <c r="Y9" s="43">
        <f>IFERROR(Y8/Y11,"")</f>
        <v/>
      </c>
      <c r="Z9" s="43">
        <f>IFERROR(Z8/Z11,"")</f>
        <v/>
      </c>
      <c r="AA9" s="43">
        <f>IFERROR(AA8/AA11,"")</f>
        <v/>
      </c>
      <c r="AB9" s="43">
        <f>IFERROR(AB8/AB11,"")</f>
        <v/>
      </c>
      <c r="AC9" s="43" t="n"/>
      <c r="AD9" s="43" t="n"/>
      <c r="AE9" s="43" t="n"/>
      <c r="AF9" s="43" t="n"/>
      <c r="AG9" s="43" t="n"/>
      <c r="AH9" s="43" t="n"/>
      <c r="AI9" s="43" t="n"/>
      <c r="AJ9" s="43" t="n"/>
      <c r="AK9" s="43" t="n"/>
      <c r="AL9" s="43" t="n"/>
      <c r="AM9" s="43" t="n"/>
      <c r="AN9" s="43" t="n"/>
      <c r="AO9" s="43" t="n"/>
      <c r="AP9" s="43" t="n"/>
      <c r="AQ9" s="43" t="n"/>
      <c r="AR9" s="43" t="n"/>
      <c r="AS9" s="43" t="n"/>
      <c r="AT9" s="43" t="n"/>
      <c r="AU9" s="43" t="n"/>
      <c r="AV9" s="43" t="n"/>
      <c r="AW9" s="43" t="n"/>
      <c r="AX9" s="43" t="n"/>
      <c r="AY9" s="43" t="n"/>
      <c r="AZ9" s="43" t="n"/>
      <c r="BA9" s="43" t="n"/>
      <c r="BB9" s="43" t="n"/>
      <c r="BC9" s="43" t="n"/>
      <c r="BD9" s="43" t="n"/>
    </row>
    <row r="10" ht="15.75" customFormat="1" customHeight="1" s="7">
      <c r="B10" s="7" t="inlineStr">
        <is>
          <t>% of Target - YTD</t>
        </is>
      </c>
      <c r="D10" s="8" t="inlineStr">
        <is>
          <t>%</t>
        </is>
      </c>
      <c r="E10" s="43">
        <f>IFERROR(SUMIF($E$11:E11,"&lt;&gt;",$E$8:E8)/SUM($E$11:E11),"")</f>
        <v/>
      </c>
      <c r="F10" s="43">
        <f>IFERROR(SUMIF($E$11:F11,"&lt;&gt;",$E$8:F8)/SUM($E$11:F11),"")</f>
        <v/>
      </c>
      <c r="G10" s="43">
        <f>IFERROR(SUMIF($E$11:G11,"&lt;&gt;",$E$8:G8)/SUM($E$11:G11),"")</f>
        <v/>
      </c>
      <c r="H10" s="43">
        <f>IFERROR(SUMIF($E$11:H11,"&lt;&gt;",$E$8:H8)/SUM($E$11:H11),"")</f>
        <v/>
      </c>
      <c r="I10" s="43">
        <f>IFERROR(SUMIF($E$11:I11,"&lt;&gt;",$E$8:I8)/SUM($E$11:I11),"")</f>
        <v/>
      </c>
      <c r="J10" s="43">
        <f>IFERROR(SUMIF($E$11:J11,"&lt;&gt;",$E$8:J8)/SUM($E$11:J11),"")</f>
        <v/>
      </c>
      <c r="K10" s="43">
        <f>IFERROR(SUMIF($E$11:K11,"&lt;&gt;",$E$8:K8)/SUM($E$11:K11),"")</f>
        <v/>
      </c>
      <c r="L10" s="43">
        <f>IFERROR(SUMIF($E$11:L11,"&lt;&gt;",$E$8:L8)/SUM($E$11:L11),"")</f>
        <v/>
      </c>
      <c r="M10" s="43">
        <f>IFERROR(SUMIF($E$11:M11,"&lt;&gt;",$E$8:M8)/SUM($E$11:M11),"")</f>
        <v/>
      </c>
      <c r="N10" s="43">
        <f>IFERROR(SUMIF($E$11:N11,"&lt;&gt;",$E$8:N8)/SUM($E$11:N11),"")</f>
        <v/>
      </c>
      <c r="O10" s="43">
        <f>IFERROR(SUMIF($E$11:O11,"&lt;&gt;",$E$8:O8)/SUM($E$11:O11),"")</f>
        <v/>
      </c>
      <c r="P10" s="43">
        <f>IFERROR(SUMIF($E$11:P11,"&lt;&gt;",$E$8:P8)/SUM($E$11:P11),"")</f>
        <v/>
      </c>
      <c r="Q10" s="43">
        <f>IFERROR(SUMIF($E$11:Q11,"&lt;&gt;",$E$8:Q8)/SUM($E$11:Q11),"")</f>
        <v/>
      </c>
      <c r="R10" s="43">
        <f>IFERROR(SUMIF($E$11:R11,"&lt;&gt;",$E$8:R8)/SUM($E$11:R11),"")</f>
        <v/>
      </c>
      <c r="S10" s="43">
        <f>IFERROR(SUMIF($E$11:S11,"&lt;&gt;",$E$8:S8)/SUM($E$11:S11),"")</f>
        <v/>
      </c>
      <c r="T10" s="43">
        <f>IFERROR(SUMIF($E$11:T11,"&lt;&gt;",$E$8:T8)/SUM($E$11:T11),"")</f>
        <v/>
      </c>
      <c r="U10" s="43">
        <f>IFERROR(SUMIF($E$11:U11,"&lt;&gt;",$E$8:U8)/SUM($E$11:U11),"")</f>
        <v/>
      </c>
      <c r="V10" s="43">
        <f>IFERROR(SUMIF($E$11:V11,"&lt;&gt;",$E$8:V8)/SUM($E$11:V11),"")</f>
        <v/>
      </c>
      <c r="W10" s="43">
        <f>IFERROR(SUMIF($E$11:W11,"&lt;&gt;",$E$8:W8)/SUM($E$11:W11),"")</f>
        <v/>
      </c>
      <c r="X10" s="43">
        <f>IFERROR(SUMIF($E$11:X11,"&lt;&gt;",$E$8:X8)/SUM($E$11:X11),"")</f>
        <v/>
      </c>
      <c r="Y10" s="43">
        <f>IFERROR(SUMIF($E$11:Y11,"&lt;&gt;",$E$8:Y8)/SUM($E$11:Y11),"")</f>
        <v/>
      </c>
      <c r="Z10" s="43">
        <f>IFERROR(SUMIF($E$11:Z11,"&lt;&gt;",$E$8:Z8)/SUM($E$11:Z11),"")</f>
        <v/>
      </c>
      <c r="AA10" s="43">
        <f>IFERROR(SUMIF($E$11:AA11,"&lt;&gt;",$E$8:AA8)/SUM($E$11:AA11),"")</f>
        <v/>
      </c>
      <c r="AB10" s="43">
        <f>IFERROR(SUMIF($E$11:AB11,"&lt;&gt;",$E$8:AB8)/SUM($E$11:AB11),"")</f>
        <v/>
      </c>
      <c r="AC10" s="43" t="n"/>
      <c r="AD10" s="43" t="n"/>
      <c r="AE10" s="43" t="n"/>
      <c r="AF10" s="43" t="n"/>
      <c r="AG10" s="43" t="n"/>
      <c r="AH10" s="43" t="n"/>
      <c r="AI10" s="43" t="n"/>
      <c r="AJ10" s="43" t="n"/>
      <c r="AK10" s="43" t="n"/>
      <c r="AL10" s="43" t="n"/>
      <c r="AM10" s="43" t="n"/>
      <c r="AN10" s="43" t="n"/>
      <c r="AO10" s="43" t="n"/>
      <c r="AP10" s="43" t="n"/>
      <c r="AQ10" s="43" t="n"/>
      <c r="AR10" s="43" t="n"/>
      <c r="AS10" s="43" t="n"/>
      <c r="AT10" s="43" t="n"/>
      <c r="AU10" s="43" t="n"/>
      <c r="AV10" s="43" t="n"/>
      <c r="AW10" s="43" t="n"/>
      <c r="AX10" s="43" t="n"/>
      <c r="AY10" s="43" t="n"/>
      <c r="AZ10" s="43" t="n"/>
      <c r="BA10" s="43" t="n"/>
      <c r="BB10" s="43" t="n"/>
      <c r="BC10" s="43" t="n"/>
      <c r="BD10" s="43" t="n"/>
    </row>
    <row r="11" customFormat="1" s="9">
      <c r="B11" s="9" t="inlineStr">
        <is>
          <t>Target</t>
        </is>
      </c>
      <c r="D11" s="10" t="inlineStr">
        <is>
          <t>$k</t>
        </is>
      </c>
      <c r="E11" s="44">
        <f>E34+E98+E142+E186+E216</f>
        <v/>
      </c>
      <c r="F11" s="44">
        <f>F34+F98+F142+F186+F216</f>
        <v/>
      </c>
      <c r="G11" s="44">
        <f>G34+G98+G142+G186+G216</f>
        <v/>
      </c>
      <c r="H11" s="44">
        <f>H34+H98+H142+H186+H216</f>
        <v/>
      </c>
      <c r="I11" s="44">
        <f>I34+I98+I142+I186+I216</f>
        <v/>
      </c>
      <c r="J11" s="44">
        <f>J34+J98+J142+J186+J216</f>
        <v/>
      </c>
      <c r="K11" s="44">
        <f>K34+K98+K142+K186+K216</f>
        <v/>
      </c>
      <c r="L11" s="44">
        <f>L34+L98+L142+L186+L216</f>
        <v/>
      </c>
      <c r="M11" s="44">
        <f>M34+M98+M142+M186+M216</f>
        <v/>
      </c>
      <c r="N11" s="44">
        <f>N34+N98+N142+N186+N216</f>
        <v/>
      </c>
      <c r="O11" s="44">
        <f>O34+O98+O142+O186+O216</f>
        <v/>
      </c>
      <c r="P11" s="44">
        <f>P34+P98+P142+P186+P216</f>
        <v/>
      </c>
      <c r="Q11" s="44">
        <f>Q34+Q98+Q142+Q186+Q216</f>
        <v/>
      </c>
      <c r="R11" s="44">
        <f>R34+R98+R142+R186+R216</f>
        <v/>
      </c>
      <c r="S11" s="44">
        <f>S34+S98+S142+S186+S216</f>
        <v/>
      </c>
      <c r="T11" s="44">
        <f>T34+T98+T142+T186+T216</f>
        <v/>
      </c>
      <c r="U11" s="44">
        <f>U34+U98+U142+U186+U216</f>
        <v/>
      </c>
      <c r="V11" s="44">
        <f>V34+V98+V142+V186+V216</f>
        <v/>
      </c>
      <c r="W11" s="44">
        <f>W34+W98+W142+W186+W216</f>
        <v/>
      </c>
      <c r="X11" s="44">
        <f>X34+X98+X142+X186+X216</f>
        <v/>
      </c>
      <c r="Y11" s="44">
        <f>Y34+Y98+Y142+Y186+Y216</f>
        <v/>
      </c>
      <c r="Z11" s="44">
        <f>Z34+Z98+Z142+Z186+Z216</f>
        <v/>
      </c>
      <c r="AA11" s="44">
        <f>AA34+AA98+AA142+AA186+AA216</f>
        <v/>
      </c>
      <c r="AB11" s="44">
        <f>AB34+AB98+AB142+AB186+AB216</f>
        <v/>
      </c>
      <c r="AC11" s="44" t="n"/>
      <c r="AD11" s="44" t="n"/>
      <c r="AE11" s="44" t="n"/>
      <c r="AF11" s="44" t="n"/>
      <c r="AG11" s="44" t="n"/>
      <c r="AH11" s="44" t="n"/>
      <c r="AI11" s="44" t="n"/>
      <c r="AJ11" s="44" t="n"/>
      <c r="AK11" s="44" t="n"/>
      <c r="AL11" s="44" t="n"/>
      <c r="AM11" s="44" t="n"/>
      <c r="AN11" s="44" t="n"/>
      <c r="AO11" s="44" t="n"/>
      <c r="AP11" s="44" t="n"/>
      <c r="AQ11" s="44" t="n"/>
      <c r="AR11" s="44" t="n"/>
      <c r="AS11" s="44" t="n"/>
      <c r="AT11" s="44" t="n"/>
      <c r="AU11" s="44" t="n"/>
      <c r="AV11" s="44" t="n"/>
      <c r="AW11" s="44" t="n"/>
      <c r="AX11" s="44" t="n"/>
      <c r="AY11" s="44" t="n"/>
      <c r="AZ11" s="44" t="n"/>
      <c r="BA11" s="44" t="n"/>
      <c r="BB11" s="44" t="n"/>
      <c r="BC11" s="44" t="n"/>
      <c r="BD11" s="44" t="n"/>
    </row>
    <row r="12"/>
    <row r="13">
      <c r="A13" s="40" t="inlineStr">
        <is>
          <t xml:space="preserve">Sell-through units </t>
        </is>
      </c>
      <c r="D13" s="24" t="inlineStr">
        <is>
          <t>#</t>
        </is>
      </c>
      <c r="E13" s="42">
        <f>E36+E100+E144+E188+E218</f>
        <v/>
      </c>
      <c r="F13" s="42">
        <f>F36+F100+F144+F188+F218</f>
        <v/>
      </c>
      <c r="G13" s="42">
        <f>G36+G100+G144+G188+G218</f>
        <v/>
      </c>
      <c r="H13" s="42">
        <f>H36+H100+H144+H188+H218</f>
        <v/>
      </c>
      <c r="I13" s="42">
        <f>I36+I100+I144+I188+I218</f>
        <v/>
      </c>
      <c r="J13" s="42">
        <f>J36+J100+J144+J188+J218</f>
        <v/>
      </c>
      <c r="K13" s="42">
        <f>K36+K100+K144+K188+K218</f>
        <v/>
      </c>
      <c r="L13" s="42">
        <f>L36+L100+L144+L188+L218</f>
        <v/>
      </c>
      <c r="M13" s="42">
        <f>M36+M100+M144+M188+M218</f>
        <v/>
      </c>
      <c r="N13" s="42">
        <f>N36+N100+N144+N188+N218</f>
        <v/>
      </c>
      <c r="O13" s="42">
        <f>O36+O100+O144+O188+O218</f>
        <v/>
      </c>
      <c r="P13" s="42">
        <f>P36+P100+P144+P188+P218</f>
        <v/>
      </c>
      <c r="Q13" s="42">
        <f>Q36+Q100+Q144+Q188+Q218</f>
        <v/>
      </c>
      <c r="R13" s="42">
        <f>R36+R100+R144+R188+R218</f>
        <v/>
      </c>
      <c r="S13" s="42">
        <f>S36+S100+S144+S188+S218</f>
        <v/>
      </c>
      <c r="T13" s="42">
        <f>T36+T100+T144+T188+T218</f>
        <v/>
      </c>
      <c r="U13" s="42">
        <f>U36+U100+U144+U188+U218</f>
        <v/>
      </c>
      <c r="V13" s="42">
        <f>V36+V100+V144+V188+V218</f>
        <v/>
      </c>
      <c r="W13" s="42">
        <f>W36+W100+W144+W188+W218</f>
        <v/>
      </c>
      <c r="X13" s="42">
        <f>X36+X100+X144+X188+X218</f>
        <v/>
      </c>
      <c r="Y13" s="42">
        <f>Y36+Y100+Y144+Y188+Y218</f>
        <v/>
      </c>
      <c r="Z13" s="42">
        <f>Z36+Z100+Z144+Z188+Z218</f>
        <v/>
      </c>
      <c r="AA13" s="42">
        <f>AA36+AA100+AA144+AA188+AA218</f>
        <v/>
      </c>
      <c r="AB13" s="42">
        <f>AB36+AB100+AB144+AB188+AB218</f>
        <v/>
      </c>
      <c r="AC13" s="42" t="n"/>
      <c r="AD13" s="42" t="n"/>
      <c r="AE13" s="42" t="n"/>
      <c r="AF13" s="42" t="n"/>
      <c r="AG13" s="42" t="n"/>
      <c r="AH13" s="42" t="n"/>
      <c r="AI13" s="42" t="n"/>
      <c r="AJ13" s="42" t="n"/>
      <c r="AK13" s="42" t="n"/>
      <c r="AL13" s="42" t="n"/>
      <c r="AM13" s="42" t="n"/>
      <c r="AN13" s="42" t="n"/>
      <c r="AO13" s="42" t="n"/>
      <c r="AP13" s="42" t="n"/>
      <c r="AQ13" s="42" t="n"/>
      <c r="AR13" s="42" t="n"/>
      <c r="AS13" s="42" t="n"/>
      <c r="AT13" s="42" t="n"/>
      <c r="AU13" s="42" t="n"/>
      <c r="AV13" s="42" t="n"/>
      <c r="AW13" s="42" t="n"/>
      <c r="AX13" s="42" t="n"/>
      <c r="AY13" s="42" t="n"/>
      <c r="AZ13" s="42" t="n"/>
      <c r="BA13" s="42" t="n"/>
      <c r="BB13" s="42" t="n"/>
      <c r="BC13" s="42" t="n"/>
      <c r="BD13" s="42" t="n"/>
    </row>
    <row r="14" customFormat="1" s="16">
      <c r="A14" s="15" t="n"/>
      <c r="B14" s="16" t="inlineStr">
        <is>
          <t>% of Target</t>
        </is>
      </c>
      <c r="D14" s="17" t="inlineStr">
        <is>
          <t>%</t>
        </is>
      </c>
      <c r="E14" s="43">
        <f>IFERROR(E13/E16,"")</f>
        <v/>
      </c>
      <c r="F14" s="43">
        <f>IFERROR(F13/F16,"")</f>
        <v/>
      </c>
      <c r="G14" s="43">
        <f>IFERROR(G13/G16,"")</f>
        <v/>
      </c>
      <c r="H14" s="43">
        <f>IFERROR(H13/H16,"")</f>
        <v/>
      </c>
      <c r="I14" s="43">
        <f>IFERROR(I13/I16,"")</f>
        <v/>
      </c>
      <c r="J14" s="43">
        <f>IFERROR(J13/J16,"")</f>
        <v/>
      </c>
      <c r="K14" s="43">
        <f>IFERROR(K13/K16,"")</f>
        <v/>
      </c>
      <c r="L14" s="43">
        <f>IFERROR(L13/L16,"")</f>
        <v/>
      </c>
      <c r="M14" s="43">
        <f>IFERROR(M13/M16,"")</f>
        <v/>
      </c>
      <c r="N14" s="43">
        <f>IFERROR(N13/N16,"")</f>
        <v/>
      </c>
      <c r="O14" s="43">
        <f>IFERROR(O13/O16,"")</f>
        <v/>
      </c>
      <c r="P14" s="43">
        <f>IFERROR(P13/P16,"")</f>
        <v/>
      </c>
      <c r="Q14" s="43">
        <f>IFERROR(Q13/Q16,"")</f>
        <v/>
      </c>
      <c r="R14" s="43">
        <f>IFERROR(R13/R16,"")</f>
        <v/>
      </c>
      <c r="S14" s="43">
        <f>IFERROR(S13/S16,"")</f>
        <v/>
      </c>
      <c r="T14" s="43">
        <f>IFERROR(T13/T16,"")</f>
        <v/>
      </c>
      <c r="U14" s="43">
        <f>IFERROR(U13/U16,"")</f>
        <v/>
      </c>
      <c r="V14" s="43">
        <f>IFERROR(V13/V16,"")</f>
        <v/>
      </c>
      <c r="W14" s="43">
        <f>IFERROR(W13/W16,"")</f>
        <v/>
      </c>
      <c r="X14" s="43">
        <f>IFERROR(X13/X16,"")</f>
        <v/>
      </c>
      <c r="Y14" s="43">
        <f>IFERROR(Y13/Y16,"")</f>
        <v/>
      </c>
      <c r="Z14" s="43">
        <f>IFERROR(Z13/Z16,"")</f>
        <v/>
      </c>
      <c r="AA14" s="43">
        <f>IFERROR(AA13/AA16,"")</f>
        <v/>
      </c>
      <c r="AB14" s="43">
        <f>IFERROR(AB13/AB16,"")</f>
        <v/>
      </c>
      <c r="AC14" s="43" t="n"/>
      <c r="AD14" s="43" t="n"/>
      <c r="AE14" s="43" t="n"/>
      <c r="AF14" s="43" t="n"/>
      <c r="AG14" s="43" t="n"/>
      <c r="AH14" s="43" t="n"/>
      <c r="AI14" s="43" t="n"/>
      <c r="AJ14" s="43" t="n"/>
      <c r="AK14" s="43" t="n"/>
      <c r="AL14" s="43" t="n"/>
      <c r="AM14" s="43" t="n"/>
      <c r="AN14" s="43" t="n"/>
      <c r="AO14" s="43" t="n"/>
      <c r="AP14" s="43" t="n"/>
      <c r="AQ14" s="43" t="n"/>
      <c r="AR14" s="43" t="n"/>
      <c r="AS14" s="43" t="n"/>
      <c r="AT14" s="43" t="n"/>
      <c r="AU14" s="43" t="n"/>
      <c r="AV14" s="43" t="n"/>
      <c r="AW14" s="43" t="n"/>
      <c r="AX14" s="43" t="n"/>
      <c r="AY14" s="43" t="n"/>
      <c r="AZ14" s="43" t="n"/>
      <c r="BA14" s="43" t="n"/>
      <c r="BB14" s="43" t="n"/>
      <c r="BC14" s="43" t="n"/>
      <c r="BD14" s="43" t="n"/>
    </row>
    <row r="15" ht="15.75" customFormat="1" customHeight="1" s="16">
      <c r="A15" s="15" t="n"/>
      <c r="B15" s="7" t="inlineStr">
        <is>
          <t>% of Target - YTD</t>
        </is>
      </c>
      <c r="D15" s="8" t="inlineStr">
        <is>
          <t>%</t>
        </is>
      </c>
      <c r="E15" s="43">
        <f>IFERROR(SUMIF($E$16:E16,"&lt;&gt;",$E$13:E13)/SUM($E$16:E16),"")</f>
        <v/>
      </c>
      <c r="F15" s="43">
        <f>IFERROR(SUMIF($E$16:F16,"&lt;&gt;",$E$13:F13)/SUM($E$16:F16),"")</f>
        <v/>
      </c>
      <c r="G15" s="43">
        <f>IFERROR(SUMIF($E$16:G16,"&lt;&gt;",$E$13:G13)/SUM($E$16:G16),"")</f>
        <v/>
      </c>
      <c r="H15" s="43">
        <f>IFERROR(SUMIF($E$16:H16,"&lt;&gt;",$E$13:H13)/SUM($E$16:H16),"")</f>
        <v/>
      </c>
      <c r="I15" s="43">
        <f>IFERROR(SUMIF($E$16:I16,"&lt;&gt;",$E$13:I13)/SUM($E$16:I16),"")</f>
        <v/>
      </c>
      <c r="J15" s="43">
        <f>IFERROR(SUMIF($E$16:J16,"&lt;&gt;",$E$13:J13)/SUM($E$16:J16),"")</f>
        <v/>
      </c>
      <c r="K15" s="43">
        <f>IFERROR(SUMIF($E$16:K16,"&lt;&gt;",$E$13:K13)/SUM($E$16:K16),"")</f>
        <v/>
      </c>
      <c r="L15" s="43">
        <f>IFERROR(SUMIF($E$16:L16,"&lt;&gt;",$E$13:L13)/SUM($E$16:L16),"")</f>
        <v/>
      </c>
      <c r="M15" s="43">
        <f>IFERROR(SUMIF($E$16:M16,"&lt;&gt;",$E$13:M13)/SUM($E$16:M16),"")</f>
        <v/>
      </c>
      <c r="N15" s="43">
        <f>IFERROR(SUMIF($E$16:N16,"&lt;&gt;",$E$13:N13)/SUM($E$16:N16),"")</f>
        <v/>
      </c>
      <c r="O15" s="43">
        <f>IFERROR(SUMIF($E$16:O16,"&lt;&gt;",$E$13:O13)/SUM($E$16:O16),"")</f>
        <v/>
      </c>
      <c r="P15" s="43">
        <f>IFERROR(SUMIF($E$16:P16,"&lt;&gt;",$E$13:P13)/SUM($E$16:P16),"")</f>
        <v/>
      </c>
      <c r="Q15" s="43">
        <f>IFERROR(SUMIF($E$16:Q16,"&lt;&gt;",$E$13:Q13)/SUM($E$16:Q16),"")</f>
        <v/>
      </c>
      <c r="R15" s="43">
        <f>IFERROR(SUMIF($E$16:R16,"&lt;&gt;",$E$13:R13)/SUM($E$16:R16),"")</f>
        <v/>
      </c>
      <c r="S15" s="43">
        <f>IFERROR(SUMIF($E$16:S16,"&lt;&gt;",$E$13:S13)/SUM($E$16:S16),"")</f>
        <v/>
      </c>
      <c r="T15" s="43">
        <f>IFERROR(SUMIF($E$16:T16,"&lt;&gt;",$E$13:T13)/SUM($E$16:T16),"")</f>
        <v/>
      </c>
      <c r="U15" s="43">
        <f>IFERROR(SUMIF($E$16:U16,"&lt;&gt;",$E$13:U13)/SUM($E$16:U16),"")</f>
        <v/>
      </c>
      <c r="V15" s="43">
        <f>IFERROR(SUMIF($E$16:V16,"&lt;&gt;",$E$13:V13)/SUM($E$16:V16),"")</f>
        <v/>
      </c>
      <c r="W15" s="43">
        <f>IFERROR(SUMIF($E$16:W16,"&lt;&gt;",$E$13:W13)/SUM($E$16:W16),"")</f>
        <v/>
      </c>
      <c r="X15" s="43">
        <f>IFERROR(SUMIF($E$16:X16,"&lt;&gt;",$E$13:X13)/SUM($E$16:X16),"")</f>
        <v/>
      </c>
      <c r="Y15" s="43">
        <f>IFERROR(SUMIF($E$16:Y16,"&lt;&gt;",$E$13:Y13)/SUM($E$16:Y16),"")</f>
        <v/>
      </c>
      <c r="Z15" s="43">
        <f>IFERROR(SUMIF($E$16:Z16,"&lt;&gt;",$E$13:Z13)/SUM($E$16:Z16),"")</f>
        <v/>
      </c>
      <c r="AA15" s="43">
        <f>IFERROR(SUMIF($E$16:AA16,"&lt;&gt;",$E$13:AA13)/SUM($E$16:AA16),"")</f>
        <v/>
      </c>
      <c r="AB15" s="43">
        <f>IFERROR(SUMIF($E$16:AB16,"&lt;&gt;",$E$13:AB13)/SUM($E$16:AB16),"")</f>
        <v/>
      </c>
      <c r="AC15" s="43" t="n"/>
      <c r="AD15" s="43" t="n"/>
      <c r="AE15" s="43" t="n"/>
      <c r="AF15" s="43" t="n"/>
      <c r="AG15" s="43" t="n"/>
      <c r="AH15" s="43" t="n"/>
      <c r="AI15" s="43" t="n"/>
      <c r="AJ15" s="43" t="n"/>
      <c r="AK15" s="43" t="n"/>
      <c r="AL15" s="43" t="n"/>
      <c r="AM15" s="43" t="n"/>
      <c r="AN15" s="43" t="n"/>
      <c r="AO15" s="43" t="n"/>
      <c r="AP15" s="43" t="n"/>
      <c r="AQ15" s="43" t="n"/>
      <c r="AR15" s="43" t="n"/>
      <c r="AS15" s="43" t="n"/>
      <c r="AT15" s="43" t="n"/>
      <c r="AU15" s="43" t="n"/>
      <c r="AV15" s="43" t="n"/>
      <c r="AW15" s="43" t="n"/>
      <c r="AX15" s="43" t="n"/>
      <c r="AY15" s="43" t="n"/>
      <c r="AZ15" s="43" t="n"/>
      <c r="BA15" s="43" t="n"/>
      <c r="BB15" s="43" t="n"/>
      <c r="BC15" s="43" t="n"/>
      <c r="BD15" s="43" t="n"/>
    </row>
    <row r="16" customFormat="1" s="13">
      <c r="A16" s="12" t="n"/>
      <c r="B16" s="13" t="inlineStr">
        <is>
          <t>Target</t>
        </is>
      </c>
      <c r="D16" s="14" t="inlineStr">
        <is>
          <t>#</t>
        </is>
      </c>
      <c r="E16" s="44">
        <f>E40+E104+E148+E192+E222</f>
        <v/>
      </c>
      <c r="F16" s="44">
        <f>F40+F104+F148+F192+F222</f>
        <v/>
      </c>
      <c r="G16" s="44">
        <f>G40+G104+G148+G192+G222</f>
        <v/>
      </c>
      <c r="H16" s="44">
        <f>H40+H104+H148+H192+H222</f>
        <v/>
      </c>
      <c r="I16" s="44">
        <f>I40+I104+I148+I192+I222</f>
        <v/>
      </c>
      <c r="J16" s="44">
        <f>J40+J104+J148+J192+J222</f>
        <v/>
      </c>
      <c r="K16" s="44">
        <f>K40+K104+K148+K192+K222</f>
        <v/>
      </c>
      <c r="L16" s="44">
        <f>L40+L104+L148+L192+L222</f>
        <v/>
      </c>
      <c r="M16" s="44">
        <f>M40+M104+M148+M192+M222</f>
        <v/>
      </c>
      <c r="N16" s="44">
        <f>N40+N104+N148+N192+N222</f>
        <v/>
      </c>
      <c r="O16" s="44">
        <f>O40+O104+O148+O192+O222</f>
        <v/>
      </c>
      <c r="P16" s="44">
        <f>P40+P104+P148+P192+P222</f>
        <v/>
      </c>
      <c r="Q16" s="44">
        <f>Q40+Q104+Q148+Q192+Q222</f>
        <v/>
      </c>
      <c r="R16" s="44">
        <f>R40+R104+R148+R192+R222</f>
        <v/>
      </c>
      <c r="S16" s="44">
        <f>S40+S104+S148+S192+S222</f>
        <v/>
      </c>
      <c r="T16" s="44">
        <f>T40+T104+T148+T192+T222</f>
        <v/>
      </c>
      <c r="U16" s="44">
        <f>U40+U104+U148+U192+U222</f>
        <v/>
      </c>
      <c r="V16" s="44">
        <f>V40+V104+V148+V192+V222</f>
        <v/>
      </c>
      <c r="W16" s="44">
        <f>W40+W104+W148+W192+W222</f>
        <v/>
      </c>
      <c r="X16" s="44">
        <f>X40+X104+X148+X192+X222</f>
        <v/>
      </c>
      <c r="Y16" s="44">
        <f>Y40+Y104+Y148+Y192+Y222</f>
        <v/>
      </c>
      <c r="Z16" s="44">
        <f>Z40+Z104+Z148+Z192+Z222</f>
        <v/>
      </c>
      <c r="AA16" s="44">
        <f>AA40+AA104+AA148+AA192+AA222</f>
        <v/>
      </c>
      <c r="AB16" s="44">
        <f>AB40+AB104+AB148+AB192+AB222</f>
        <v/>
      </c>
      <c r="AC16" s="44" t="n"/>
      <c r="AD16" s="44" t="n"/>
      <c r="AE16" s="44" t="n"/>
      <c r="AF16" s="44" t="n"/>
      <c r="AG16" s="44" t="n"/>
      <c r="AH16" s="44" t="n"/>
      <c r="AI16" s="44" t="n"/>
      <c r="AJ16" s="44" t="n"/>
      <c r="AK16" s="44" t="n"/>
      <c r="AL16" s="44" t="n"/>
      <c r="AM16" s="44" t="n"/>
      <c r="AN16" s="44" t="n"/>
      <c r="AO16" s="44" t="n"/>
      <c r="AP16" s="44" t="n"/>
      <c r="AQ16" s="44" t="n"/>
      <c r="AR16" s="44" t="n"/>
      <c r="AS16" s="44" t="n"/>
      <c r="AT16" s="44" t="n"/>
      <c r="AU16" s="44" t="n"/>
      <c r="AV16" s="44" t="n"/>
      <c r="AW16" s="44" t="n"/>
      <c r="AX16" s="44" t="n"/>
      <c r="AY16" s="44" t="n"/>
      <c r="AZ16" s="44" t="n"/>
      <c r="BA16" s="44" t="n"/>
      <c r="BB16" s="44" t="n"/>
      <c r="BC16" s="44" t="n"/>
      <c r="BD16" s="44" t="n"/>
    </row>
    <row r="17">
      <c r="C17" s="11" t="inlineStr">
        <is>
          <t xml:space="preserve">Cam </t>
        </is>
      </c>
      <c r="D17" s="6" t="inlineStr">
        <is>
          <t>#</t>
        </is>
      </c>
      <c r="E17" s="41">
        <f>E41+E105+E149+E193+E223</f>
        <v/>
      </c>
      <c r="F17" s="41">
        <f>F41+F105+F149+F193+F223</f>
        <v/>
      </c>
      <c r="G17" s="41">
        <f>G41+G105+G149+G193+G223</f>
        <v/>
      </c>
      <c r="H17" s="41">
        <f>H41+H105+H149+H193+H223</f>
        <v/>
      </c>
      <c r="I17" s="41">
        <f>I41+I105+I149+I193+I223</f>
        <v/>
      </c>
      <c r="J17" s="41">
        <f>J41+J105+J149+J193+J223</f>
        <v/>
      </c>
      <c r="K17" s="41">
        <f>K41+K105+K149+K193+K223</f>
        <v/>
      </c>
      <c r="L17" s="41">
        <f>L41+L105+L149+L193+L223</f>
        <v/>
      </c>
      <c r="M17" s="41">
        <f>M41+M105+M149+M193+M223</f>
        <v/>
      </c>
      <c r="N17" s="41">
        <f>N41+N105+N149+N193+N223</f>
        <v/>
      </c>
      <c r="O17" s="41">
        <f>O41+O105+O149+O193+O223</f>
        <v/>
      </c>
      <c r="P17" s="41">
        <f>P41+P105+P149+P193+P223</f>
        <v/>
      </c>
      <c r="Q17" s="41">
        <f>Q41+Q105+Q149+Q193+Q223</f>
        <v/>
      </c>
      <c r="R17" s="41">
        <f>R41+R105+R149+R193+R223</f>
        <v/>
      </c>
      <c r="S17" s="41">
        <f>S41+S105+S149+S193+S223</f>
        <v/>
      </c>
      <c r="T17" s="41">
        <f>T41+T105+T149+T193+T223</f>
        <v/>
      </c>
      <c r="U17" s="41">
        <f>U41+U105+U149+U193+U223</f>
        <v/>
      </c>
      <c r="V17" s="41">
        <f>V41+V105+V149+V193+V223</f>
        <v/>
      </c>
      <c r="W17" s="41">
        <f>W41+W105+W149+W193+W223</f>
        <v/>
      </c>
      <c r="X17" s="41">
        <f>X41+X105+X149+X193+X223</f>
        <v/>
      </c>
      <c r="Y17" s="41">
        <f>Y41+Y105+Y149+Y193+Y223</f>
        <v/>
      </c>
      <c r="Z17" s="41">
        <f>Z41+Z105+Z149+Z193+Z223</f>
        <v/>
      </c>
      <c r="AA17" s="41">
        <f>AA41+AA105+AA149+AA193+AA223</f>
        <v/>
      </c>
      <c r="AB17" s="41">
        <f>AB41+AB105+AB149+AB193+AB223</f>
        <v/>
      </c>
      <c r="AC17" s="41" t="n"/>
      <c r="AD17" s="41" t="n"/>
      <c r="AE17" s="41" t="n"/>
      <c r="AF17" s="41" t="n"/>
      <c r="AG17" s="41" t="n"/>
      <c r="AH17" s="41" t="n"/>
      <c r="AI17" s="41" t="n"/>
      <c r="AJ17" s="41" t="n"/>
      <c r="AK17" s="41" t="n"/>
      <c r="AL17" s="41" t="n"/>
      <c r="AM17" s="41" t="n"/>
      <c r="AN17" s="41" t="n"/>
      <c r="AO17" s="41" t="n"/>
      <c r="AP17" s="41" t="n"/>
      <c r="AQ17" s="41" t="n"/>
      <c r="AR17" s="41" t="n"/>
      <c r="AS17" s="41" t="n"/>
      <c r="AT17" s="41" t="n"/>
      <c r="AU17" s="41" t="n"/>
      <c r="AV17" s="41" t="n"/>
      <c r="AW17" s="41" t="n"/>
      <c r="AX17" s="41" t="n"/>
      <c r="AY17" s="41" t="n"/>
      <c r="AZ17" s="41" t="n"/>
      <c r="BA17" s="41" t="n"/>
      <c r="BB17" s="41" t="n"/>
      <c r="BC17" s="41" t="n"/>
      <c r="BD17" s="41" t="n"/>
    </row>
    <row r="18">
      <c r="C18" s="11" t="inlineStr">
        <is>
          <t>Non Cam</t>
        </is>
      </c>
      <c r="D18" s="6" t="inlineStr">
        <is>
          <t>#</t>
        </is>
      </c>
      <c r="E18" s="41">
        <f>E42+E106+E150+E194+E224</f>
        <v/>
      </c>
      <c r="F18" s="41">
        <f>F42+F106+F150+F194+F224</f>
        <v/>
      </c>
      <c r="G18" s="41">
        <f>G42+G106+G150+G194+G224</f>
        <v/>
      </c>
      <c r="H18" s="41">
        <f>H42+H106+H150+H194+H224</f>
        <v/>
      </c>
      <c r="I18" s="41">
        <f>I42+I106+I150+I194+I224</f>
        <v/>
      </c>
      <c r="J18" s="41">
        <f>J42+J106+J150+J194+J224</f>
        <v/>
      </c>
      <c r="K18" s="41">
        <f>K42+K106+K150+K194+K224</f>
        <v/>
      </c>
      <c r="L18" s="41">
        <f>L42+L106+L150+L194+L224</f>
        <v/>
      </c>
      <c r="M18" s="41">
        <f>M42+M106+M150+M194+M224</f>
        <v/>
      </c>
      <c r="N18" s="41">
        <f>N42+N106+N150+N194+N224</f>
        <v/>
      </c>
      <c r="O18" s="41">
        <f>O42+O106+O150+O194+O224</f>
        <v/>
      </c>
      <c r="P18" s="41">
        <f>P42+P106+P150+P194+P224</f>
        <v/>
      </c>
      <c r="Q18" s="41">
        <f>Q42+Q106+Q150+Q194+Q224</f>
        <v/>
      </c>
      <c r="R18" s="41">
        <f>R42+R106+R150+R194+R224</f>
        <v/>
      </c>
      <c r="S18" s="41">
        <f>S42+S106+S150+S194+S224</f>
        <v/>
      </c>
      <c r="T18" s="41">
        <f>T42+T106+T150+T194+T224</f>
        <v/>
      </c>
      <c r="U18" s="41">
        <f>U42+U106+U150+U194+U224</f>
        <v/>
      </c>
      <c r="V18" s="41">
        <f>V42+V106+V150+V194+V224</f>
        <v/>
      </c>
      <c r="W18" s="41">
        <f>W42+W106+W150+W194+W224</f>
        <v/>
      </c>
      <c r="X18" s="41">
        <f>X42+X106+X150+X194+X224</f>
        <v/>
      </c>
      <c r="Y18" s="41">
        <f>Y42+Y106+Y150+Y194+Y224</f>
        <v/>
      </c>
      <c r="Z18" s="41">
        <f>Z42+Z106+Z150+Z194+Z224</f>
        <v/>
      </c>
      <c r="AA18" s="41">
        <f>AA42+AA106+AA150+AA194+AA224</f>
        <v/>
      </c>
      <c r="AB18" s="41">
        <f>AB42+AB106+AB150+AB194+AB224</f>
        <v/>
      </c>
      <c r="AC18" s="41" t="n"/>
      <c r="AD18" s="41" t="n"/>
      <c r="AE18" s="41" t="n"/>
      <c r="AF18" s="41" t="n"/>
      <c r="AG18" s="41" t="n"/>
      <c r="AH18" s="41" t="n"/>
      <c r="AI18" s="41" t="n"/>
      <c r="AJ18" s="41" t="n"/>
      <c r="AK18" s="41" t="n"/>
      <c r="AL18" s="41" t="n"/>
      <c r="AM18" s="41" t="n"/>
      <c r="AN18" s="41" t="n"/>
      <c r="AO18" s="41" t="n"/>
      <c r="AP18" s="41" t="n"/>
      <c r="AQ18" s="41" t="n"/>
      <c r="AR18" s="41" t="n"/>
      <c r="AS18" s="41" t="n"/>
      <c r="AT18" s="41" t="n"/>
      <c r="AU18" s="41" t="n"/>
      <c r="AV18" s="41" t="n"/>
      <c r="AW18" s="41" t="n"/>
      <c r="AX18" s="41" t="n"/>
      <c r="AY18" s="41" t="n"/>
      <c r="AZ18" s="41" t="n"/>
      <c r="BA18" s="41" t="n"/>
      <c r="BB18" s="41" t="n"/>
      <c r="BC18" s="41" t="n"/>
      <c r="BD18" s="41" t="n"/>
    </row>
    <row r="19">
      <c r="C19" s="6" t="n"/>
    </row>
    <row r="20">
      <c r="A20" s="40" t="inlineStr">
        <is>
          <t>New Customers</t>
        </is>
      </c>
      <c r="C20" s="6" t="n"/>
      <c r="D20" s="24" t="inlineStr">
        <is>
          <t># ppl</t>
        </is>
      </c>
      <c r="E20" s="42" t="n">
        <v>31335</v>
      </c>
      <c r="F20" s="42" t="n">
        <v>29130</v>
      </c>
      <c r="G20" s="42" t="n">
        <v>26783</v>
      </c>
      <c r="H20" s="42" t="n">
        <v>24489</v>
      </c>
      <c r="I20" s="42" t="n">
        <v>22194</v>
      </c>
      <c r="J20" s="42" t="n">
        <v>23450</v>
      </c>
      <c r="K20" s="42" t="n">
        <v>23505</v>
      </c>
      <c r="L20" s="42" t="n">
        <v>25284</v>
      </c>
      <c r="M20" s="42" t="n">
        <v>25857</v>
      </c>
      <c r="N20" s="42" t="n">
        <v>26676</v>
      </c>
      <c r="O20" s="42" t="n">
        <v>25688</v>
      </c>
      <c r="P20" s="42" t="n">
        <v>24256</v>
      </c>
      <c r="Q20" s="42" t="n">
        <v>25681</v>
      </c>
      <c r="R20" s="42" t="n">
        <v>26232</v>
      </c>
      <c r="S20" s="42" t="n">
        <v>25490</v>
      </c>
      <c r="T20" s="42" t="n">
        <v>25894</v>
      </c>
      <c r="U20" s="42" t="n">
        <v>24841</v>
      </c>
      <c r="V20" s="42" t="n">
        <v>24280</v>
      </c>
      <c r="W20" s="42" t="n">
        <v>23930</v>
      </c>
      <c r="X20" s="42" t="n">
        <v>23432</v>
      </c>
      <c r="Y20" s="42" t="n">
        <v>24071</v>
      </c>
      <c r="Z20" s="42" t="n">
        <v>25196</v>
      </c>
      <c r="AA20" s="42" t="n">
        <v>25697</v>
      </c>
      <c r="AB20" s="42" t="n">
        <v>24777</v>
      </c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42" t="n"/>
      <c r="AM20" s="42" t="n"/>
      <c r="AN20" s="42" t="n"/>
      <c r="AO20" s="42" t="n"/>
      <c r="AP20" s="42" t="n"/>
      <c r="AQ20" s="42" t="n"/>
      <c r="AR20" s="42" t="n"/>
      <c r="AS20" s="42" t="n"/>
      <c r="AT20" s="42" t="n"/>
      <c r="AU20" s="42" t="n"/>
      <c r="AV20" s="42" t="n"/>
      <c r="AW20" s="42" t="n"/>
      <c r="AX20" s="42" t="n"/>
      <c r="AY20" s="42" t="n"/>
      <c r="AZ20" s="42" t="n"/>
      <c r="BA20" s="42" t="n"/>
      <c r="BB20" s="42" t="n"/>
      <c r="BC20" s="42" t="n"/>
      <c r="BD20" s="42" t="n"/>
    </row>
    <row r="21">
      <c r="A21" s="40" t="n"/>
      <c r="B21" t="inlineStr">
        <is>
          <t>As % of all units</t>
        </is>
      </c>
      <c r="C21" s="6" t="n"/>
      <c r="D21" s="6" t="inlineStr">
        <is>
          <t>%</t>
        </is>
      </c>
      <c r="E21" s="45">
        <f>IFERROR(E20/E13,"")</f>
        <v/>
      </c>
      <c r="F21" s="45">
        <f>IFERROR(F20/F13,"")</f>
        <v/>
      </c>
      <c r="G21" s="45">
        <f>IFERROR(G20/G13,"")</f>
        <v/>
      </c>
      <c r="H21" s="45">
        <f>IFERROR(H20/H13,"")</f>
        <v/>
      </c>
      <c r="I21" s="45">
        <f>IFERROR(I20/I13,"")</f>
        <v/>
      </c>
      <c r="J21" s="45">
        <f>IFERROR(J20/J13,"")</f>
        <v/>
      </c>
      <c r="K21" s="45">
        <f>IFERROR(K20/K13,"")</f>
        <v/>
      </c>
      <c r="L21" s="45">
        <f>IFERROR(L20/L13,"")</f>
        <v/>
      </c>
      <c r="M21" s="45">
        <f>IFERROR(M20/M13,"")</f>
        <v/>
      </c>
      <c r="N21" s="45">
        <f>IFERROR(N20/N13,"")</f>
        <v/>
      </c>
      <c r="O21" s="45">
        <f>IFERROR(O20/O13,"")</f>
        <v/>
      </c>
      <c r="P21" s="45">
        <f>IFERROR(P20/P13,"")</f>
        <v/>
      </c>
      <c r="Q21" s="45">
        <f>IFERROR(Q20/Q13,"")</f>
        <v/>
      </c>
      <c r="R21" s="45">
        <f>IFERROR(R20/R13,"")</f>
        <v/>
      </c>
      <c r="S21" s="45">
        <f>IFERROR(S20/S13,"")</f>
        <v/>
      </c>
      <c r="T21" s="45">
        <f>IFERROR(T20/T13,"")</f>
        <v/>
      </c>
      <c r="U21" s="45">
        <f>IFERROR(U20/U13,"")</f>
        <v/>
      </c>
      <c r="V21" s="45">
        <f>IFERROR(V20/V13,"")</f>
        <v/>
      </c>
      <c r="W21" s="45">
        <f>IFERROR(W20/W13,"")</f>
        <v/>
      </c>
      <c r="X21" s="45">
        <f>IFERROR(X20/X13,"")</f>
        <v/>
      </c>
      <c r="Y21" s="45">
        <f>IFERROR(Y20/Y13,"")</f>
        <v/>
      </c>
      <c r="Z21" s="45">
        <f>IFERROR(Z20/Z13,"")</f>
        <v/>
      </c>
      <c r="AA21" s="45">
        <f>IFERROR(AA20/AA13,"")</f>
        <v/>
      </c>
      <c r="AB21" s="45">
        <f>IFERROR(AB20/AB13,"")</f>
        <v/>
      </c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  <c r="AL21" s="45" t="n"/>
      <c r="AM21" s="45" t="n"/>
      <c r="AN21" s="45" t="n"/>
      <c r="AO21" s="45" t="n"/>
      <c r="AP21" s="45" t="n"/>
      <c r="AQ21" s="45" t="n"/>
      <c r="AR21" s="45" t="n"/>
      <c r="AS21" s="45" t="n"/>
      <c r="AT21" s="45" t="n"/>
      <c r="AU21" s="45" t="n"/>
      <c r="AV21" s="45" t="n"/>
      <c r="AW21" s="45" t="n"/>
      <c r="AX21" s="45" t="n"/>
      <c r="AY21" s="45" t="n"/>
      <c r="AZ21" s="45" t="n"/>
      <c r="BA21" s="45" t="n"/>
      <c r="BB21" s="45" t="n"/>
      <c r="BC21" s="45" t="n"/>
      <c r="BD21" s="45" t="n"/>
    </row>
    <row r="22">
      <c r="B22" s="7" t="inlineStr">
        <is>
          <t>% of Target</t>
        </is>
      </c>
      <c r="C22" s="6" t="n"/>
      <c r="D22" s="17" t="inlineStr">
        <is>
          <t>%</t>
        </is>
      </c>
      <c r="E22" s="43">
        <f>IFERROR(E20/E24,"")</f>
        <v/>
      </c>
      <c r="F22" s="43">
        <f>IFERROR(F20/F24,"")</f>
        <v/>
      </c>
      <c r="G22" s="43">
        <f>IFERROR(G20/G24,"")</f>
        <v/>
      </c>
      <c r="H22" s="43">
        <f>IFERROR(H20/H24,"")</f>
        <v/>
      </c>
      <c r="I22" s="43">
        <f>IFERROR(I20/I24,"")</f>
        <v/>
      </c>
      <c r="J22" s="43">
        <f>IFERROR(J20/J24,"")</f>
        <v/>
      </c>
      <c r="K22" s="43">
        <f>IFERROR(K20/K24,"")</f>
        <v/>
      </c>
      <c r="L22" s="43">
        <f>IFERROR(L20/L24,"")</f>
        <v/>
      </c>
      <c r="M22" s="43">
        <f>IFERROR(M20/M24,"")</f>
        <v/>
      </c>
      <c r="N22" s="43">
        <f>IFERROR(N20/N24,"")</f>
        <v/>
      </c>
      <c r="O22" s="43">
        <f>IFERROR(O20/O24,"")</f>
        <v/>
      </c>
      <c r="P22" s="43">
        <f>IFERROR(P20/P24,"")</f>
        <v/>
      </c>
      <c r="Q22" s="43">
        <f>IFERROR(Q20/Q24,"")</f>
        <v/>
      </c>
      <c r="R22" s="43">
        <f>IFERROR(R20/R24,"")</f>
        <v/>
      </c>
      <c r="S22" s="43">
        <f>IFERROR(S20/S24,"")</f>
        <v/>
      </c>
      <c r="T22" s="43">
        <f>IFERROR(T20/T24,"")</f>
        <v/>
      </c>
      <c r="U22" s="43">
        <f>IFERROR(U20/U24,"")</f>
        <v/>
      </c>
      <c r="V22" s="43">
        <f>IFERROR(V20/V24,"")</f>
        <v/>
      </c>
      <c r="W22" s="43">
        <f>IFERROR(W20/W24,"")</f>
        <v/>
      </c>
      <c r="X22" s="43">
        <f>IFERROR(X20/X24,"")</f>
        <v/>
      </c>
      <c r="Y22" s="43">
        <f>IFERROR(Y20/Y24,"")</f>
        <v/>
      </c>
      <c r="Z22" s="43">
        <f>IFERROR(Z20/Z24,"")</f>
        <v/>
      </c>
      <c r="AA22" s="43">
        <f>IFERROR(AA20/AA24,"")</f>
        <v/>
      </c>
      <c r="AB22" s="43">
        <f>IFERROR(AB20/AB24,"")</f>
        <v/>
      </c>
      <c r="AC22" s="43" t="n"/>
      <c r="AD22" s="43" t="n"/>
      <c r="AE22" s="43" t="n"/>
      <c r="AF22" s="43" t="n"/>
      <c r="AG22" s="43" t="n"/>
      <c r="AH22" s="43" t="n"/>
      <c r="AI22" s="43" t="n"/>
      <c r="AJ22" s="43" t="n"/>
      <c r="AK22" s="43" t="n"/>
      <c r="AL22" s="43" t="n"/>
      <c r="AM22" s="43" t="n"/>
      <c r="AN22" s="43" t="n"/>
      <c r="AO22" s="43" t="n"/>
      <c r="AP22" s="43" t="n"/>
      <c r="AQ22" s="43" t="n"/>
      <c r="AR22" s="43" t="n"/>
      <c r="AS22" s="43" t="n"/>
      <c r="AT22" s="43" t="n"/>
      <c r="AU22" s="43" t="n"/>
      <c r="AV22" s="43" t="n"/>
      <c r="AW22" s="43" t="n"/>
      <c r="AX22" s="43" t="n"/>
      <c r="AY22" s="43" t="n"/>
      <c r="AZ22" s="43" t="n"/>
      <c r="BA22" s="43" t="n"/>
      <c r="BB22" s="43" t="n"/>
      <c r="BC22" s="43" t="n"/>
      <c r="BD22" s="43" t="n"/>
    </row>
    <row r="23" ht="15.75" customHeight="1">
      <c r="B23" s="7" t="inlineStr">
        <is>
          <t>% of Target - YTD</t>
        </is>
      </c>
      <c r="C23" s="6" t="n"/>
      <c r="D23" s="17" t="inlineStr">
        <is>
          <t>%</t>
        </is>
      </c>
      <c r="E23" s="43">
        <f>IFERROR(SUMIF($E$24:E24,"&lt;&gt;",$E$20:E20)/SUM($E$24:E24),"")</f>
        <v/>
      </c>
      <c r="F23" s="43">
        <f>IFERROR(SUMIF($E$24:F24,"&lt;&gt;",$E$20:F20)/SUM($E$24:F24),"")</f>
        <v/>
      </c>
      <c r="G23" s="43">
        <f>IFERROR(SUMIF($E$24:G24,"&lt;&gt;",$E$20:G20)/SUM($E$24:G24),"")</f>
        <v/>
      </c>
      <c r="H23" s="43">
        <f>IFERROR(SUMIF($E$24:H24,"&lt;&gt;",$E$20:H20)/SUM($E$24:H24),"")</f>
        <v/>
      </c>
      <c r="I23" s="43">
        <f>IFERROR(SUMIF($E$24:I24,"&lt;&gt;",$E$20:I20)/SUM($E$24:I24),"")</f>
        <v/>
      </c>
      <c r="J23" s="43">
        <f>IFERROR(SUMIF($E$24:J24,"&lt;&gt;",$E$20:J20)/SUM($E$24:J24),"")</f>
        <v/>
      </c>
      <c r="K23" s="43">
        <f>IFERROR(SUMIF($E$24:K24,"&lt;&gt;",$E$20:K20)/SUM($E$24:K24),"")</f>
        <v/>
      </c>
      <c r="L23" s="43">
        <f>IFERROR(SUMIF($E$24:L24,"&lt;&gt;",$E$20:L20)/SUM($E$24:L24),"")</f>
        <v/>
      </c>
      <c r="M23" s="43">
        <f>IFERROR(SUMIF($E$24:M24,"&lt;&gt;",$E$20:M20)/SUM($E$24:M24),"")</f>
        <v/>
      </c>
      <c r="N23" s="43">
        <f>IFERROR(SUMIF($E$24:N24,"&lt;&gt;",$E$20:N20)/SUM($E$24:N24),"")</f>
        <v/>
      </c>
      <c r="O23" s="43">
        <f>IFERROR(SUMIF($E$24:O24,"&lt;&gt;",$E$20:O20)/SUM($E$24:O24),"")</f>
        <v/>
      </c>
      <c r="P23" s="43">
        <f>IFERROR(SUMIF($E$24:P24,"&lt;&gt;",$E$20:P20)/SUM($E$24:P24),"")</f>
        <v/>
      </c>
      <c r="Q23" s="43">
        <f>IFERROR(SUMIF($E$24:Q24,"&lt;&gt;",$E$20:Q20)/SUM($E$24:Q24),"")</f>
        <v/>
      </c>
      <c r="R23" s="43">
        <f>IFERROR(SUMIF($E$24:R24,"&lt;&gt;",$E$20:R20)/SUM($E$24:R24),"")</f>
        <v/>
      </c>
      <c r="S23" s="43">
        <f>IFERROR(SUMIF($E$24:S24,"&lt;&gt;",$E$20:S20)/SUM($E$24:S24),"")</f>
        <v/>
      </c>
      <c r="T23" s="43">
        <f>IFERROR(SUMIF($E$24:T24,"&lt;&gt;",$E$20:T20)/SUM($E$24:T24),"")</f>
        <v/>
      </c>
      <c r="U23" s="43">
        <f>IFERROR(SUMIF($E$24:U24,"&lt;&gt;",$E$20:U20)/SUM($E$24:U24),"")</f>
        <v/>
      </c>
      <c r="V23" s="43">
        <f>IFERROR(SUMIF($E$24:V24,"&lt;&gt;",$E$20:V20)/SUM($E$24:V24),"")</f>
        <v/>
      </c>
      <c r="W23" s="43">
        <f>IFERROR(SUMIF($E$24:W24,"&lt;&gt;",$E$20:W20)/SUM($E$24:W24),"")</f>
        <v/>
      </c>
      <c r="X23" s="43">
        <f>IFERROR(SUMIF($E$24:X24,"&lt;&gt;",$E$20:X20)/SUM($E$24:X24),"")</f>
        <v/>
      </c>
      <c r="Y23" s="43">
        <f>IFERROR(SUMIF($E$24:Y24,"&lt;&gt;",$E$20:Y20)/SUM($E$24:Y24),"")</f>
        <v/>
      </c>
      <c r="Z23" s="43">
        <f>IFERROR(SUMIF($E$24:Z24,"&lt;&gt;",$E$20:Z20)/SUM($E$24:Z24),"")</f>
        <v/>
      </c>
      <c r="AA23" s="43">
        <f>IFERROR(SUMIF($E$24:AA24,"&lt;&gt;",$E$20:AA20)/SUM($E$24:AA24),"")</f>
        <v/>
      </c>
      <c r="AB23" s="43">
        <f>IFERROR(SUMIF($E$24:AB24,"&lt;&gt;",$E$20:AB20)/SUM($E$24:AB24),"")</f>
        <v/>
      </c>
      <c r="AC23" s="43" t="n"/>
      <c r="AD23" s="43" t="n"/>
      <c r="AE23" s="43" t="n"/>
      <c r="AF23" s="43" t="n"/>
      <c r="AG23" s="43" t="n"/>
      <c r="AH23" s="43" t="n"/>
      <c r="AI23" s="43" t="n"/>
      <c r="AJ23" s="43" t="n"/>
      <c r="AK23" s="43" t="n"/>
      <c r="AL23" s="43" t="n"/>
      <c r="AM23" s="43" t="n"/>
      <c r="AN23" s="43" t="n"/>
      <c r="AO23" s="43" t="n"/>
      <c r="AP23" s="43" t="n"/>
      <c r="AQ23" s="43" t="n"/>
      <c r="AR23" s="43" t="n"/>
      <c r="AS23" s="43" t="n"/>
      <c r="AT23" s="43" t="n"/>
      <c r="AU23" s="43" t="n"/>
      <c r="AV23" s="43" t="n"/>
      <c r="AW23" s="43" t="n"/>
      <c r="AX23" s="43" t="n"/>
      <c r="AY23" s="43" t="n"/>
      <c r="AZ23" s="43" t="n"/>
      <c r="BA23" s="43" t="n"/>
      <c r="BB23" s="43" t="n"/>
      <c r="BC23" s="43" t="n"/>
      <c r="BD23" s="43" t="n"/>
    </row>
    <row r="24">
      <c r="B24" s="9" t="inlineStr">
        <is>
          <t>Target</t>
        </is>
      </c>
      <c r="C24" s="6" t="n"/>
      <c r="D24" s="14" t="inlineStr">
        <is>
          <t>#</t>
        </is>
      </c>
      <c r="E24" s="44">
        <f>IF(E13="","",0.52*E13)</f>
        <v/>
      </c>
      <c r="F24" s="44">
        <f>IF(F13="","",0.52*F13)</f>
        <v/>
      </c>
      <c r="G24" s="44">
        <f>IF(G13="","",0.52*G13)</f>
        <v/>
      </c>
      <c r="H24" s="44">
        <f>IF(H13="","",0.52*H13)</f>
        <v/>
      </c>
      <c r="I24" s="44">
        <f>IF(I13="","",0.52*I13)</f>
        <v/>
      </c>
      <c r="J24" s="44">
        <f>IF(J13="","",0.52*J13)</f>
        <v/>
      </c>
      <c r="K24" s="44">
        <f>IF(K13="","",0.52*K13)</f>
        <v/>
      </c>
      <c r="L24" s="44">
        <f>IF(L13="","",0.52*L13)</f>
        <v/>
      </c>
      <c r="M24" s="44">
        <f>IF(M13="","",0.52*M13)</f>
        <v/>
      </c>
      <c r="N24" s="44">
        <f>IF(N13="","",0.52*N13)</f>
        <v/>
      </c>
      <c r="O24" s="44">
        <f>IF(O13="","",0.52*O13)</f>
        <v/>
      </c>
      <c r="P24" s="44">
        <f>IF(P13="","",0.52*P13)</f>
        <v/>
      </c>
      <c r="Q24" s="44">
        <f>IF(Q13="","",0.52*Q13)</f>
        <v/>
      </c>
      <c r="R24" s="44">
        <f>IF(R13="","",0.52*R13)</f>
        <v/>
      </c>
      <c r="S24" s="44">
        <f>IF(S13="","",0.52*S13)</f>
        <v/>
      </c>
      <c r="T24" s="44">
        <f>IF(T13="","",0.52*T13)</f>
        <v/>
      </c>
      <c r="U24" s="44">
        <f>IF(U13="","",0.52*U13)</f>
        <v/>
      </c>
      <c r="V24" s="44">
        <f>IF(V13="","",0.52*V13)</f>
        <v/>
      </c>
      <c r="W24" s="44">
        <f>IF(W13="","",0.52*W13)</f>
        <v/>
      </c>
      <c r="X24" s="44">
        <f>IF(X13="","",0.52*X13)</f>
        <v/>
      </c>
      <c r="Y24" s="44">
        <f>IF(Y13="","",0.52*Y13)</f>
        <v/>
      </c>
      <c r="Z24" s="44">
        <f>IF(Z13="","",0.52*Z13)</f>
        <v/>
      </c>
      <c r="AA24" s="44">
        <f>IF(AA13="","",0.52*AA13)</f>
        <v/>
      </c>
      <c r="AB24" s="44">
        <f>IF(AB13="","",0.52*AB13)</f>
        <v/>
      </c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</row>
    <row r="25">
      <c r="C25" s="11" t="inlineStr">
        <is>
          <t xml:space="preserve">Cam </t>
        </is>
      </c>
      <c r="D25" s="6" t="inlineStr">
        <is>
          <t>#</t>
        </is>
      </c>
      <c r="E25" s="41" t="n">
        <v>24002</v>
      </c>
      <c r="F25" s="41" t="n">
        <v>21972</v>
      </c>
      <c r="G25" s="41" t="n">
        <v>20993</v>
      </c>
      <c r="H25" s="41" t="n">
        <v>19156</v>
      </c>
      <c r="I25" s="41" t="n">
        <v>17585</v>
      </c>
      <c r="J25" s="41" t="n">
        <v>18669</v>
      </c>
      <c r="K25" s="41" t="n">
        <v>18862</v>
      </c>
      <c r="L25" s="41" t="n">
        <v>20525</v>
      </c>
      <c r="M25" s="41" t="n">
        <v>21252</v>
      </c>
      <c r="N25" s="41" t="n">
        <v>22143</v>
      </c>
      <c r="O25" s="41" t="n">
        <v>21244</v>
      </c>
      <c r="P25" s="41" t="n">
        <v>20091</v>
      </c>
      <c r="Q25" s="41" t="n">
        <v>21357</v>
      </c>
      <c r="R25" s="41" t="n">
        <v>21825</v>
      </c>
      <c r="S25" s="41" t="n">
        <v>21271</v>
      </c>
      <c r="T25" s="41" t="n">
        <v>21737</v>
      </c>
      <c r="U25" s="41" t="n">
        <v>20851</v>
      </c>
      <c r="V25" s="41" t="n">
        <v>19999</v>
      </c>
      <c r="W25" s="41" t="n">
        <v>19809</v>
      </c>
      <c r="X25" s="41" t="n">
        <v>19665</v>
      </c>
      <c r="Y25" s="41" t="n">
        <v>20265</v>
      </c>
      <c r="Z25" s="41" t="n">
        <v>20901</v>
      </c>
      <c r="AA25" s="41" t="n">
        <v>21427</v>
      </c>
      <c r="AB25" s="41" t="n">
        <v>21004</v>
      </c>
      <c r="AC25" s="41" t="n"/>
      <c r="AD25" s="41" t="n"/>
      <c r="AE25" s="41" t="n"/>
      <c r="AF25" s="41" t="n"/>
      <c r="AG25" s="41" t="n"/>
      <c r="AH25" s="41" t="n"/>
      <c r="AI25" s="41" t="n"/>
      <c r="AJ25" s="41" t="n"/>
      <c r="AK25" s="41" t="n"/>
      <c r="AL25" s="41" t="n"/>
      <c r="AM25" s="41" t="n"/>
      <c r="AN25" s="41" t="n"/>
      <c r="AO25" s="41" t="n"/>
      <c r="AP25" s="41" t="n"/>
      <c r="AQ25" s="41" t="n"/>
      <c r="AR25" s="41" t="n"/>
      <c r="AS25" s="41" t="n"/>
      <c r="AT25" s="41" t="n"/>
      <c r="AU25" s="41" t="n"/>
      <c r="AV25" s="41" t="n"/>
      <c r="AW25" s="41" t="n"/>
      <c r="AX25" s="41" t="n"/>
      <c r="AY25" s="41" t="n"/>
      <c r="AZ25" s="41" t="n"/>
      <c r="BA25" s="41" t="n"/>
      <c r="BB25" s="41" t="n"/>
      <c r="BC25" s="41" t="n"/>
      <c r="BD25" s="41" t="n"/>
    </row>
    <row r="26">
      <c r="C26" s="11" t="inlineStr">
        <is>
          <t>Non Cam</t>
        </is>
      </c>
      <c r="D26" s="6" t="inlineStr">
        <is>
          <t>#</t>
        </is>
      </c>
      <c r="E26" s="41" t="n">
        <v>7333</v>
      </c>
      <c r="F26" s="41" t="n">
        <v>7158</v>
      </c>
      <c r="G26" s="41" t="n">
        <v>5790</v>
      </c>
      <c r="H26" s="41" t="n">
        <v>5333</v>
      </c>
      <c r="I26" s="41" t="n">
        <v>4609</v>
      </c>
      <c r="J26" s="41" t="n">
        <v>4781</v>
      </c>
      <c r="K26" s="41" t="n">
        <v>4643</v>
      </c>
      <c r="L26" s="41" t="n">
        <v>4759</v>
      </c>
      <c r="M26" s="41" t="n">
        <v>4605</v>
      </c>
      <c r="N26" s="41" t="n">
        <v>4533</v>
      </c>
      <c r="O26" s="41" t="n">
        <v>4444</v>
      </c>
      <c r="P26" s="41" t="n">
        <v>4165</v>
      </c>
      <c r="Q26" s="41" t="n">
        <v>4324</v>
      </c>
      <c r="R26" s="41" t="n">
        <v>4407</v>
      </c>
      <c r="S26" s="41" t="n">
        <v>4219</v>
      </c>
      <c r="T26" s="41" t="n">
        <v>4157</v>
      </c>
      <c r="U26" s="41" t="n">
        <v>3990</v>
      </c>
      <c r="V26" s="41" t="n">
        <v>4281</v>
      </c>
      <c r="W26" s="41" t="n">
        <v>4121</v>
      </c>
      <c r="X26" s="41" t="n">
        <v>3767</v>
      </c>
      <c r="Y26" s="41" t="n">
        <v>3806</v>
      </c>
      <c r="Z26" s="41" t="n">
        <v>4295</v>
      </c>
      <c r="AA26" s="41" t="n">
        <v>4270</v>
      </c>
      <c r="AB26" s="41" t="n">
        <v>3773</v>
      </c>
      <c r="AC26" s="41" t="n"/>
      <c r="AD26" s="41" t="n"/>
      <c r="AE26" s="41" t="n"/>
      <c r="AF26" s="41" t="n"/>
      <c r="AG26" s="41" t="n"/>
      <c r="AH26" s="41" t="n"/>
      <c r="AI26" s="41" t="n"/>
      <c r="AJ26" s="41" t="n"/>
      <c r="AK26" s="41" t="n"/>
      <c r="AL26" s="41" t="n"/>
      <c r="AM26" s="41" t="n"/>
      <c r="AN26" s="41" t="n"/>
      <c r="AO26" s="41" t="n"/>
      <c r="AP26" s="41" t="n"/>
      <c r="AQ26" s="41" t="n"/>
      <c r="AR26" s="41" t="n"/>
      <c r="AS26" s="41" t="n"/>
      <c r="AT26" s="41" t="n"/>
      <c r="AU26" s="41" t="n"/>
      <c r="AV26" s="41" t="n"/>
      <c r="AW26" s="41" t="n"/>
      <c r="AX26" s="41" t="n"/>
      <c r="AY26" s="41" t="n"/>
      <c r="AZ26" s="41" t="n"/>
      <c r="BA26" s="41" t="n"/>
      <c r="BB26" s="41" t="n"/>
      <c r="BC26" s="41" t="n"/>
      <c r="BD26" s="41" t="n"/>
    </row>
    <row r="27"/>
    <row r="28"/>
    <row r="29" customFormat="1" s="21">
      <c r="A29" s="23" t="inlineStr">
        <is>
          <t>Amazon</t>
        </is>
      </c>
      <c r="D29" s="22" t="n"/>
    </row>
    <row r="30">
      <c r="A30" s="40" t="inlineStr">
        <is>
          <t>Sell-in value</t>
        </is>
      </c>
      <c r="D30" s="24" t="inlineStr">
        <is>
          <t>$k</t>
        </is>
      </c>
      <c r="E30" s="42" t="n">
        <v>477.558</v>
      </c>
      <c r="F30" s="42" t="n">
        <v>657.735</v>
      </c>
      <c r="G30" s="42" t="n">
        <v>1031.807</v>
      </c>
      <c r="H30" s="42" t="n">
        <v>375.815</v>
      </c>
      <c r="I30" s="42" t="n">
        <v>919.802</v>
      </c>
      <c r="J30" s="42" t="n">
        <v>743.9</v>
      </c>
      <c r="K30" s="42" t="n">
        <v>1122.401</v>
      </c>
      <c r="L30" s="42" t="n">
        <v>2015.756</v>
      </c>
      <c r="M30" s="42" t="n">
        <v>1845.494</v>
      </c>
      <c r="N30" s="42" t="n">
        <v>3412.268</v>
      </c>
      <c r="O30" s="42" t="n">
        <v>651.255</v>
      </c>
      <c r="P30" s="42" t="n">
        <v>2116.446</v>
      </c>
      <c r="Q30" s="42" t="n">
        <v>519.106</v>
      </c>
      <c r="R30" s="42" t="n">
        <v>1907.646</v>
      </c>
      <c r="S30" s="42" t="n">
        <v>1186.938</v>
      </c>
      <c r="T30" s="42" t="n">
        <v>1421.368</v>
      </c>
      <c r="U30" s="42" t="n">
        <v>1162.305</v>
      </c>
      <c r="V30" s="42" t="n">
        <v>1254.842</v>
      </c>
      <c r="W30" s="42" t="n">
        <v>3374.807</v>
      </c>
      <c r="X30" s="42" t="n">
        <v>1461.043</v>
      </c>
      <c r="Y30" s="42" t="n">
        <v>5579.827</v>
      </c>
      <c r="Z30" s="42" t="n">
        <v>455.199</v>
      </c>
      <c r="AA30" s="42" t="n">
        <v>2057.414</v>
      </c>
      <c r="AB30" s="42" t="n">
        <v>1847.599</v>
      </c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</row>
    <row r="31" ht="15.75" customFormat="1" customHeight="1" s="4">
      <c r="A31" s="3" t="n"/>
      <c r="B31" s="4" t="inlineStr">
        <is>
          <t>% of Total - YTD</t>
        </is>
      </c>
      <c r="D31" s="33" t="inlineStr">
        <is>
          <t>%</t>
        </is>
      </c>
      <c r="E31" s="46">
        <f>IFERROR(SUM($E$30:E30)/SUM($E$3:E3),"")</f>
        <v/>
      </c>
      <c r="F31" s="46">
        <f>IFERROR(SUM($E$30:F30)/SUM($E$3:F3),"")</f>
        <v/>
      </c>
      <c r="G31" s="46">
        <f>IFERROR(SUM($E$30:G30)/SUM($E$3:G3),"")</f>
        <v/>
      </c>
      <c r="H31" s="46">
        <f>IFERROR(SUM($E$30:H30)/SUM($E$3:H3),"")</f>
        <v/>
      </c>
      <c r="I31" s="46">
        <f>IFERROR(SUM($E$30:I30)/SUM($E$3:I3),"")</f>
        <v/>
      </c>
      <c r="J31" s="46">
        <f>IFERROR(SUM($E$30:J30)/SUM($E$3:J3),"")</f>
        <v/>
      </c>
      <c r="K31" s="46">
        <f>IFERROR(SUM($E$30:K30)/SUM($E$3:K3),"")</f>
        <v/>
      </c>
      <c r="L31" s="46">
        <f>IFERROR(SUM($E$30:L30)/SUM($E$3:L3),"")</f>
        <v/>
      </c>
      <c r="M31" s="46">
        <f>IFERROR(SUM($E$30:M30)/SUM($E$3:M3),"")</f>
        <v/>
      </c>
      <c r="N31" s="46">
        <f>IFERROR(SUM($E$30:N30)/SUM($E$3:N3),"")</f>
        <v/>
      </c>
      <c r="O31" s="46">
        <f>IFERROR(SUM($E$30:O30)/SUM($E$3:O3),"")</f>
        <v/>
      </c>
      <c r="P31" s="46">
        <f>IFERROR(SUM($E$30:P30)/SUM($E$3:P3),"")</f>
        <v/>
      </c>
      <c r="Q31" s="46">
        <f>IFERROR(SUM($E$30:Q30)/SUM($E$3:Q3),"")</f>
        <v/>
      </c>
      <c r="R31" s="46">
        <f>IFERROR(SUM($E$30:R30)/SUM($E$3:R3),"")</f>
        <v/>
      </c>
      <c r="S31" s="46">
        <f>IFERROR(SUM($E$30:S30)/SUM($E$3:S3),"")</f>
        <v/>
      </c>
      <c r="T31" s="46">
        <f>IFERROR(SUM($E$30:T30)/SUM($E$3:T3),"")</f>
        <v/>
      </c>
      <c r="U31" s="46">
        <f>IFERROR(SUM($E$30:U30)/SUM($E$3:U3),"")</f>
        <v/>
      </c>
      <c r="V31" s="46">
        <f>IFERROR(SUM($E$30:V30)/SUM($E$3:V3),"")</f>
        <v/>
      </c>
      <c r="W31" s="46">
        <f>IFERROR(SUM($E$30:W30)/SUM($E$3:W3),"")</f>
        <v/>
      </c>
      <c r="X31" s="46">
        <f>IFERROR(SUM($E$30:X30)/SUM($E$3:X3),"")</f>
        <v/>
      </c>
      <c r="Y31" s="46">
        <f>IFERROR(SUM($E$30:Y30)/SUM($E$3:Y3),"")</f>
        <v/>
      </c>
      <c r="Z31" s="46">
        <f>IFERROR(SUM($E$30:Z30)/SUM($E$3:Z3),"")</f>
        <v/>
      </c>
      <c r="AA31" s="46">
        <f>IFERROR(SUM($E$30:AA30)/SUM($E$3:AA3),"")</f>
        <v/>
      </c>
      <c r="AB31" s="46">
        <f>IFERROR(SUM($E$30:AB30)/SUM($E$3:AB3),"")</f>
        <v/>
      </c>
      <c r="AC31" s="46" t="n"/>
      <c r="AD31" s="46" t="n"/>
      <c r="AE31" s="46" t="n"/>
      <c r="AF31" s="46" t="n"/>
      <c r="AG31" s="46" t="n"/>
      <c r="AH31" s="46" t="n"/>
      <c r="AI31" s="46" t="n"/>
      <c r="AJ31" s="46" t="n"/>
      <c r="AK31" s="46" t="n"/>
      <c r="AL31" s="46" t="n"/>
      <c r="AM31" s="46" t="n"/>
      <c r="AN31" s="46" t="n"/>
      <c r="AO31" s="46" t="n"/>
      <c r="AP31" s="46" t="n"/>
      <c r="AQ31" s="46" t="n"/>
      <c r="AR31" s="46" t="n"/>
      <c r="AS31" s="46" t="n"/>
      <c r="AT31" s="46" t="n"/>
      <c r="AU31" s="46" t="n"/>
      <c r="AV31" s="46" t="n"/>
      <c r="AW31" s="46" t="n"/>
      <c r="AX31" s="46" t="n"/>
      <c r="AY31" s="46" t="n"/>
      <c r="AZ31" s="46" t="n"/>
      <c r="BA31" s="46" t="n"/>
      <c r="BB31" s="46" t="n"/>
      <c r="BC31" s="46" t="n"/>
      <c r="BD31" s="46" t="n"/>
    </row>
    <row r="32" customFormat="1" s="7">
      <c r="B32" s="7" t="inlineStr">
        <is>
          <t>% of Target</t>
        </is>
      </c>
      <c r="D32" s="8" t="inlineStr">
        <is>
          <t>%</t>
        </is>
      </c>
      <c r="E32" s="43">
        <f>IFERROR(E30/E34,"")</f>
        <v/>
      </c>
      <c r="F32" s="43">
        <f>IFERROR(F30/F34,"")</f>
        <v/>
      </c>
      <c r="G32" s="43">
        <f>IFERROR(G30/G34,"")</f>
        <v/>
      </c>
      <c r="H32" s="43">
        <f>IFERROR(H30/H34,"")</f>
        <v/>
      </c>
      <c r="I32" s="43">
        <f>IFERROR(I30/I34,"")</f>
        <v/>
      </c>
      <c r="J32" s="43">
        <f>IFERROR(J30/J34,"")</f>
        <v/>
      </c>
      <c r="K32" s="43">
        <f>IFERROR(K30/K34,"")</f>
        <v/>
      </c>
      <c r="L32" s="43">
        <f>IFERROR(L30/L34,"")</f>
        <v/>
      </c>
      <c r="M32" s="43">
        <f>IFERROR(M30/M34,"")</f>
        <v/>
      </c>
      <c r="N32" s="43">
        <f>IFERROR(N30/N34,"")</f>
        <v/>
      </c>
      <c r="O32" s="43">
        <f>IFERROR(O30/O34,"")</f>
        <v/>
      </c>
      <c r="P32" s="43">
        <f>IFERROR(P30/P34,"")</f>
        <v/>
      </c>
      <c r="Q32" s="43">
        <f>IFERROR(Q30/Q34,"")</f>
        <v/>
      </c>
      <c r="R32" s="43">
        <f>IFERROR(R30/R34,"")</f>
        <v/>
      </c>
      <c r="S32" s="43">
        <f>IFERROR(S30/S34,"")</f>
        <v/>
      </c>
      <c r="T32" s="43">
        <f>IFERROR(T30/T34,"")</f>
        <v/>
      </c>
      <c r="U32" s="43">
        <f>IFERROR(U30/U34,"")</f>
        <v/>
      </c>
      <c r="V32" s="43">
        <f>IFERROR(V30/V34,"")</f>
        <v/>
      </c>
      <c r="W32" s="43">
        <f>IFERROR(W30/W34,"")</f>
        <v/>
      </c>
      <c r="X32" s="43">
        <f>IFERROR(X30/X34,"")</f>
        <v/>
      </c>
      <c r="Y32" s="43">
        <f>IFERROR(Y30/Y34,"")</f>
        <v/>
      </c>
      <c r="Z32" s="43">
        <f>IFERROR(Z30/Z34,"")</f>
        <v/>
      </c>
      <c r="AA32" s="43">
        <f>IFERROR(AA30/AA34,"")</f>
        <v/>
      </c>
      <c r="AB32" s="43">
        <f>IFERROR(AB30/AB34,"")</f>
        <v/>
      </c>
      <c r="AC32" s="43" t="n"/>
      <c r="AD32" s="43" t="n"/>
      <c r="AE32" s="43" t="n"/>
      <c r="AF32" s="43" t="n"/>
      <c r="AG32" s="43" t="n"/>
      <c r="AH32" s="43" t="n"/>
      <c r="AI32" s="43" t="n"/>
      <c r="AJ32" s="43" t="n"/>
      <c r="AK32" s="43" t="n"/>
      <c r="AL32" s="43" t="n"/>
      <c r="AM32" s="43" t="n"/>
      <c r="AN32" s="43" t="n"/>
      <c r="AO32" s="43" t="n"/>
      <c r="AP32" s="43" t="n"/>
      <c r="AQ32" s="43" t="n"/>
      <c r="AR32" s="43" t="n"/>
      <c r="AS32" s="43" t="n"/>
      <c r="AT32" s="43" t="n"/>
      <c r="AU32" s="43" t="n"/>
      <c r="AV32" s="43" t="n"/>
      <c r="AW32" s="43" t="n"/>
      <c r="AX32" s="43" t="n"/>
      <c r="AY32" s="43" t="n"/>
      <c r="AZ32" s="43" t="n"/>
      <c r="BA32" s="43" t="n"/>
      <c r="BB32" s="43" t="n"/>
      <c r="BC32" s="43" t="n"/>
      <c r="BD32" s="43" t="n"/>
    </row>
    <row r="33" ht="15.75" customFormat="1" customHeight="1" s="7">
      <c r="B33" s="7" t="inlineStr">
        <is>
          <t>% of Target - YTD</t>
        </is>
      </c>
      <c r="D33" s="8" t="inlineStr">
        <is>
          <t>%</t>
        </is>
      </c>
      <c r="E33" s="43">
        <f>IFERROR(SUMIF($E$34:E34,"&lt;&gt;",$E$30:E30)/SUM($E$34:E34),"")</f>
        <v/>
      </c>
      <c r="F33" s="43">
        <f>IFERROR(SUMIF($E$34:F34,"&lt;&gt;",$E$30:F30)/SUM($E$34:F34),"")</f>
        <v/>
      </c>
      <c r="G33" s="43">
        <f>IFERROR(SUMIF($E$34:G34,"&lt;&gt;",$E$30:G30)/SUM($E$34:G34),"")</f>
        <v/>
      </c>
      <c r="H33" s="43">
        <f>IFERROR(SUMIF($E$34:H34,"&lt;&gt;",$E$30:H30)/SUM($E$34:H34),"")</f>
        <v/>
      </c>
      <c r="I33" s="43">
        <f>IFERROR(SUMIF($E$34:I34,"&lt;&gt;",$E$30:I30)/SUM($E$34:I34),"")</f>
        <v/>
      </c>
      <c r="J33" s="43">
        <f>IFERROR(SUMIF($E$34:J34,"&lt;&gt;",$E$30:J30)/SUM($E$34:J34),"")</f>
        <v/>
      </c>
      <c r="K33" s="43">
        <f>IFERROR(SUMIF($E$34:K34,"&lt;&gt;",$E$30:K30)/SUM($E$34:K34),"")</f>
        <v/>
      </c>
      <c r="L33" s="43">
        <f>IFERROR(SUMIF($E$34:L34,"&lt;&gt;",$E$30:L30)/SUM($E$34:L34),"")</f>
        <v/>
      </c>
      <c r="M33" s="43">
        <f>IFERROR(SUMIF($E$34:M34,"&lt;&gt;",$E$30:M30)/SUM($E$34:M34),"")</f>
        <v/>
      </c>
      <c r="N33" s="43">
        <f>IFERROR(SUMIF($E$34:N34,"&lt;&gt;",$E$30:N30)/SUM($E$34:N34),"")</f>
        <v/>
      </c>
      <c r="O33" s="43">
        <f>IFERROR(SUMIF($E$34:O34,"&lt;&gt;",$E$30:O30)/SUM($E$34:O34),"")</f>
        <v/>
      </c>
      <c r="P33" s="43">
        <f>IFERROR(SUMIF($E$34:P34,"&lt;&gt;",$E$30:P30)/SUM($E$34:P34),"")</f>
        <v/>
      </c>
      <c r="Q33" s="43">
        <f>IFERROR(SUMIF($E$34:Q34,"&lt;&gt;",$E$30:Q30)/SUM($E$34:Q34),"")</f>
        <v/>
      </c>
      <c r="R33" s="43">
        <f>IFERROR(SUMIF($E$34:R34,"&lt;&gt;",$E$30:R30)/SUM($E$34:R34),"")</f>
        <v/>
      </c>
      <c r="S33" s="43">
        <f>IFERROR(SUMIF($E$34:S34,"&lt;&gt;",$E$30:S30)/SUM($E$34:S34),"")</f>
        <v/>
      </c>
      <c r="T33" s="43">
        <f>IFERROR(SUMIF($E$34:T34,"&lt;&gt;",$E$30:T30)/SUM($E$34:T34),"")</f>
        <v/>
      </c>
      <c r="U33" s="43">
        <f>IFERROR(SUMIF($E$34:U34,"&lt;&gt;",$E$30:U30)/SUM($E$34:U34),"")</f>
        <v/>
      </c>
      <c r="V33" s="43">
        <f>IFERROR(SUMIF($E$34:V34,"&lt;&gt;",$E$30:V30)/SUM($E$34:V34),"")</f>
        <v/>
      </c>
      <c r="W33" s="43">
        <f>IFERROR(SUMIF($E$34:W34,"&lt;&gt;",$E$30:W30)/SUM($E$34:W34),"")</f>
        <v/>
      </c>
      <c r="X33" s="43">
        <f>IFERROR(SUMIF($E$34:X34,"&lt;&gt;",$E$30:X30)/SUM($E$34:X34),"")</f>
        <v/>
      </c>
      <c r="Y33" s="43">
        <f>IFERROR(SUMIF($E$34:Y34,"&lt;&gt;",$E$30:Y30)/SUM($E$34:Y34),"")</f>
        <v/>
      </c>
      <c r="Z33" s="43">
        <f>IFERROR(SUMIF($E$34:Z34,"&lt;&gt;",$E$30:Z30)/SUM($E$34:Z34),"")</f>
        <v/>
      </c>
      <c r="AA33" s="43">
        <f>IFERROR(SUMIF($E$34:AA34,"&lt;&gt;",$E$30:AA30)/SUM($E$34:AA34),"")</f>
        <v/>
      </c>
      <c r="AB33" s="43">
        <f>IFERROR(SUMIF($E$34:AB34,"&lt;&gt;",$E$30:AB30)/SUM($E$34:AB34),"")</f>
        <v/>
      </c>
      <c r="AC33" s="43" t="n"/>
      <c r="AD33" s="43" t="n"/>
      <c r="AE33" s="43" t="n"/>
      <c r="AF33" s="43" t="n"/>
      <c r="AG33" s="43" t="n"/>
      <c r="AH33" s="43" t="n"/>
      <c r="AI33" s="43" t="n"/>
      <c r="AJ33" s="43" t="n"/>
      <c r="AK33" s="43" t="n"/>
      <c r="AL33" s="43" t="n"/>
      <c r="AM33" s="43" t="n"/>
      <c r="AN33" s="43" t="n"/>
      <c r="AO33" s="43" t="n"/>
      <c r="AP33" s="43" t="n"/>
      <c r="AQ33" s="43" t="n"/>
      <c r="AR33" s="43" t="n"/>
      <c r="AS33" s="43" t="n"/>
      <c r="AT33" s="43" t="n"/>
      <c r="AU33" s="43" t="n"/>
      <c r="AV33" s="43" t="n"/>
      <c r="AW33" s="43" t="n"/>
      <c r="AX33" s="43" t="n"/>
      <c r="AY33" s="43" t="n"/>
      <c r="AZ33" s="43" t="n"/>
      <c r="BA33" s="43" t="n"/>
      <c r="BB33" s="43" t="n"/>
      <c r="BC33" s="43" t="n"/>
      <c r="BD33" s="43" t="n"/>
    </row>
    <row r="34" customFormat="1" s="9">
      <c r="B34" s="9" t="inlineStr">
        <is>
          <t>Target</t>
        </is>
      </c>
      <c r="D34" s="10" t="inlineStr">
        <is>
          <t>$k</t>
        </is>
      </c>
      <c r="E34" s="44" t="n">
        <v>455.453798768</v>
      </c>
      <c r="F34" s="44" t="n">
        <v>797.044147844</v>
      </c>
      <c r="G34" s="44" t="n">
        <v>797.044147844</v>
      </c>
      <c r="H34" s="44" t="n">
        <v>797.044147844</v>
      </c>
      <c r="I34" s="44" t="n">
        <v>862.6127626839999</v>
      </c>
      <c r="J34" s="44" t="n">
        <v>1256.0345</v>
      </c>
      <c r="K34" s="44" t="n">
        <v>1256.0345</v>
      </c>
      <c r="L34" s="44" t="n">
        <v>1256.0345</v>
      </c>
      <c r="M34" s="44" t="n">
        <v>1226.77500609</v>
      </c>
      <c r="N34" s="44" t="n">
        <v>1051.207994354</v>
      </c>
      <c r="O34" s="44" t="n">
        <v>1051.207994354</v>
      </c>
      <c r="P34" s="44" t="n">
        <v>1051.207994354</v>
      </c>
      <c r="Q34" s="44" t="n">
        <v>1051.207994354</v>
      </c>
      <c r="R34" s="44" t="n">
        <v>1004.767383419</v>
      </c>
      <c r="S34" s="44" t="n">
        <v>986.1877578249999</v>
      </c>
      <c r="T34" s="44" t="n">
        <v>986.1877578249999</v>
      </c>
      <c r="U34" s="44" t="n">
        <v>986.1877578249999</v>
      </c>
      <c r="V34" s="44" t="n">
        <v>1123.787621189</v>
      </c>
      <c r="W34" s="44" t="n">
        <v>1307.255514516</v>
      </c>
      <c r="X34" s="44" t="n">
        <v>1307.255514516</v>
      </c>
      <c r="Y34" s="44" t="n">
        <v>1307.255514516</v>
      </c>
      <c r="Z34" s="44" t="n">
        <v>1307.255514516</v>
      </c>
      <c r="AA34" s="44" t="n">
        <v>2523.950927684</v>
      </c>
      <c r="AB34" s="44" t="n">
        <v>2523.950927684</v>
      </c>
      <c r="AC34" s="44" t="n"/>
      <c r="AD34" s="44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  <c r="AQ34" s="44" t="n"/>
      <c r="AR34" s="44" t="n"/>
      <c r="AS34" s="44" t="n"/>
      <c r="AT34" s="44" t="n"/>
      <c r="AU34" s="44" t="n"/>
      <c r="AV34" s="44" t="n"/>
      <c r="AW34" s="44" t="n"/>
      <c r="AX34" s="44" t="n"/>
      <c r="AY34" s="44" t="n"/>
      <c r="AZ34" s="44" t="n"/>
      <c r="BA34" s="44" t="n"/>
      <c r="BB34" s="44" t="n"/>
      <c r="BC34" s="44" t="n"/>
      <c r="BD34" s="44" t="n"/>
    </row>
    <row r="35"/>
    <row r="36">
      <c r="A36" s="40" t="inlineStr">
        <is>
          <t xml:space="preserve">Sell-through units </t>
        </is>
      </c>
      <c r="D36" s="24" t="inlineStr">
        <is>
          <t>#</t>
        </is>
      </c>
      <c r="E36" s="42" t="n">
        <v>34858</v>
      </c>
      <c r="F36" s="42" t="n">
        <v>37220</v>
      </c>
      <c r="G36" s="42" t="n">
        <v>39813</v>
      </c>
      <c r="H36" s="42" t="n">
        <v>35886</v>
      </c>
      <c r="I36" s="42" t="n">
        <v>32741</v>
      </c>
      <c r="J36" s="42" t="n">
        <v>36540</v>
      </c>
      <c r="K36" s="42" t="n">
        <v>37823</v>
      </c>
      <c r="L36" s="42" t="n">
        <v>41180</v>
      </c>
      <c r="M36" s="42" t="n">
        <v>38691</v>
      </c>
      <c r="N36" s="42" t="n">
        <v>38110</v>
      </c>
      <c r="O36" s="42" t="n">
        <v>37873</v>
      </c>
      <c r="P36" s="42" t="n">
        <v>35396</v>
      </c>
      <c r="Q36" s="42" t="n">
        <v>45167</v>
      </c>
      <c r="R36" s="42" t="n">
        <v>43794</v>
      </c>
      <c r="S36" s="42" t="n">
        <v>40363</v>
      </c>
      <c r="T36" s="42" t="n">
        <v>45034</v>
      </c>
      <c r="U36" s="42" t="n">
        <v>32833</v>
      </c>
      <c r="V36" s="42" t="n">
        <v>30719</v>
      </c>
      <c r="W36" s="42" t="n">
        <v>33824</v>
      </c>
      <c r="X36" s="42" t="n">
        <v>35388</v>
      </c>
      <c r="Y36" s="42" t="n">
        <v>41024</v>
      </c>
      <c r="Z36" s="42" t="n">
        <v>38112</v>
      </c>
      <c r="AA36" s="42" t="n">
        <v>38195</v>
      </c>
      <c r="AB36" s="42" t="n">
        <v>38868</v>
      </c>
      <c r="AC36" s="42" t="n"/>
      <c r="AD36" s="42" t="n"/>
      <c r="AE36" s="42" t="n"/>
      <c r="AF36" s="42" t="n"/>
      <c r="AG36" s="42" t="n"/>
      <c r="AH36" s="42" t="n"/>
      <c r="AI36" s="42" t="n"/>
      <c r="AJ36" s="42" t="n"/>
      <c r="AK36" s="42" t="n"/>
      <c r="AL36" s="42" t="n"/>
      <c r="AM36" s="42" t="n"/>
      <c r="AN36" s="42" t="n"/>
      <c r="AO36" s="42" t="n"/>
      <c r="AP36" s="42" t="n"/>
      <c r="AQ36" s="42" t="n"/>
      <c r="AR36" s="42" t="n"/>
      <c r="AS36" s="42" t="n"/>
      <c r="AT36" s="42" t="n"/>
      <c r="AU36" s="42" t="n"/>
      <c r="AV36" s="42" t="n"/>
      <c r="AW36" s="42" t="n"/>
      <c r="AX36" s="42" t="n"/>
      <c r="AY36" s="42" t="n"/>
      <c r="AZ36" s="42" t="n"/>
      <c r="BA36" s="42" t="n"/>
      <c r="BB36" s="42" t="n"/>
      <c r="BC36" s="42" t="n"/>
      <c r="BD36" s="42" t="n"/>
    </row>
    <row r="37" ht="15.75" customFormat="1" customHeight="1" s="4">
      <c r="A37" s="3" t="n"/>
      <c r="B37" s="4" t="inlineStr">
        <is>
          <t>% of Total - YTD</t>
        </is>
      </c>
      <c r="D37" s="33" t="inlineStr">
        <is>
          <t>%</t>
        </is>
      </c>
      <c r="E37" s="46">
        <f>IFERROR(SUM($E$36:E36)/SUM($E$4:E4),"")</f>
        <v/>
      </c>
      <c r="F37" s="46">
        <f>IFERROR(SUM($E$36:F36)/SUM($E$4:F4),"")</f>
        <v/>
      </c>
      <c r="G37" s="46">
        <f>IFERROR(SUM($E$36:G36)/SUM($E$4:G4),"")</f>
        <v/>
      </c>
      <c r="H37" s="46">
        <f>IFERROR(SUM($E$36:H36)/SUM($E$4:H4),"")</f>
        <v/>
      </c>
      <c r="I37" s="46">
        <f>IFERROR(SUM($E$36:I36)/SUM($E$4:I4),"")</f>
        <v/>
      </c>
      <c r="J37" s="46">
        <f>IFERROR(SUM($E$36:J36)/SUM($E$4:J4),"")</f>
        <v/>
      </c>
      <c r="K37" s="46">
        <f>IFERROR(SUM($E$36:K36)/SUM($E$4:K4),"")</f>
        <v/>
      </c>
      <c r="L37" s="46">
        <f>IFERROR(SUM($E$36:L36)/SUM($E$4:L4),"")</f>
        <v/>
      </c>
      <c r="M37" s="46">
        <f>IFERROR(SUM($E$36:M36)/SUM($E$4:M4),"")</f>
        <v/>
      </c>
      <c r="N37" s="46">
        <f>IFERROR(SUM($E$36:N36)/SUM($E$4:N4),"")</f>
        <v/>
      </c>
      <c r="O37" s="46">
        <f>IFERROR(SUM($E$36:O36)/SUM($E$4:O4),"")</f>
        <v/>
      </c>
      <c r="P37" s="46">
        <f>IFERROR(SUM($E$36:P36)/SUM($E$4:P4),"")</f>
        <v/>
      </c>
      <c r="Q37" s="46">
        <f>IFERROR(SUM($E$36:Q36)/SUM($E$4:Q4),"")</f>
        <v/>
      </c>
      <c r="R37" s="46">
        <f>IFERROR(SUM($E$36:R36)/SUM($E$4:R4),"")</f>
        <v/>
      </c>
      <c r="S37" s="46">
        <f>IFERROR(SUM($E$36:S36)/SUM($E$4:S4),"")</f>
        <v/>
      </c>
      <c r="T37" s="46">
        <f>IFERROR(SUM($E$36:T36)/SUM($E$4:T4),"")</f>
        <v/>
      </c>
      <c r="U37" s="46">
        <f>IFERROR(SUM($E$36:U36)/SUM($E$4:U4),"")</f>
        <v/>
      </c>
      <c r="V37" s="46">
        <f>IFERROR(SUM($E$36:V36)/SUM($E$4:V4),"")</f>
        <v/>
      </c>
      <c r="W37" s="46">
        <f>IFERROR(SUM($E$36:W36)/SUM($E$4:W4),"")</f>
        <v/>
      </c>
      <c r="X37" s="46">
        <f>IFERROR(SUM($E$36:X36)/SUM($E$4:X4),"")</f>
        <v/>
      </c>
      <c r="Y37" s="46">
        <f>IFERROR(SUM($E$36:Y36)/SUM($E$4:Y4),"")</f>
        <v/>
      </c>
      <c r="Z37" s="46">
        <f>IFERROR(SUM($E$36:Z36)/SUM($E$4:Z4),"")</f>
        <v/>
      </c>
      <c r="AA37" s="46">
        <f>IFERROR(SUM($E$36:AA36)/SUM($E$4:AA4),"")</f>
        <v/>
      </c>
      <c r="AB37" s="46">
        <f>IFERROR(SUM($E$36:AB36)/SUM($E$4:AB4),"")</f>
        <v/>
      </c>
      <c r="AC37" s="46" t="n"/>
      <c r="AD37" s="46" t="n"/>
      <c r="AE37" s="46" t="n"/>
      <c r="AF37" s="46" t="n"/>
      <c r="AG37" s="46" t="n"/>
      <c r="AH37" s="46" t="n"/>
      <c r="AI37" s="46" t="n"/>
      <c r="AJ37" s="46" t="n"/>
      <c r="AK37" s="46" t="n"/>
      <c r="AL37" s="46" t="n"/>
      <c r="AM37" s="46" t="n"/>
      <c r="AN37" s="46" t="n"/>
      <c r="AO37" s="46" t="n"/>
      <c r="AP37" s="46" t="n"/>
      <c r="AQ37" s="46" t="n"/>
      <c r="AR37" s="46" t="n"/>
      <c r="AS37" s="46" t="n"/>
      <c r="AT37" s="46" t="n"/>
      <c r="AU37" s="46" t="n"/>
      <c r="AV37" s="46" t="n"/>
      <c r="AW37" s="46" t="n"/>
      <c r="AX37" s="46" t="n"/>
      <c r="AY37" s="46" t="n"/>
      <c r="AZ37" s="46" t="n"/>
      <c r="BA37" s="46" t="n"/>
      <c r="BB37" s="46" t="n"/>
      <c r="BC37" s="46" t="n"/>
      <c r="BD37" s="46" t="n"/>
    </row>
    <row r="38" customFormat="1" s="16">
      <c r="A38" s="15" t="n"/>
      <c r="B38" s="16" t="inlineStr">
        <is>
          <t>% of Target</t>
        </is>
      </c>
      <c r="D38" s="17" t="inlineStr">
        <is>
          <t>%</t>
        </is>
      </c>
      <c r="E38" s="43">
        <f>IFERROR(E36/E40,"")</f>
        <v/>
      </c>
      <c r="F38" s="43">
        <f>IFERROR(F36/F40,"")</f>
        <v/>
      </c>
      <c r="G38" s="43">
        <f>IFERROR(G36/G40,"")</f>
        <v/>
      </c>
      <c r="H38" s="43">
        <f>IFERROR(H36/H40,"")</f>
        <v/>
      </c>
      <c r="I38" s="43">
        <f>IFERROR(I36/I40,"")</f>
        <v/>
      </c>
      <c r="J38" s="43">
        <f>IFERROR(J36/J40,"")</f>
        <v/>
      </c>
      <c r="K38" s="43">
        <f>IFERROR(K36/K40,"")</f>
        <v/>
      </c>
      <c r="L38" s="43">
        <f>IFERROR(L36/L40,"")</f>
        <v/>
      </c>
      <c r="M38" s="43">
        <f>IFERROR(M36/M40,"")</f>
        <v/>
      </c>
      <c r="N38" s="43">
        <f>IFERROR(N36/N40,"")</f>
        <v/>
      </c>
      <c r="O38" s="43">
        <f>IFERROR(O36/O40,"")</f>
        <v/>
      </c>
      <c r="P38" s="43">
        <f>IFERROR(P36/P40,"")</f>
        <v/>
      </c>
      <c r="Q38" s="43">
        <f>IFERROR(Q36/Q40,"")</f>
        <v/>
      </c>
      <c r="R38" s="43">
        <f>IFERROR(R36/R40,"")</f>
        <v/>
      </c>
      <c r="S38" s="43">
        <f>IFERROR(S36/S40,"")</f>
        <v/>
      </c>
      <c r="T38" s="43">
        <f>IFERROR(T36/T40,"")</f>
        <v/>
      </c>
      <c r="U38" s="43">
        <f>IFERROR(U36/U40,"")</f>
        <v/>
      </c>
      <c r="V38" s="43">
        <f>IFERROR(V36/V40,"")</f>
        <v/>
      </c>
      <c r="W38" s="43">
        <f>IFERROR(W36/W40,"")</f>
        <v/>
      </c>
      <c r="X38" s="43">
        <f>IFERROR(X36/X40,"")</f>
        <v/>
      </c>
      <c r="Y38" s="43">
        <f>IFERROR(Y36/Y40,"")</f>
        <v/>
      </c>
      <c r="Z38" s="43">
        <f>IFERROR(Z36/Z40,"")</f>
        <v/>
      </c>
      <c r="AA38" s="43">
        <f>IFERROR(AA36/AA40,"")</f>
        <v/>
      </c>
      <c r="AB38" s="43">
        <f>IFERROR(AB36/AB40,"")</f>
        <v/>
      </c>
      <c r="AC38" s="43" t="n"/>
      <c r="AD38" s="43" t="n"/>
      <c r="AE38" s="43" t="n"/>
      <c r="AF38" s="43" t="n"/>
      <c r="AG38" s="43" t="n"/>
      <c r="AH38" s="43" t="n"/>
      <c r="AI38" s="43" t="n"/>
      <c r="AJ38" s="43" t="n"/>
      <c r="AK38" s="43" t="n"/>
      <c r="AL38" s="43" t="n"/>
      <c r="AM38" s="43" t="n"/>
      <c r="AN38" s="43" t="n"/>
      <c r="AO38" s="43" t="n"/>
      <c r="AP38" s="43" t="n"/>
      <c r="AQ38" s="43" t="n"/>
      <c r="AR38" s="43" t="n"/>
      <c r="AS38" s="43" t="n"/>
      <c r="AT38" s="43" t="n"/>
      <c r="AU38" s="43" t="n"/>
      <c r="AV38" s="43" t="n"/>
      <c r="AW38" s="43" t="n"/>
      <c r="AX38" s="43" t="n"/>
      <c r="AY38" s="43" t="n"/>
      <c r="AZ38" s="43" t="n"/>
      <c r="BA38" s="43" t="n"/>
      <c r="BB38" s="43" t="n"/>
      <c r="BC38" s="43" t="n"/>
      <c r="BD38" s="43" t="n"/>
    </row>
    <row r="39" ht="15.75" customFormat="1" customHeight="1" s="16">
      <c r="A39" s="15" t="n"/>
      <c r="B39" s="7" t="inlineStr">
        <is>
          <t>% of Target - YTD</t>
        </is>
      </c>
      <c r="D39" s="17" t="inlineStr">
        <is>
          <t>%</t>
        </is>
      </c>
      <c r="E39" s="43">
        <f>IFERROR(SUMIF($E$40:E40,"&lt;&gt;",$E$36:E36)/SUM($E$40:E40),"")</f>
        <v/>
      </c>
      <c r="F39" s="43">
        <f>IFERROR(SUMIF($E$40:F40,"&lt;&gt;",$E$36:F36)/SUM($E$40:F40),"")</f>
        <v/>
      </c>
      <c r="G39" s="43">
        <f>IFERROR(SUMIF($E$40:G40,"&lt;&gt;",$E$36:G36)/SUM($E$40:G40),"")</f>
        <v/>
      </c>
      <c r="H39" s="43">
        <f>IFERROR(SUMIF($E$40:H40,"&lt;&gt;",$E$36:H36)/SUM($E$40:H40),"")</f>
        <v/>
      </c>
      <c r="I39" s="43">
        <f>IFERROR(SUMIF($E$40:I40,"&lt;&gt;",$E$36:I36)/SUM($E$40:I40),"")</f>
        <v/>
      </c>
      <c r="J39" s="43">
        <f>IFERROR(SUMIF($E$40:J40,"&lt;&gt;",$E$36:J36)/SUM($E$40:J40),"")</f>
        <v/>
      </c>
      <c r="K39" s="43">
        <f>IFERROR(SUMIF($E$40:K40,"&lt;&gt;",$E$36:K36)/SUM($E$40:K40),"")</f>
        <v/>
      </c>
      <c r="L39" s="43">
        <f>IFERROR(SUMIF($E$40:L40,"&lt;&gt;",$E$36:L36)/SUM($E$40:L40),"")</f>
        <v/>
      </c>
      <c r="M39" s="43">
        <f>IFERROR(SUMIF($E$40:M40,"&lt;&gt;",$E$36:M36)/SUM($E$40:M40),"")</f>
        <v/>
      </c>
      <c r="N39" s="43">
        <f>IFERROR(SUMIF($E$40:N40,"&lt;&gt;",$E$36:N36)/SUM($E$40:N40),"")</f>
        <v/>
      </c>
      <c r="O39" s="43">
        <f>IFERROR(SUMIF($E$40:O40,"&lt;&gt;",$E$36:O36)/SUM($E$40:O40),"")</f>
        <v/>
      </c>
      <c r="P39" s="43">
        <f>IFERROR(SUMIF($E$40:P40,"&lt;&gt;",$E$36:P36)/SUM($E$40:P40),"")</f>
        <v/>
      </c>
      <c r="Q39" s="43">
        <f>IFERROR(SUMIF($E$40:Q40,"&lt;&gt;",$E$36:Q36)/SUM($E$40:Q40),"")</f>
        <v/>
      </c>
      <c r="R39" s="43">
        <f>IFERROR(SUMIF($E$40:R40,"&lt;&gt;",$E$36:R36)/SUM($E$40:R40),"")</f>
        <v/>
      </c>
      <c r="S39" s="43">
        <f>IFERROR(SUMIF($E$40:S40,"&lt;&gt;",$E$36:S36)/SUM($E$40:S40),"")</f>
        <v/>
      </c>
      <c r="T39" s="43">
        <f>IFERROR(SUMIF($E$40:T40,"&lt;&gt;",$E$36:T36)/SUM($E$40:T40),"")</f>
        <v/>
      </c>
      <c r="U39" s="43">
        <f>IFERROR(SUMIF($E$40:U40,"&lt;&gt;",$E$36:U36)/SUM($E$40:U40),"")</f>
        <v/>
      </c>
      <c r="V39" s="43">
        <f>IFERROR(SUMIF($E$40:V40,"&lt;&gt;",$E$36:V36)/SUM($E$40:V40),"")</f>
        <v/>
      </c>
      <c r="W39" s="43">
        <f>IFERROR(SUMIF($E$40:W40,"&lt;&gt;",$E$36:W36)/SUM($E$40:W40),"")</f>
        <v/>
      </c>
      <c r="X39" s="43">
        <f>IFERROR(SUMIF($E$40:X40,"&lt;&gt;",$E$36:X36)/SUM($E$40:X40),"")</f>
        <v/>
      </c>
      <c r="Y39" s="43">
        <f>IFERROR(SUMIF($E$40:Y40,"&lt;&gt;",$E$36:Y36)/SUM($E$40:Y40),"")</f>
        <v/>
      </c>
      <c r="Z39" s="43">
        <f>IFERROR(SUMIF($E$40:Z40,"&lt;&gt;",$E$36:Z36)/SUM($E$40:Z40),"")</f>
        <v/>
      </c>
      <c r="AA39" s="43">
        <f>IFERROR(SUMIF($E$40:AA40,"&lt;&gt;",$E$36:AA36)/SUM($E$40:AA40),"")</f>
        <v/>
      </c>
      <c r="AB39" s="43">
        <f>IFERROR(SUMIF($E$40:AB40,"&lt;&gt;",$E$36:AB36)/SUM($E$40:AB40),"")</f>
        <v/>
      </c>
      <c r="AC39" s="43" t="n"/>
      <c r="AD39" s="43" t="n"/>
      <c r="AE39" s="43" t="n"/>
      <c r="AF39" s="43" t="n"/>
      <c r="AG39" s="43" t="n"/>
      <c r="AH39" s="43" t="n"/>
      <c r="AI39" s="43" t="n"/>
      <c r="AJ39" s="43" t="n"/>
      <c r="AK39" s="43" t="n"/>
      <c r="AL39" s="43" t="n"/>
      <c r="AM39" s="43" t="n"/>
      <c r="AN39" s="43" t="n"/>
      <c r="AO39" s="43" t="n"/>
      <c r="AP39" s="43" t="n"/>
      <c r="AQ39" s="43" t="n"/>
      <c r="AR39" s="43" t="n"/>
      <c r="AS39" s="43" t="n"/>
      <c r="AT39" s="43" t="n"/>
      <c r="AU39" s="43" t="n"/>
      <c r="AV39" s="43" t="n"/>
      <c r="AW39" s="43" t="n"/>
      <c r="AX39" s="43" t="n"/>
      <c r="AY39" s="43" t="n"/>
      <c r="AZ39" s="43" t="n"/>
      <c r="BA39" s="43" t="n"/>
      <c r="BB39" s="43" t="n"/>
      <c r="BC39" s="43" t="n"/>
      <c r="BD39" s="43" t="n"/>
    </row>
    <row r="40" customFormat="1" s="13">
      <c r="A40" s="12" t="n"/>
      <c r="B40" s="13" t="inlineStr">
        <is>
          <t>Target</t>
        </is>
      </c>
      <c r="D40" s="14" t="inlineStr">
        <is>
          <t>#</t>
        </is>
      </c>
      <c r="E40" s="44" t="n"/>
      <c r="F40" s="44" t="n">
        <v>20086</v>
      </c>
      <c r="G40" s="44" t="n">
        <v>20091</v>
      </c>
      <c r="H40" s="44" t="n">
        <v>20091</v>
      </c>
      <c r="I40" s="44" t="n">
        <v>20280</v>
      </c>
      <c r="J40" s="44" t="n">
        <v>22514</v>
      </c>
      <c r="K40" s="44" t="n">
        <v>22598</v>
      </c>
      <c r="L40" s="44" t="n">
        <v>22593</v>
      </c>
      <c r="M40" s="44" t="n">
        <v>22941</v>
      </c>
      <c r="N40" s="44" t="n">
        <v>18220</v>
      </c>
      <c r="O40" s="44" t="n">
        <v>18226</v>
      </c>
      <c r="P40" s="44" t="n">
        <v>18224</v>
      </c>
      <c r="Q40" s="44" t="n">
        <v>45832</v>
      </c>
      <c r="R40" s="44" t="n">
        <v>18227</v>
      </c>
      <c r="S40" s="44" t="n">
        <v>18185</v>
      </c>
      <c r="T40" s="44" t="n">
        <v>49571</v>
      </c>
      <c r="U40" s="44" t="n">
        <v>18812</v>
      </c>
      <c r="V40" s="44" t="n">
        <v>19241</v>
      </c>
      <c r="W40" s="44" t="n">
        <v>21500</v>
      </c>
      <c r="X40" s="44" t="n">
        <v>21067</v>
      </c>
      <c r="Y40" s="44" t="n">
        <v>42386</v>
      </c>
      <c r="Z40" s="44" t="n">
        <v>21298</v>
      </c>
      <c r="AA40" s="44" t="n">
        <v>21324</v>
      </c>
      <c r="AB40" s="44" t="n">
        <v>20503</v>
      </c>
      <c r="AC40" s="44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  <c r="AQ40" s="44" t="n"/>
      <c r="AR40" s="44" t="n"/>
      <c r="AS40" s="44" t="n"/>
      <c r="AT40" s="44" t="n"/>
      <c r="AU40" s="44" t="n"/>
      <c r="AV40" s="44" t="n"/>
      <c r="AW40" s="44" t="n"/>
      <c r="AX40" s="44" t="n"/>
      <c r="AY40" s="44" t="n"/>
      <c r="AZ40" s="44" t="n"/>
      <c r="BA40" s="44" t="n"/>
      <c r="BB40" s="44" t="n"/>
      <c r="BC40" s="44" t="n"/>
      <c r="BD40" s="44" t="n"/>
    </row>
    <row r="41">
      <c r="C41" s="11" t="inlineStr">
        <is>
          <t xml:space="preserve">Cam </t>
        </is>
      </c>
      <c r="D41" s="6" t="inlineStr">
        <is>
          <t>#</t>
        </is>
      </c>
      <c r="E41" s="41" t="n">
        <v>25147</v>
      </c>
      <c r="F41" s="41" t="n">
        <v>27642</v>
      </c>
      <c r="G41" s="41" t="n">
        <v>28704</v>
      </c>
      <c r="H41" s="41" t="n">
        <v>26213</v>
      </c>
      <c r="I41" s="41" t="n">
        <v>25390</v>
      </c>
      <c r="J41" s="41" t="n">
        <v>29406</v>
      </c>
      <c r="K41" s="41" t="n">
        <v>30384</v>
      </c>
      <c r="L41" s="41" t="n">
        <v>34306</v>
      </c>
      <c r="M41" s="41" t="n">
        <v>32680</v>
      </c>
      <c r="N41" s="41" t="n">
        <v>32474</v>
      </c>
      <c r="O41" s="41" t="n">
        <v>31668</v>
      </c>
      <c r="P41" s="41" t="n">
        <v>29566</v>
      </c>
      <c r="Q41" s="41" t="n">
        <v>39186</v>
      </c>
      <c r="R41" s="41" t="n">
        <v>37731</v>
      </c>
      <c r="S41" s="41" t="n">
        <v>33786</v>
      </c>
      <c r="T41" s="41" t="n">
        <v>38465</v>
      </c>
      <c r="U41" s="41" t="n">
        <v>28103</v>
      </c>
      <c r="V41" s="41" t="n">
        <v>26032</v>
      </c>
      <c r="W41" s="41" t="n">
        <v>28000</v>
      </c>
      <c r="X41" s="41" t="n">
        <v>29313</v>
      </c>
      <c r="Y41" s="41" t="n">
        <v>34220</v>
      </c>
      <c r="Z41" s="41" t="n">
        <v>31661</v>
      </c>
      <c r="AA41" s="41" t="n">
        <v>32158</v>
      </c>
      <c r="AB41" s="41" t="n">
        <v>33448</v>
      </c>
      <c r="AC41" s="41" t="n"/>
      <c r="AD41" s="41" t="n"/>
      <c r="AE41" s="41" t="n"/>
      <c r="AF41" s="41" t="n"/>
      <c r="AG41" s="41" t="n"/>
      <c r="AH41" s="41" t="n"/>
      <c r="AI41" s="41" t="n"/>
      <c r="AJ41" s="41" t="n"/>
      <c r="AK41" s="41" t="n"/>
      <c r="AL41" s="41" t="n"/>
      <c r="AM41" s="41" t="n"/>
      <c r="AN41" s="41" t="n"/>
      <c r="AO41" s="41" t="n"/>
      <c r="AP41" s="41" t="n"/>
      <c r="AQ41" s="41" t="n"/>
      <c r="AR41" s="41" t="n"/>
      <c r="AS41" s="41" t="n"/>
      <c r="AT41" s="41" t="n"/>
      <c r="AU41" s="41" t="n"/>
      <c r="AV41" s="41" t="n"/>
      <c r="AW41" s="41" t="n"/>
      <c r="AX41" s="41" t="n"/>
      <c r="AY41" s="41" t="n"/>
      <c r="AZ41" s="41" t="n"/>
      <c r="BA41" s="41" t="n"/>
      <c r="BB41" s="41" t="n"/>
      <c r="BC41" s="41" t="n"/>
      <c r="BD41" s="41" t="n"/>
    </row>
    <row r="42">
      <c r="C42" s="11" t="inlineStr">
        <is>
          <t>Non Cam</t>
        </is>
      </c>
      <c r="D42" s="6" t="inlineStr">
        <is>
          <t>#</t>
        </is>
      </c>
      <c r="E42" s="41" t="n">
        <v>9711</v>
      </c>
      <c r="F42" s="41" t="n">
        <v>9578</v>
      </c>
      <c r="G42" s="41" t="n">
        <v>11109</v>
      </c>
      <c r="H42" s="41" t="n">
        <v>9673</v>
      </c>
      <c r="I42" s="41" t="n">
        <v>7351</v>
      </c>
      <c r="J42" s="41" t="n">
        <v>7134</v>
      </c>
      <c r="K42" s="41" t="n">
        <v>7439</v>
      </c>
      <c r="L42" s="41" t="n">
        <v>6874</v>
      </c>
      <c r="M42" s="41" t="n">
        <v>6011</v>
      </c>
      <c r="N42" s="41" t="n">
        <v>5636</v>
      </c>
      <c r="O42" s="41" t="n">
        <v>6205</v>
      </c>
      <c r="P42" s="41" t="n">
        <v>5830</v>
      </c>
      <c r="Q42" s="41" t="n">
        <v>5981</v>
      </c>
      <c r="R42" s="41" t="n">
        <v>6063</v>
      </c>
      <c r="S42" s="41" t="n">
        <v>6577</v>
      </c>
      <c r="T42" s="41" t="n">
        <v>6569</v>
      </c>
      <c r="U42" s="41" t="n">
        <v>4730</v>
      </c>
      <c r="V42" s="41" t="n">
        <v>4687</v>
      </c>
      <c r="W42" s="41" t="n">
        <v>5824</v>
      </c>
      <c r="X42" s="41" t="n">
        <v>6075</v>
      </c>
      <c r="Y42" s="41" t="n">
        <v>6804</v>
      </c>
      <c r="Z42" s="41" t="n">
        <v>6451</v>
      </c>
      <c r="AA42" s="41" t="n">
        <v>6037</v>
      </c>
      <c r="AB42" s="41" t="n">
        <v>5420</v>
      </c>
      <c r="AC42" s="41" t="n"/>
      <c r="AD42" s="41" t="n"/>
      <c r="AE42" s="41" t="n"/>
      <c r="AF42" s="41" t="n"/>
      <c r="AG42" s="41" t="n"/>
      <c r="AH42" s="41" t="n"/>
      <c r="AI42" s="41" t="n"/>
      <c r="AJ42" s="41" t="n"/>
      <c r="AK42" s="41" t="n"/>
      <c r="AL42" s="41" t="n"/>
      <c r="AM42" s="41" t="n"/>
      <c r="AN42" s="41" t="n"/>
      <c r="AO42" s="41" t="n"/>
      <c r="AP42" s="41" t="n"/>
      <c r="AQ42" s="41" t="n"/>
      <c r="AR42" s="41" t="n"/>
      <c r="AS42" s="41" t="n"/>
      <c r="AT42" s="41" t="n"/>
      <c r="AU42" s="41" t="n"/>
      <c r="AV42" s="41" t="n"/>
      <c r="AW42" s="41" t="n"/>
      <c r="AX42" s="41" t="n"/>
      <c r="AY42" s="41" t="n"/>
      <c r="AZ42" s="41" t="n"/>
      <c r="BA42" s="41" t="n"/>
      <c r="BB42" s="41" t="n"/>
      <c r="BC42" s="41" t="n"/>
      <c r="BD42" s="41" t="n"/>
    </row>
    <row r="43">
      <c r="C43" s="6" t="n"/>
    </row>
    <row r="44">
      <c r="A44" s="40" t="inlineStr">
        <is>
          <t>New Customers (Ads attributed)</t>
        </is>
      </c>
      <c r="C44" s="6" t="n"/>
      <c r="D44" s="24" t="inlineStr">
        <is>
          <t># ppl</t>
        </is>
      </c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>
        <v>826</v>
      </c>
      <c r="R44" s="42" t="n">
        <v>1413</v>
      </c>
      <c r="S44" s="42" t="n">
        <v>1469</v>
      </c>
      <c r="T44" s="42" t="n">
        <v>1706</v>
      </c>
      <c r="U44" s="42" t="n">
        <v>1352</v>
      </c>
      <c r="V44" s="42" t="n">
        <v>1294</v>
      </c>
      <c r="W44" s="42" t="n">
        <v>1161</v>
      </c>
      <c r="X44" s="42" t="n">
        <v>1287</v>
      </c>
      <c r="Y44" s="42" t="n">
        <v>1614</v>
      </c>
      <c r="Z44" s="42" t="n">
        <v>1573</v>
      </c>
      <c r="AA44" s="42" t="n">
        <v>1442</v>
      </c>
      <c r="AB44" s="42" t="n">
        <v>1349</v>
      </c>
      <c r="AC44" s="42" t="n"/>
      <c r="AD44" s="42" t="n"/>
      <c r="AE44" s="42" t="n"/>
      <c r="AF44" s="42" t="n"/>
      <c r="AG44" s="42" t="n"/>
      <c r="AH44" s="42" t="n"/>
      <c r="AI44" s="42" t="n"/>
      <c r="AJ44" s="42" t="n"/>
      <c r="AK44" s="42" t="n"/>
      <c r="AL44" s="42" t="n"/>
      <c r="AM44" s="42" t="n"/>
      <c r="AN44" s="42" t="n"/>
      <c r="AO44" s="42" t="n"/>
      <c r="AP44" s="42" t="n"/>
      <c r="AQ44" s="42" t="n"/>
      <c r="AR44" s="42" t="n"/>
      <c r="AS44" s="42" t="n"/>
      <c r="AT44" s="42" t="n"/>
      <c r="AU44" s="42" t="n"/>
      <c r="AV44" s="42" t="n"/>
      <c r="AW44" s="42" t="n"/>
      <c r="AX44" s="42" t="n"/>
      <c r="AY44" s="42" t="n"/>
      <c r="AZ44" s="42" t="n"/>
      <c r="BA44" s="42" t="n"/>
      <c r="BB44" s="42" t="n"/>
      <c r="BC44" s="42" t="n"/>
      <c r="BD44" s="42" t="n"/>
    </row>
    <row r="45">
      <c r="A45" s="40" t="n"/>
      <c r="B45" t="inlineStr">
        <is>
          <t>As % of sales units (ads attributed)</t>
        </is>
      </c>
      <c r="C45" s="6" t="n"/>
      <c r="D45" s="6" t="inlineStr">
        <is>
          <t>%</t>
        </is>
      </c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  <c r="U45" s="45" t="n"/>
      <c r="V45" s="45" t="n"/>
      <c r="W45" s="45" t="n"/>
      <c r="X45" s="45" t="n"/>
      <c r="Y45" s="45" t="n"/>
      <c r="Z45" s="45" t="n"/>
      <c r="AA45" s="45" t="n"/>
      <c r="AB45" s="45" t="n"/>
      <c r="AC45" s="45" t="n"/>
      <c r="AD45" s="45" t="n"/>
      <c r="AE45" s="45" t="n"/>
      <c r="AF45" s="45" t="n"/>
      <c r="AG45" s="45" t="n"/>
      <c r="AH45" s="45" t="n"/>
      <c r="AI45" s="45" t="n"/>
      <c r="AJ45" s="45" t="n"/>
      <c r="AK45" s="45" t="n"/>
      <c r="AL45" s="45" t="n"/>
      <c r="AM45" s="45" t="n"/>
      <c r="AN45" s="45" t="n"/>
      <c r="AO45" s="45" t="n"/>
      <c r="AP45" s="45" t="n"/>
      <c r="AQ45" s="45" t="n"/>
      <c r="AR45" s="45" t="n"/>
      <c r="AS45" s="45" t="n"/>
      <c r="AT45" s="45" t="n"/>
      <c r="AU45" s="45" t="n"/>
      <c r="AV45" s="45" t="n"/>
      <c r="AW45" s="45" t="n"/>
      <c r="AX45" s="45" t="n"/>
      <c r="AY45" s="45" t="n"/>
      <c r="AZ45" s="45" t="n"/>
      <c r="BA45" s="45" t="n"/>
      <c r="BB45" s="45" t="n"/>
      <c r="BC45" s="45" t="n"/>
      <c r="BD45" s="45" t="n"/>
    </row>
    <row r="46">
      <c r="B46" s="7" t="inlineStr">
        <is>
          <t>% of Target</t>
        </is>
      </c>
      <c r="C46" s="6" t="n"/>
      <c r="D46" s="17" t="inlineStr">
        <is>
          <t>%</t>
        </is>
      </c>
      <c r="E46" s="43">
        <f>IFERROR(E44/E48,"")</f>
        <v/>
      </c>
      <c r="F46" s="43">
        <f>IFERROR(F44/F48,"")</f>
        <v/>
      </c>
      <c r="G46" s="43">
        <f>IFERROR(G44/G48,"")</f>
        <v/>
      </c>
      <c r="H46" s="43">
        <f>IFERROR(H44/H48,"")</f>
        <v/>
      </c>
      <c r="I46" s="43">
        <f>IFERROR(I44/I48,"")</f>
        <v/>
      </c>
      <c r="J46" s="43">
        <f>IFERROR(J44/J48,"")</f>
        <v/>
      </c>
      <c r="K46" s="43">
        <f>IFERROR(K44/K48,"")</f>
        <v/>
      </c>
      <c r="L46" s="43">
        <f>IFERROR(L44/L48,"")</f>
        <v/>
      </c>
      <c r="M46" s="43">
        <f>IFERROR(M44/M48,"")</f>
        <v/>
      </c>
      <c r="N46" s="43">
        <f>IFERROR(N44/N48,"")</f>
        <v/>
      </c>
      <c r="O46" s="43">
        <f>IFERROR(O44/O48,"")</f>
        <v/>
      </c>
      <c r="P46" s="43">
        <f>IFERROR(P44/P48,"")</f>
        <v/>
      </c>
      <c r="Q46" s="43">
        <f>IFERROR(Q44/Q48,"")</f>
        <v/>
      </c>
      <c r="R46" s="43">
        <f>IFERROR(R44/R48,"")</f>
        <v/>
      </c>
      <c r="S46" s="43">
        <f>IFERROR(S44/S48,"")</f>
        <v/>
      </c>
      <c r="T46" s="43">
        <f>IFERROR(T44/T48,"")</f>
        <v/>
      </c>
      <c r="U46" s="43">
        <f>IFERROR(U44/U48,"")</f>
        <v/>
      </c>
      <c r="V46" s="43">
        <f>IFERROR(V44/V48,"")</f>
        <v/>
      </c>
      <c r="W46" s="43">
        <f>IFERROR(W44/W48,"")</f>
        <v/>
      </c>
      <c r="X46" s="43">
        <f>IFERROR(X44/X48,"")</f>
        <v/>
      </c>
      <c r="Y46" s="43">
        <f>IFERROR(Y44/Y48,"")</f>
        <v/>
      </c>
      <c r="Z46" s="43">
        <f>IFERROR(Z44/Z48,"")</f>
        <v/>
      </c>
      <c r="AA46" s="43">
        <f>IFERROR(AA44/AA48,"")</f>
        <v/>
      </c>
      <c r="AB46" s="43">
        <f>IFERROR(AB44/AB48,"")</f>
        <v/>
      </c>
      <c r="AC46" s="43" t="n"/>
      <c r="AD46" s="43" t="n"/>
      <c r="AE46" s="43" t="n"/>
      <c r="AF46" s="43" t="n"/>
      <c r="AG46" s="43" t="n"/>
      <c r="AH46" s="43" t="n"/>
      <c r="AI46" s="43" t="n"/>
      <c r="AJ46" s="43" t="n"/>
      <c r="AK46" s="43" t="n"/>
      <c r="AL46" s="43" t="n"/>
      <c r="AM46" s="43" t="n"/>
      <c r="AN46" s="43" t="n"/>
      <c r="AO46" s="43" t="n"/>
      <c r="AP46" s="43" t="n"/>
      <c r="AQ46" s="43" t="n"/>
      <c r="AR46" s="43" t="n"/>
      <c r="AS46" s="43" t="n"/>
      <c r="AT46" s="43" t="n"/>
      <c r="AU46" s="43" t="n"/>
      <c r="AV46" s="43" t="n"/>
      <c r="AW46" s="43" t="n"/>
      <c r="AX46" s="43" t="n"/>
      <c r="AY46" s="43" t="n"/>
      <c r="AZ46" s="43" t="n"/>
      <c r="BA46" s="43" t="n"/>
      <c r="BB46" s="43" t="n"/>
      <c r="BC46" s="43" t="n"/>
      <c r="BD46" s="43" t="n"/>
    </row>
    <row r="47" ht="15.75" customHeight="1">
      <c r="B47" s="7" t="inlineStr">
        <is>
          <t>% of Target - YTD</t>
        </is>
      </c>
      <c r="C47" s="16" t="n"/>
      <c r="D47" s="17" t="inlineStr">
        <is>
          <t>%</t>
        </is>
      </c>
      <c r="E47" s="43">
        <f>IFERROR(SUMIF($E$48:E48,"&lt;&gt;",$E$44:E44)/SUM($E$48:E48),"")</f>
        <v/>
      </c>
      <c r="F47" s="43">
        <f>IFERROR(SUMIF($E$48:F48,"&lt;&gt;",$E$44:F44)/SUM($E$48:F48),"")</f>
        <v/>
      </c>
      <c r="G47" s="43">
        <f>IFERROR(SUMIF($E$48:G48,"&lt;&gt;",$E$44:G44)/SUM($E$48:G48),"")</f>
        <v/>
      </c>
      <c r="H47" s="43">
        <f>IFERROR(SUMIF($E$48:H48,"&lt;&gt;",$E$44:H44)/SUM($E$48:H48),"")</f>
        <v/>
      </c>
      <c r="I47" s="43">
        <f>IFERROR(SUMIF($E$48:I48,"&lt;&gt;",$E$44:I44)/SUM($E$48:I48),"")</f>
        <v/>
      </c>
      <c r="J47" s="43">
        <f>IFERROR(SUMIF($E$48:J48,"&lt;&gt;",$E$44:J44)/SUM($E$48:J48),"")</f>
        <v/>
      </c>
      <c r="K47" s="43">
        <f>IFERROR(SUMIF($E$48:K48,"&lt;&gt;",$E$44:K44)/SUM($E$48:K48),"")</f>
        <v/>
      </c>
      <c r="L47" s="43">
        <f>IFERROR(SUMIF($E$48:L48,"&lt;&gt;",$E$44:L44)/SUM($E$48:L48),"")</f>
        <v/>
      </c>
      <c r="M47" s="43">
        <f>IFERROR(SUMIF($E$48:M48,"&lt;&gt;",$E$44:M44)/SUM($E$48:M48),"")</f>
        <v/>
      </c>
      <c r="N47" s="43">
        <f>IFERROR(SUMIF($E$48:N48,"&lt;&gt;",$E$44:N44)/SUM($E$48:N48),"")</f>
        <v/>
      </c>
      <c r="O47" s="43">
        <f>IFERROR(SUMIF($E$48:O48,"&lt;&gt;",$E$44:O44)/SUM($E$48:O48),"")</f>
        <v/>
      </c>
      <c r="P47" s="43">
        <f>IFERROR(SUMIF($E$48:P48,"&lt;&gt;",$E$44:P44)/SUM($E$48:P48),"")</f>
        <v/>
      </c>
      <c r="Q47" s="43">
        <f>IFERROR(SUMIF($E$48:Q48,"&lt;&gt;",$E$44:Q44)/SUM($E$48:Q48),"")</f>
        <v/>
      </c>
      <c r="R47" s="43">
        <f>IFERROR(SUMIF($E$48:R48,"&lt;&gt;",$E$44:R44)/SUM($E$48:R48),"")</f>
        <v/>
      </c>
      <c r="S47" s="43">
        <f>IFERROR(SUMIF($E$48:S48,"&lt;&gt;",$E$44:S44)/SUM($E$48:S48),"")</f>
        <v/>
      </c>
      <c r="T47" s="43">
        <f>IFERROR(SUMIF($E$48:T48,"&lt;&gt;",$E$44:T44)/SUM($E$48:T48),"")</f>
        <v/>
      </c>
      <c r="U47" s="43">
        <f>IFERROR(SUMIF($E$48:U48,"&lt;&gt;",$E$44:U44)/SUM($E$48:U48),"")</f>
        <v/>
      </c>
      <c r="V47" s="43">
        <f>IFERROR(SUMIF($E$48:V48,"&lt;&gt;",$E$44:V44)/SUM($E$48:V48),"")</f>
        <v/>
      </c>
      <c r="W47" s="43">
        <f>IFERROR(SUMIF($E$48:W48,"&lt;&gt;",$E$44:W44)/SUM($E$48:W48),"")</f>
        <v/>
      </c>
      <c r="X47" s="43">
        <f>IFERROR(SUMIF($E$48:X48,"&lt;&gt;",$E$44:X44)/SUM($E$48:X48),"")</f>
        <v/>
      </c>
      <c r="Y47" s="43">
        <f>IFERROR(SUMIF($E$48:Y48,"&lt;&gt;",$E$44:Y44)/SUM($E$48:Y48),"")</f>
        <v/>
      </c>
      <c r="Z47" s="43">
        <f>IFERROR(SUMIF($E$48:Z48,"&lt;&gt;",$E$44:Z44)/SUM($E$48:Z48),"")</f>
        <v/>
      </c>
      <c r="AA47" s="43">
        <f>IFERROR(SUMIF($E$48:AA48,"&lt;&gt;",$E$44:AA44)/SUM($E$48:AA48),"")</f>
        <v/>
      </c>
      <c r="AB47" s="43">
        <f>IFERROR(SUMIF($E$48:AB48,"&lt;&gt;",$E$44:AB44)/SUM($E$48:AB48),"")</f>
        <v/>
      </c>
      <c r="AC47" s="43" t="n"/>
      <c r="AD47" s="43" t="n"/>
      <c r="AE47" s="43" t="n"/>
      <c r="AF47" s="43" t="n"/>
      <c r="AG47" s="43" t="n"/>
      <c r="AH47" s="43" t="n"/>
      <c r="AI47" s="43" t="n"/>
      <c r="AJ47" s="43" t="n"/>
      <c r="AK47" s="43" t="n"/>
      <c r="AL47" s="43" t="n"/>
      <c r="AM47" s="43" t="n"/>
      <c r="AN47" s="43" t="n"/>
      <c r="AO47" s="43" t="n"/>
      <c r="AP47" s="43" t="n"/>
      <c r="AQ47" s="43" t="n"/>
      <c r="AR47" s="43" t="n"/>
      <c r="AS47" s="43" t="n"/>
      <c r="AT47" s="43" t="n"/>
      <c r="AU47" s="43" t="n"/>
      <c r="AV47" s="43" t="n"/>
      <c r="AW47" s="43" t="n"/>
      <c r="AX47" s="43" t="n"/>
      <c r="AY47" s="43" t="n"/>
      <c r="AZ47" s="43" t="n"/>
      <c r="BA47" s="43" t="n"/>
      <c r="BB47" s="43" t="n"/>
      <c r="BC47" s="43" t="n"/>
      <c r="BD47" s="43" t="n"/>
    </row>
    <row r="48">
      <c r="B48" s="9" t="inlineStr">
        <is>
          <t>Target</t>
        </is>
      </c>
      <c r="C48" s="6" t="n"/>
      <c r="D48" s="14" t="inlineStr">
        <is>
          <t>#</t>
        </is>
      </c>
      <c r="E48" s="44">
        <f>IF(E36="","",0.52*E36)</f>
        <v/>
      </c>
      <c r="F48" s="44">
        <f>IF(F36="","",0.52*F36)</f>
        <v/>
      </c>
      <c r="G48" s="44">
        <f>IF(G36="","",0.52*G36)</f>
        <v/>
      </c>
      <c r="H48" s="44">
        <f>IF(H36="","",0.52*H36)</f>
        <v/>
      </c>
      <c r="I48" s="44">
        <f>IF(I36="","",0.52*I36)</f>
        <v/>
      </c>
      <c r="J48" s="44">
        <f>IF(J36="","",0.52*J36)</f>
        <v/>
      </c>
      <c r="K48" s="44">
        <f>IF(K36="","",0.52*K36)</f>
        <v/>
      </c>
      <c r="L48" s="44">
        <f>IF(L36="","",0.52*L36)</f>
        <v/>
      </c>
      <c r="M48" s="44">
        <f>IF(M36="","",0.52*M36)</f>
        <v/>
      </c>
      <c r="N48" s="44">
        <f>IF(N36="","",0.52*N36)</f>
        <v/>
      </c>
      <c r="O48" s="44">
        <f>IF(O36="","",0.52*O36)</f>
        <v/>
      </c>
      <c r="P48" s="44">
        <f>IF(P36="","",0.52*P36)</f>
        <v/>
      </c>
      <c r="Q48" s="44">
        <f>IF(Q36="","",0.52*Q36)</f>
        <v/>
      </c>
      <c r="R48" s="44">
        <f>IF(R36="","",0.52*R36)</f>
        <v/>
      </c>
      <c r="S48" s="44">
        <f>IF(S36="","",0.52*S36)</f>
        <v/>
      </c>
      <c r="T48" s="44">
        <f>IF(T36="","",0.52*T36)</f>
        <v/>
      </c>
      <c r="U48" s="44">
        <f>IF(U36="","",0.52*U36)</f>
        <v/>
      </c>
      <c r="V48" s="44">
        <f>IF(V36="","",0.52*V36)</f>
        <v/>
      </c>
      <c r="W48" s="44">
        <f>IF(W36="","",0.52*W36)</f>
        <v/>
      </c>
      <c r="X48" s="44">
        <f>IF(X36="","",0.52*X36)</f>
        <v/>
      </c>
      <c r="Y48" s="44">
        <f>IF(Y36="","",0.52*Y36)</f>
        <v/>
      </c>
      <c r="Z48" s="44">
        <f>IF(Z36="","",0.52*Z36)</f>
        <v/>
      </c>
      <c r="AA48" s="44">
        <f>IF(AA36="","",0.52*AA36)</f>
        <v/>
      </c>
      <c r="AB48" s="44">
        <f>IF(AB36="","",0.52*AB36)</f>
        <v/>
      </c>
      <c r="AC48" s="44" t="n"/>
      <c r="AD48" s="44" t="n"/>
      <c r="AE48" s="44" t="n"/>
      <c r="AF48" s="44" t="n"/>
      <c r="AG48" s="44" t="n"/>
      <c r="AH48" s="44" t="n"/>
      <c r="AI48" s="44" t="n"/>
      <c r="AJ48" s="44" t="n"/>
      <c r="AK48" s="44" t="n"/>
      <c r="AL48" s="44" t="n"/>
      <c r="AM48" s="44" t="n"/>
      <c r="AN48" s="44" t="n"/>
      <c r="AO48" s="44" t="n"/>
      <c r="AP48" s="44" t="n"/>
      <c r="AQ48" s="44" t="n"/>
      <c r="AR48" s="44" t="n"/>
      <c r="AS48" s="44" t="n"/>
      <c r="AT48" s="44" t="n"/>
      <c r="AU48" s="44" t="n"/>
      <c r="AV48" s="44" t="n"/>
      <c r="AW48" s="44" t="n"/>
      <c r="AX48" s="44" t="n"/>
      <c r="AY48" s="44" t="n"/>
      <c r="AZ48" s="44" t="n"/>
      <c r="BA48" s="44" t="n"/>
      <c r="BB48" s="44" t="n"/>
      <c r="BC48" s="44" t="n"/>
      <c r="BD48" s="44" t="n"/>
    </row>
    <row r="49"/>
    <row r="50" customFormat="1" s="40">
      <c r="A50" s="40" t="inlineStr">
        <is>
          <t xml:space="preserve">Promo </t>
        </is>
      </c>
      <c r="D50" s="24" t="inlineStr">
        <is>
          <t>$k</t>
        </is>
      </c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>
        <v>201.34681</v>
      </c>
      <c r="R50" s="42" t="n">
        <v>77.75161999999999</v>
      </c>
      <c r="S50" s="42" t="n">
        <v>123.677</v>
      </c>
      <c r="T50" s="42" t="n">
        <v>149.84</v>
      </c>
      <c r="U50" s="42" t="n">
        <v>11.15</v>
      </c>
      <c r="V50" s="42" t="n">
        <v>4.05</v>
      </c>
      <c r="W50" s="42" t="n">
        <v>11.05</v>
      </c>
      <c r="X50" s="42" t="n">
        <v>17.6</v>
      </c>
      <c r="Y50" s="42" t="n">
        <v>189.881</v>
      </c>
      <c r="Z50" s="42" t="n">
        <v>80.19499999999999</v>
      </c>
      <c r="AA50" s="42" t="n">
        <v>33.1</v>
      </c>
      <c r="AB50" s="42" t="n">
        <v>69.81999999999999</v>
      </c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2" t="n"/>
      <c r="AV50" s="42" t="n"/>
      <c r="AW50" s="42" t="n"/>
      <c r="AX50" s="42" t="n"/>
      <c r="AY50" s="42" t="n"/>
      <c r="AZ50" s="42" t="n"/>
      <c r="BA50" s="42" t="n"/>
      <c r="BB50" s="42" t="n"/>
      <c r="BC50" s="42" t="n"/>
      <c r="BD50" s="42" t="n"/>
    </row>
    <row r="51" ht="15.75" customFormat="1" customHeight="1" s="40">
      <c r="B51" s="31" t="inlineStr">
        <is>
          <t>Finance Actuals (Monthly)</t>
        </is>
      </c>
      <c r="D51" s="32" t="inlineStr">
        <is>
          <t>$k</t>
        </is>
      </c>
      <c r="E51" s="41" t="n"/>
      <c r="F51" s="41" t="n"/>
      <c r="G51" s="41" t="n"/>
      <c r="H51" s="41" t="n">
        <v>1.8234</v>
      </c>
      <c r="I51" s="41" t="n"/>
      <c r="J51" s="41" t="n"/>
      <c r="K51" s="41" t="n"/>
      <c r="L51" s="41" t="n">
        <v>42.29267</v>
      </c>
      <c r="M51" s="41" t="n"/>
      <c r="N51" s="41" t="n"/>
      <c r="O51" s="41" t="n"/>
      <c r="P51" s="41" t="n"/>
      <c r="Q51" s="41" t="n">
        <v>356.90044</v>
      </c>
      <c r="R51" s="41" t="n"/>
      <c r="S51" s="41" t="n"/>
      <c r="T51" s="41" t="n"/>
      <c r="U51" s="41" t="n">
        <v>339.88061</v>
      </c>
      <c r="V51" s="41" t="n"/>
      <c r="W51" s="41" t="n"/>
      <c r="X51" s="41" t="n"/>
      <c r="Y51" s="41" t="n"/>
      <c r="Z51" s="41" t="n">
        <v>399.10493</v>
      </c>
      <c r="AA51" s="41" t="n"/>
      <c r="AB51" s="41" t="n"/>
      <c r="AC51" s="41" t="n"/>
      <c r="AD51" s="41" t="n"/>
      <c r="AE51" s="41" t="n"/>
      <c r="AF51" s="41" t="n"/>
      <c r="AG51" s="41" t="n"/>
      <c r="AH51" s="41" t="n"/>
      <c r="AI51" s="41" t="n"/>
      <c r="AJ51" s="41" t="n"/>
      <c r="AK51" s="41" t="n"/>
      <c r="AL51" s="41" t="n"/>
      <c r="AM51" s="41" t="n"/>
      <c r="AN51" s="41" t="n"/>
      <c r="AO51" s="41" t="n"/>
      <c r="AP51" s="41" t="n"/>
      <c r="AQ51" s="41" t="n"/>
      <c r="AR51" s="41" t="n"/>
      <c r="AS51" s="41" t="n"/>
      <c r="AT51" s="41" t="n"/>
      <c r="AU51" s="41" t="n"/>
      <c r="AV51" s="41" t="n"/>
      <c r="AW51" s="41" t="n"/>
      <c r="AX51" s="41" t="n"/>
      <c r="AY51" s="41" t="n"/>
      <c r="AZ51" s="41" t="n"/>
      <c r="BA51" s="41" t="n"/>
      <c r="BB51" s="41" t="n"/>
      <c r="BC51" s="41" t="n"/>
      <c r="BD51" s="41" t="n"/>
    </row>
    <row r="52" ht="15.75" customFormat="1" customHeight="1" s="9">
      <c r="B52" s="9" t="inlineStr">
        <is>
          <t>Budgeted (Monthly)</t>
        </is>
      </c>
      <c r="D52" s="10" t="inlineStr">
        <is>
          <t>$k</t>
        </is>
      </c>
      <c r="E52" s="44" t="n"/>
      <c r="F52" s="44" t="n"/>
      <c r="G52" s="44" t="n"/>
      <c r="H52" s="44" t="n">
        <v>0</v>
      </c>
      <c r="I52" s="44" t="n"/>
      <c r="J52" s="44" t="n"/>
      <c r="K52" s="44" t="n"/>
      <c r="L52" s="44" t="n">
        <v>0</v>
      </c>
      <c r="M52" s="44" t="n"/>
      <c r="N52" s="44" t="n"/>
      <c r="O52" s="44" t="n"/>
      <c r="P52" s="44" t="n"/>
      <c r="Q52" s="44" t="n">
        <v>301.141</v>
      </c>
      <c r="R52" s="44" t="n"/>
      <c r="S52" s="44" t="n"/>
      <c r="T52" s="44" t="n"/>
      <c r="U52" s="44" t="n">
        <v>266.459</v>
      </c>
      <c r="V52" s="44" t="n"/>
      <c r="W52" s="44" t="n"/>
      <c r="X52" s="44" t="n"/>
      <c r="Y52" s="44" t="n"/>
      <c r="Z52" s="44" t="n">
        <v>130.269</v>
      </c>
      <c r="AA52" s="44" t="n"/>
      <c r="AB52" s="44" t="n"/>
      <c r="AC52" s="44" t="n"/>
      <c r="AD52" s="44" t="n">
        <v>373.997</v>
      </c>
      <c r="AE52" s="44" t="n"/>
      <c r="AF52" s="44" t="n"/>
      <c r="AG52" s="44" t="n"/>
      <c r="AH52" s="44" t="n">
        <v>1931.059</v>
      </c>
      <c r="AI52" s="44" t="n"/>
      <c r="AJ52" s="44" t="n"/>
      <c r="AK52" s="44" t="n"/>
      <c r="AL52" s="44" t="n"/>
      <c r="AM52" s="44" t="n">
        <v>45.196</v>
      </c>
      <c r="AN52" s="44" t="n"/>
      <c r="AO52" s="44" t="n"/>
      <c r="AP52" s="44" t="n"/>
      <c r="AQ52" s="44" t="n">
        <v>105.737</v>
      </c>
      <c r="AR52" s="44" t="n"/>
      <c r="AS52" s="44" t="n"/>
      <c r="AT52" s="44" t="n"/>
      <c r="AU52" s="44" t="n">
        <v>609.049</v>
      </c>
      <c r="AV52" s="44" t="n"/>
      <c r="AW52" s="44" t="n"/>
      <c r="AX52" s="44" t="n"/>
      <c r="AY52" s="44" t="n"/>
      <c r="AZ52" s="44" t="n">
        <v>2587.696</v>
      </c>
      <c r="BA52" s="44" t="n"/>
      <c r="BB52" s="44" t="n"/>
      <c r="BC52" s="44" t="n"/>
      <c r="BD52" s="44" t="n">
        <v>2051.057</v>
      </c>
    </row>
    <row r="53" ht="15.75" customHeight="1">
      <c r="B53" s="7" t="inlineStr">
        <is>
          <t>As % of budget - this month</t>
        </is>
      </c>
      <c r="D53" s="17" t="inlineStr">
        <is>
          <t>%</t>
        </is>
      </c>
      <c r="E53" s="43" t="n"/>
      <c r="F53" s="43" t="n"/>
      <c r="G53" s="43" t="n"/>
      <c r="H53" s="43">
        <f>IFERROR(SUM(E50:H50)/H52,"")</f>
        <v/>
      </c>
      <c r="I53" s="43" t="n"/>
      <c r="J53" s="43" t="n"/>
      <c r="K53" s="43" t="n"/>
      <c r="L53" s="43">
        <f>IFERROR(SUM(I50:L50)/L52,"")</f>
        <v/>
      </c>
      <c r="M53" s="43" t="n"/>
      <c r="N53" s="43" t="n"/>
      <c r="O53" s="43" t="n"/>
      <c r="P53" s="43" t="n"/>
      <c r="Q53" s="43">
        <f>IFERROR(SUM(M50:Q50)/Q52,"")</f>
        <v/>
      </c>
      <c r="R53" s="43" t="n"/>
      <c r="S53" s="43" t="n"/>
      <c r="T53" s="43" t="n"/>
      <c r="U53" s="43">
        <f>IFERROR(SUM(R50:U50)/U52,"")</f>
        <v/>
      </c>
      <c r="V53" s="43" t="n"/>
      <c r="W53" s="43" t="n"/>
      <c r="X53" s="43" t="n"/>
      <c r="Y53" s="43" t="n"/>
      <c r="Z53" s="43">
        <f>IFERROR(SUM(V50:Z50)/Z52,"")</f>
        <v/>
      </c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  <c r="AJ53" s="43" t="n"/>
      <c r="AK53" s="43" t="n"/>
      <c r="AL53" s="43" t="n"/>
      <c r="AM53" s="43" t="n"/>
      <c r="AN53" s="43" t="n"/>
      <c r="AO53" s="43" t="n"/>
      <c r="AP53" s="43" t="n"/>
      <c r="AQ53" s="43" t="n"/>
      <c r="AR53" s="43" t="n"/>
      <c r="AS53" s="43" t="n"/>
      <c r="AT53" s="43" t="n"/>
      <c r="AU53" s="43" t="n"/>
      <c r="AV53" s="43" t="n"/>
      <c r="AW53" s="43" t="n"/>
      <c r="AX53" s="43" t="n"/>
      <c r="AY53" s="43" t="n"/>
      <c r="AZ53" s="43" t="n"/>
      <c r="BA53" s="43" t="n"/>
      <c r="BB53" s="43" t="n"/>
      <c r="BC53" s="43" t="n"/>
      <c r="BD53" s="43" t="n"/>
    </row>
    <row r="54" ht="15.75" customHeight="1">
      <c r="B54" s="7" t="inlineStr">
        <is>
          <t>As % of quarterly budget (QTD)</t>
        </is>
      </c>
      <c r="D54" s="17" t="inlineStr">
        <is>
          <t>%</t>
        </is>
      </c>
      <c r="E54" s="43" t="n"/>
      <c r="F54" s="43" t="n"/>
      <c r="G54" s="43" t="n"/>
      <c r="H54" s="43">
        <f>IFERROR(SUM(E50:H50)/(H52+L52+Q52),"")</f>
        <v/>
      </c>
      <c r="I54" s="43" t="n"/>
      <c r="J54" s="43" t="n"/>
      <c r="K54" s="43" t="n"/>
      <c r="L54" s="43">
        <f>IFERROR(SUM(E50:L50)/(H52+L52+Q52),"")</f>
        <v/>
      </c>
      <c r="M54" s="43" t="n"/>
      <c r="N54" s="43" t="n"/>
      <c r="O54" s="43" t="n"/>
      <c r="P54" s="43" t="n"/>
      <c r="Q54" s="43">
        <f>IFERROR(SUM(E50:Q50)/(H52+L52+Q52),"")</f>
        <v/>
      </c>
      <c r="R54" s="43" t="n"/>
      <c r="S54" s="43" t="n"/>
      <c r="T54" s="43" t="n"/>
      <c r="U54" s="43">
        <f>IFERROR(SUM(R50:U50)/(U52+Z52+AD52),"")</f>
        <v/>
      </c>
      <c r="V54" s="43" t="n"/>
      <c r="W54" s="43" t="n"/>
      <c r="X54" s="43" t="n"/>
      <c r="Y54" s="43" t="n"/>
      <c r="Z54" s="43">
        <f>IFERROR(SUM(R50:Z50)/(U52+Z52+AD52),"")</f>
        <v/>
      </c>
      <c r="AA54" s="43" t="n"/>
      <c r="AB54" s="43" t="n"/>
      <c r="AC54" s="43" t="n"/>
      <c r="AD54" s="43" t="n"/>
      <c r="AE54" s="43" t="n"/>
      <c r="AF54" s="43" t="n"/>
      <c r="AG54" s="43" t="n"/>
      <c r="AH54" s="43" t="n"/>
      <c r="AI54" s="43" t="n"/>
      <c r="AJ54" s="43" t="n"/>
      <c r="AK54" s="43" t="n"/>
      <c r="AL54" s="43" t="n"/>
      <c r="AM54" s="43" t="n"/>
      <c r="AN54" s="43" t="n"/>
      <c r="AO54" s="43" t="n"/>
      <c r="AP54" s="43" t="n"/>
      <c r="AQ54" s="43" t="n"/>
      <c r="AR54" s="43" t="n"/>
      <c r="AS54" s="43" t="n"/>
      <c r="AT54" s="43" t="n"/>
      <c r="AU54" s="43" t="n"/>
      <c r="AV54" s="43" t="n"/>
      <c r="AW54" s="43" t="n"/>
      <c r="AX54" s="43" t="n"/>
      <c r="AY54" s="43" t="n"/>
      <c r="AZ54" s="43" t="n"/>
      <c r="BA54" s="43" t="n"/>
      <c r="BB54" s="43" t="n"/>
      <c r="BC54" s="43" t="n"/>
      <c r="BD54" s="43" t="n"/>
    </row>
    <row r="55" ht="15.75" customHeight="1">
      <c r="B55" s="7" t="inlineStr">
        <is>
          <t>As % of annual budget (YTD)</t>
        </is>
      </c>
      <c r="D55" s="17" t="inlineStr">
        <is>
          <t>%</t>
        </is>
      </c>
      <c r="E55" s="43" t="n"/>
      <c r="F55" s="43" t="n"/>
      <c r="G55" s="43" t="n"/>
      <c r="H55" s="43">
        <f>IFERROR(SUM($E$50:H50)/SUM($E$52:BD52),"")</f>
        <v/>
      </c>
      <c r="I55" s="43" t="n"/>
      <c r="J55" s="43" t="n"/>
      <c r="K55" s="43" t="n"/>
      <c r="L55" s="43">
        <f>IFERROR(SUM($E$50:L50)/SUM($E$52:BD52),"")</f>
        <v/>
      </c>
      <c r="M55" s="43" t="n"/>
      <c r="N55" s="43" t="n"/>
      <c r="O55" s="43" t="n"/>
      <c r="P55" s="43" t="n"/>
      <c r="Q55" s="43">
        <f>IFERROR(SUM($E$50:Q50)/SUM($E$52:BD52),"")</f>
        <v/>
      </c>
      <c r="R55" s="43" t="n"/>
      <c r="S55" s="43" t="n"/>
      <c r="T55" s="43" t="n"/>
      <c r="U55" s="43">
        <f>IFERROR(SUM($E$50:U50)/SUM($E$52:BD52),"")</f>
        <v/>
      </c>
      <c r="V55" s="43" t="n"/>
      <c r="W55" s="43" t="n"/>
      <c r="X55" s="43" t="n"/>
      <c r="Y55" s="43" t="n"/>
      <c r="Z55" s="43">
        <f>IFERROR(SUM($E$50:Z50)/SUM($E$52:BD52),"")</f>
        <v/>
      </c>
      <c r="AA55" s="43" t="n"/>
      <c r="AB55" s="43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M55" s="43" t="n"/>
      <c r="AN55" s="43" t="n"/>
      <c r="AO55" s="43" t="n"/>
      <c r="AP55" s="43" t="n"/>
      <c r="AQ55" s="43" t="n"/>
      <c r="AR55" s="43" t="n"/>
      <c r="AS55" s="43" t="n"/>
      <c r="AT55" s="43" t="n"/>
      <c r="AU55" s="43" t="n"/>
      <c r="AV55" s="43" t="n"/>
      <c r="AW55" s="43" t="n"/>
      <c r="AX55" s="43" t="n"/>
      <c r="AY55" s="43" t="n"/>
      <c r="AZ55" s="43" t="n"/>
      <c r="BA55" s="43" t="n"/>
      <c r="BB55" s="43" t="n"/>
      <c r="BC55" s="43" t="n"/>
      <c r="BD55" s="43" t="n"/>
    </row>
    <row r="56"/>
    <row r="57" ht="15.75" customHeight="1">
      <c r="A57" s="40" t="inlineStr">
        <is>
          <t>Total Marketing</t>
        </is>
      </c>
      <c r="B57" s="40" t="n"/>
      <c r="C57" s="40" t="n"/>
      <c r="D57" s="24" t="inlineStr">
        <is>
          <t>$k</t>
        </is>
      </c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  <c r="AD57" s="42" t="n"/>
      <c r="AE57" s="42" t="n"/>
      <c r="AF57" s="42" t="n"/>
      <c r="AG57" s="42" t="n"/>
      <c r="AH57" s="42" t="n"/>
      <c r="AI57" s="42" t="n"/>
      <c r="AJ57" s="42" t="n"/>
      <c r="AK57" s="42" t="n"/>
      <c r="AL57" s="42" t="n"/>
      <c r="AM57" s="42" t="n"/>
      <c r="AN57" s="42" t="n"/>
      <c r="AO57" s="42" t="n"/>
      <c r="AP57" s="42" t="n"/>
      <c r="AQ57" s="42" t="n"/>
      <c r="AR57" s="42" t="n"/>
      <c r="AS57" s="42" t="n"/>
      <c r="AT57" s="42" t="n"/>
      <c r="AU57" s="42" t="n"/>
      <c r="AV57" s="42" t="n"/>
      <c r="AW57" s="42" t="n"/>
      <c r="AX57" s="42" t="n"/>
      <c r="AY57" s="42" t="n"/>
      <c r="AZ57" s="42" t="n"/>
      <c r="BA57" s="42" t="n"/>
      <c r="BB57" s="42" t="n"/>
      <c r="BC57" s="42" t="n"/>
      <c r="BD57" s="42" t="n"/>
    </row>
    <row r="58" ht="15.75" customHeight="1">
      <c r="A58" s="40" t="n"/>
      <c r="B58" s="31" t="inlineStr">
        <is>
          <t>Finance Actuals (Monthly)</t>
        </is>
      </c>
      <c r="C58" s="40" t="n"/>
      <c r="D58" s="32" t="inlineStr">
        <is>
          <t>$k</t>
        </is>
      </c>
      <c r="E58" s="41" t="n"/>
      <c r="F58" s="41" t="n"/>
      <c r="G58" s="41" t="n"/>
      <c r="H58" s="41" t="n">
        <v>411.54141</v>
      </c>
      <c r="I58" s="41" t="n"/>
      <c r="J58" s="41" t="n"/>
      <c r="K58" s="41" t="n"/>
      <c r="L58" s="41" t="n">
        <v>442.5354</v>
      </c>
      <c r="M58" s="41" t="n"/>
      <c r="N58" s="41" t="n"/>
      <c r="O58" s="41" t="n"/>
      <c r="P58" s="41" t="n"/>
      <c r="Q58" s="41" t="n">
        <v>378.42062</v>
      </c>
      <c r="R58" s="41" t="n"/>
      <c r="S58" s="41" t="n"/>
      <c r="T58" s="41" t="n"/>
      <c r="U58" s="41" t="n">
        <v>406.08602</v>
      </c>
      <c r="V58" s="41" t="n"/>
      <c r="W58" s="41" t="n"/>
      <c r="X58" s="41" t="n"/>
      <c r="Y58" s="41" t="n"/>
      <c r="Z58" s="41" t="n">
        <v>333.3523700000001</v>
      </c>
      <c r="AA58" s="41" t="n"/>
      <c r="AB58" s="41" t="n"/>
      <c r="AC58" s="41" t="n"/>
      <c r="AD58" s="41" t="n"/>
      <c r="AE58" s="41" t="n"/>
      <c r="AF58" s="41" t="n"/>
      <c r="AG58" s="41" t="n"/>
      <c r="AH58" s="41" t="n"/>
      <c r="AI58" s="41" t="n"/>
      <c r="AJ58" s="41" t="n"/>
      <c r="AK58" s="41" t="n"/>
      <c r="AL58" s="41" t="n"/>
      <c r="AM58" s="41" t="n"/>
      <c r="AN58" s="41" t="n"/>
      <c r="AO58" s="41" t="n"/>
      <c r="AP58" s="41" t="n"/>
      <c r="AQ58" s="41" t="n"/>
      <c r="AR58" s="41" t="n"/>
      <c r="AS58" s="41" t="n"/>
      <c r="AT58" s="41" t="n"/>
      <c r="AU58" s="41" t="n"/>
      <c r="AV58" s="41" t="n"/>
      <c r="AW58" s="41" t="n"/>
      <c r="AX58" s="41" t="n"/>
      <c r="AY58" s="41" t="n"/>
      <c r="AZ58" s="41" t="n"/>
      <c r="BA58" s="41" t="n"/>
      <c r="BB58" s="41" t="n"/>
      <c r="BC58" s="41" t="n"/>
      <c r="BD58" s="41" t="n"/>
    </row>
    <row r="59" ht="15.75" customHeight="1">
      <c r="B59" s="9" t="inlineStr">
        <is>
          <t>Budgeted (Monthly)</t>
        </is>
      </c>
      <c r="D59" s="10" t="inlineStr">
        <is>
          <t>$k</t>
        </is>
      </c>
      <c r="E59" s="44" t="n"/>
      <c r="F59" s="44" t="n"/>
      <c r="G59" s="44" t="n"/>
      <c r="H59" s="44" t="n">
        <v>323.8036666666667</v>
      </c>
      <c r="I59" s="44" t="n"/>
      <c r="J59" s="44" t="n"/>
      <c r="K59" s="44" t="n"/>
      <c r="L59" s="44" t="n">
        <v>298.1416666666667</v>
      </c>
      <c r="M59" s="44" t="n"/>
      <c r="N59" s="44" t="n"/>
      <c r="O59" s="44" t="n"/>
      <c r="P59" s="44" t="n"/>
      <c r="Q59" s="44" t="n">
        <v>325.7700666666667</v>
      </c>
      <c r="R59" s="44" t="n"/>
      <c r="S59" s="44" t="n"/>
      <c r="T59" s="44" t="n"/>
      <c r="U59" s="44" t="n">
        <v>552.0629954442227</v>
      </c>
      <c r="V59" s="44" t="n"/>
      <c r="W59" s="44" t="n"/>
      <c r="X59" s="44" t="n"/>
      <c r="Y59" s="44" t="n"/>
      <c r="Z59" s="44" t="n">
        <v>626.8753175846493</v>
      </c>
      <c r="AA59" s="44" t="n"/>
      <c r="AB59" s="44" t="n"/>
      <c r="AC59" s="44" t="n"/>
      <c r="AD59" s="44" t="n">
        <v>841.4774360018671</v>
      </c>
      <c r="AE59" s="44" t="n"/>
      <c r="AF59" s="44" t="n"/>
      <c r="AG59" s="44" t="n"/>
      <c r="AH59" s="44" t="n">
        <v>634.5915547016006</v>
      </c>
      <c r="AI59" s="44" t="n"/>
      <c r="AJ59" s="44" t="n"/>
      <c r="AK59" s="44" t="n"/>
      <c r="AL59" s="44" t="n"/>
      <c r="AM59" s="44" t="n">
        <v>581.4738399665695</v>
      </c>
      <c r="AN59" s="44" t="n"/>
      <c r="AO59" s="44" t="n"/>
      <c r="AP59" s="44" t="n"/>
      <c r="AQ59" s="44" t="n">
        <v>698.8567009324536</v>
      </c>
      <c r="AR59" s="44" t="n"/>
      <c r="AS59" s="44" t="n"/>
      <c r="AT59" s="44" t="n"/>
      <c r="AU59" s="44" t="n">
        <v>1075.291427217836</v>
      </c>
      <c r="AV59" s="44" t="n"/>
      <c r="AW59" s="44" t="n"/>
      <c r="AX59" s="44" t="n"/>
      <c r="AY59" s="44" t="n"/>
      <c r="AZ59" s="44" t="n">
        <v>1015.214417854389</v>
      </c>
      <c r="BA59" s="44" t="n"/>
      <c r="BB59" s="44" t="n"/>
      <c r="BC59" s="44" t="n"/>
      <c r="BD59" s="44" t="n">
        <v>637.0655176357235</v>
      </c>
    </row>
    <row r="60" ht="15.75" customHeight="1">
      <c r="B60" s="7" t="inlineStr">
        <is>
          <t>As % of budget - this month</t>
        </is>
      </c>
      <c r="D60" s="17" t="inlineStr">
        <is>
          <t>%</t>
        </is>
      </c>
      <c r="E60" s="43" t="n"/>
      <c r="F60" s="43" t="n"/>
      <c r="G60" s="43" t="n"/>
      <c r="H60" s="43">
        <f>IFERROR(SUM(E58:H58)/H59,"")</f>
        <v/>
      </c>
      <c r="I60" s="43" t="n"/>
      <c r="J60" s="43" t="n"/>
      <c r="K60" s="43" t="n"/>
      <c r="L60" s="43">
        <f>IFERROR(SUM(I58:L58)/L59,"")</f>
        <v/>
      </c>
      <c r="M60" s="43" t="n"/>
      <c r="N60" s="43" t="n"/>
      <c r="O60" s="43" t="n"/>
      <c r="P60" s="43" t="n"/>
      <c r="Q60" s="43">
        <f>IFERROR(SUM(M58:Q58)/Q59,"")</f>
        <v/>
      </c>
      <c r="R60" s="43" t="n"/>
      <c r="S60" s="43" t="n"/>
      <c r="T60" s="43" t="n"/>
      <c r="U60" s="43">
        <f>IFERROR(SUM(R58:U58)/U59,"")</f>
        <v/>
      </c>
      <c r="V60" s="43" t="n"/>
      <c r="W60" s="43" t="n"/>
      <c r="X60" s="43" t="n"/>
      <c r="Y60" s="43" t="n"/>
      <c r="Z60" s="43">
        <f>IFERROR(SUM(V58:Z58)/Z59,"")</f>
        <v/>
      </c>
      <c r="AA60" s="43" t="n"/>
      <c r="AB60" s="43" t="n"/>
      <c r="AC60" s="43" t="n"/>
      <c r="AD60" s="43" t="n"/>
      <c r="AE60" s="43" t="n"/>
      <c r="AF60" s="43" t="n"/>
      <c r="AG60" s="43" t="n"/>
      <c r="AH60" s="43" t="n"/>
      <c r="AI60" s="43" t="n"/>
      <c r="AJ60" s="43" t="n"/>
      <c r="AK60" s="43" t="n"/>
      <c r="AL60" s="43" t="n"/>
      <c r="AM60" s="43" t="n"/>
      <c r="AN60" s="43" t="n"/>
      <c r="AO60" s="43" t="n"/>
      <c r="AP60" s="43" t="n"/>
      <c r="AQ60" s="43" t="n"/>
      <c r="AR60" s="43" t="n"/>
      <c r="AS60" s="43" t="n"/>
      <c r="AT60" s="43" t="n"/>
      <c r="AU60" s="43" t="n"/>
      <c r="AV60" s="43" t="n"/>
      <c r="AW60" s="43" t="n"/>
      <c r="AX60" s="43" t="n"/>
      <c r="AY60" s="43" t="n"/>
      <c r="AZ60" s="43" t="n"/>
      <c r="BA60" s="43" t="n"/>
      <c r="BB60" s="43" t="n"/>
      <c r="BC60" s="43" t="n"/>
      <c r="BD60" s="43" t="n"/>
    </row>
    <row r="61" ht="15.75" customHeight="1">
      <c r="B61" s="7" t="inlineStr">
        <is>
          <t>As % of quarterly budget (QTD)</t>
        </is>
      </c>
      <c r="D61" s="17" t="inlineStr">
        <is>
          <t>%</t>
        </is>
      </c>
      <c r="E61" s="43" t="n"/>
      <c r="F61" s="43" t="n"/>
      <c r="G61" s="43" t="n"/>
      <c r="H61" s="43">
        <f>IFERROR(SUM(E58:H58)/(H59+L59+Q59),"")</f>
        <v/>
      </c>
      <c r="I61" s="43" t="n"/>
      <c r="J61" s="43" t="n"/>
      <c r="K61" s="43" t="n"/>
      <c r="L61" s="43">
        <f>IFERROR(SUM(E58:L58)/(H59+L59+Q59),"")</f>
        <v/>
      </c>
      <c r="M61" s="43" t="n"/>
      <c r="N61" s="43" t="n"/>
      <c r="O61" s="43" t="n"/>
      <c r="P61" s="43" t="n"/>
      <c r="Q61" s="43">
        <f>IFERROR(SUM(E58:Q58)/(H59+L59+Q59),"")</f>
        <v/>
      </c>
      <c r="R61" s="43" t="n"/>
      <c r="S61" s="43" t="n"/>
      <c r="T61" s="43" t="n"/>
      <c r="U61" s="43">
        <f>IFERROR(SUM(R58:U58)/(U59+Z59+AD59),"")</f>
        <v/>
      </c>
      <c r="V61" s="43" t="n"/>
      <c r="W61" s="43" t="n"/>
      <c r="X61" s="43" t="n"/>
      <c r="Y61" s="43" t="n"/>
      <c r="Z61" s="43">
        <f>IFERROR(SUM(R58:Z58)/(U59+Z59+AD59),"")</f>
        <v/>
      </c>
      <c r="AA61" s="43" t="n"/>
      <c r="AB61" s="43" t="n"/>
      <c r="AC61" s="43" t="n"/>
      <c r="AD61" s="43" t="n"/>
      <c r="AE61" s="43" t="n"/>
      <c r="AF61" s="43" t="n"/>
      <c r="AG61" s="43" t="n"/>
      <c r="AH61" s="43" t="n"/>
      <c r="AI61" s="43" t="n"/>
      <c r="AJ61" s="43" t="n"/>
      <c r="AK61" s="43" t="n"/>
      <c r="AL61" s="43" t="n"/>
      <c r="AM61" s="43" t="n"/>
      <c r="AN61" s="43" t="n"/>
      <c r="AO61" s="43" t="n"/>
      <c r="AP61" s="43" t="n"/>
      <c r="AQ61" s="43" t="n"/>
      <c r="AR61" s="43" t="n"/>
      <c r="AS61" s="43" t="n"/>
      <c r="AT61" s="43" t="n"/>
      <c r="AU61" s="43" t="n"/>
      <c r="AV61" s="43" t="n"/>
      <c r="AW61" s="43" t="n"/>
      <c r="AX61" s="43" t="n"/>
      <c r="AY61" s="43" t="n"/>
      <c r="AZ61" s="43" t="n"/>
      <c r="BA61" s="43" t="n"/>
      <c r="BB61" s="43" t="n"/>
      <c r="BC61" s="43" t="n"/>
      <c r="BD61" s="43" t="n"/>
    </row>
    <row r="62" ht="15.75" customHeight="1">
      <c r="B62" s="7" t="inlineStr">
        <is>
          <t>As % of annual budget (YTD)</t>
        </is>
      </c>
      <c r="D62" s="17" t="inlineStr">
        <is>
          <t>%</t>
        </is>
      </c>
      <c r="E62" s="43" t="n"/>
      <c r="F62" s="43" t="n"/>
      <c r="G62" s="43" t="n"/>
      <c r="H62" s="43">
        <f>IFERROR(SUM($E$58:H58)/SUM($E$59:BD59),"")</f>
        <v/>
      </c>
      <c r="I62" s="43" t="n"/>
      <c r="J62" s="43" t="n"/>
      <c r="K62" s="43" t="n"/>
      <c r="L62" s="43">
        <f>IFERROR(SUM($E$58:L58)/SUM($E$59:BD59),"")</f>
        <v/>
      </c>
      <c r="M62" s="43" t="n"/>
      <c r="N62" s="43" t="n"/>
      <c r="O62" s="43" t="n"/>
      <c r="P62" s="43" t="n"/>
      <c r="Q62" s="43">
        <f>IFERROR(SUM($E$58:Q58)/SUM($E$59:BD59),"")</f>
        <v/>
      </c>
      <c r="R62" s="43" t="n"/>
      <c r="S62" s="43" t="n"/>
      <c r="T62" s="43" t="n"/>
      <c r="U62" s="43">
        <f>IFERROR(SUM($E$58:U58)/SUM($E$59:BD59),"")</f>
        <v/>
      </c>
      <c r="V62" s="43" t="n"/>
      <c r="W62" s="43" t="n"/>
      <c r="X62" s="43" t="n"/>
      <c r="Y62" s="43" t="n"/>
      <c r="Z62" s="43">
        <f>IFERROR(SUM($E$58:Z58)/SUM($E$59:BD59),"")</f>
        <v/>
      </c>
      <c r="AA62" s="43" t="n"/>
      <c r="AB62" s="43" t="n"/>
      <c r="AC62" s="43" t="n"/>
      <c r="AD62" s="43" t="n"/>
      <c r="AE62" s="43" t="n"/>
      <c r="AF62" s="43" t="n"/>
      <c r="AG62" s="43" t="n"/>
      <c r="AH62" s="43" t="n"/>
      <c r="AI62" s="43" t="n"/>
      <c r="AJ62" s="43" t="n"/>
      <c r="AK62" s="43" t="n"/>
      <c r="AL62" s="43" t="n"/>
      <c r="AM62" s="43" t="n"/>
      <c r="AN62" s="43" t="n"/>
      <c r="AO62" s="43" t="n"/>
      <c r="AP62" s="43" t="n"/>
      <c r="AQ62" s="43" t="n"/>
      <c r="AR62" s="43" t="n"/>
      <c r="AS62" s="43" t="n"/>
      <c r="AT62" s="43" t="n"/>
      <c r="AU62" s="43" t="n"/>
      <c r="AV62" s="43" t="n"/>
      <c r="AW62" s="43" t="n"/>
      <c r="AX62" s="43" t="n"/>
      <c r="AY62" s="43" t="n"/>
      <c r="AZ62" s="43" t="n"/>
      <c r="BA62" s="43" t="n"/>
      <c r="BB62" s="43" t="n"/>
      <c r="BC62" s="43" t="n"/>
      <c r="BD62" s="43" t="n"/>
    </row>
    <row r="63" ht="15.75" customHeight="1"/>
    <row r="64">
      <c r="A64" s="40" t="inlineStr">
        <is>
          <t>Ads - On-site</t>
        </is>
      </c>
      <c r="B64" s="40" t="n"/>
      <c r="C64" s="40" t="n"/>
      <c r="D64" s="24" t="inlineStr">
        <is>
          <t>$k</t>
        </is>
      </c>
      <c r="E64" s="42" t="n"/>
      <c r="F64" s="42" t="n"/>
      <c r="G64" s="42" t="n"/>
      <c r="H64" s="42" t="n"/>
      <c r="I64" s="42" t="n"/>
      <c r="J64" s="42" t="n">
        <v>43.9118</v>
      </c>
      <c r="K64" s="42" t="n">
        <v>51.72735</v>
      </c>
      <c r="L64" s="42" t="n">
        <v>51.55761</v>
      </c>
      <c r="M64" s="42" t="n">
        <v>48.37319</v>
      </c>
      <c r="N64" s="42" t="n">
        <v>45.75354</v>
      </c>
      <c r="O64" s="42" t="n">
        <v>44.56591</v>
      </c>
      <c r="P64" s="42" t="n">
        <v>43.45617</v>
      </c>
      <c r="Q64" s="42" t="n">
        <v>51.82136</v>
      </c>
      <c r="R64" s="42" t="n">
        <v>43.78395</v>
      </c>
      <c r="S64" s="42" t="n">
        <v>44.39185</v>
      </c>
      <c r="T64" s="42" t="n">
        <v>51.95358</v>
      </c>
      <c r="U64" s="42" t="n">
        <v>43.527</v>
      </c>
      <c r="V64" s="42" t="n">
        <v>44.14662000000001</v>
      </c>
      <c r="W64" s="42" t="n">
        <v>41.57694</v>
      </c>
      <c r="X64" s="42" t="n">
        <v>41.89388</v>
      </c>
      <c r="Y64" s="42" t="n">
        <v>46.87757</v>
      </c>
      <c r="Z64" s="42" t="n">
        <v>47.55178</v>
      </c>
      <c r="AA64" s="42" t="n">
        <v>44.92541000000001</v>
      </c>
      <c r="AB64" s="42" t="n">
        <v>41.36661</v>
      </c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2" t="n"/>
      <c r="AU64" s="42" t="n"/>
      <c r="AV64" s="42" t="n"/>
      <c r="AW64" s="42" t="n"/>
      <c r="AX64" s="42" t="n"/>
      <c r="AY64" s="42" t="n"/>
      <c r="AZ64" s="42" t="n"/>
      <c r="BA64" s="42" t="n"/>
      <c r="BB64" s="42" t="n"/>
      <c r="BC64" s="42" t="n"/>
      <c r="BD64" s="42" t="n"/>
    </row>
    <row r="65" ht="15.75" customHeight="1">
      <c r="A65" s="40" t="n"/>
      <c r="B65" s="31" t="inlineStr">
        <is>
          <t>Finance Actuals (Monthly)</t>
        </is>
      </c>
      <c r="C65" s="40" t="n"/>
      <c r="D65" s="32" t="inlineStr">
        <is>
          <t>$k</t>
        </is>
      </c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41" t="n"/>
      <c r="AH65" s="41" t="n"/>
      <c r="AI65" s="41" t="n"/>
      <c r="AJ65" s="41" t="n"/>
      <c r="AK65" s="41" t="n"/>
      <c r="AL65" s="41" t="n"/>
      <c r="AM65" s="41" t="n"/>
      <c r="AN65" s="41" t="n"/>
      <c r="AO65" s="41" t="n"/>
      <c r="AP65" s="41" t="n"/>
      <c r="AQ65" s="41" t="n"/>
      <c r="AR65" s="41" t="n"/>
      <c r="AS65" s="41" t="n"/>
      <c r="AT65" s="41" t="n"/>
      <c r="AU65" s="41" t="n"/>
      <c r="AV65" s="41" t="n"/>
      <c r="AW65" s="41" t="n"/>
      <c r="AX65" s="41" t="n"/>
      <c r="AY65" s="41" t="n"/>
      <c r="AZ65" s="41" t="n"/>
      <c r="BA65" s="41" t="n"/>
      <c r="BB65" s="41" t="n"/>
      <c r="BC65" s="41" t="n"/>
      <c r="BD65" s="41" t="n"/>
    </row>
    <row r="66" ht="15.75" customHeight="1">
      <c r="B66" s="9" t="inlineStr">
        <is>
          <t>Budgeted (Monthly) - On-site</t>
        </is>
      </c>
      <c r="D66" s="10" t="inlineStr">
        <is>
          <t>$k</t>
        </is>
      </c>
      <c r="E66" s="44" t="n"/>
      <c r="F66" s="44" t="n"/>
      <c r="G66" s="44" t="n"/>
      <c r="H66" s="44" t="n">
        <v>164.137</v>
      </c>
      <c r="I66" s="44" t="n"/>
      <c r="J66" s="44" t="n"/>
      <c r="K66" s="44" t="n"/>
      <c r="L66" s="44" t="n">
        <v>131.311</v>
      </c>
      <c r="M66" s="44" t="n"/>
      <c r="N66" s="44" t="n"/>
      <c r="O66" s="44" t="n"/>
      <c r="P66" s="44" t="n"/>
      <c r="Q66" s="44" t="n">
        <v>145.379</v>
      </c>
      <c r="R66" s="44" t="n"/>
      <c r="S66" s="44" t="n"/>
      <c r="T66" s="44" t="n"/>
      <c r="U66" s="44" t="n">
        <v>140.688</v>
      </c>
      <c r="V66" s="44" t="n"/>
      <c r="W66" s="44" t="n"/>
      <c r="X66" s="44" t="n"/>
      <c r="Y66" s="44" t="n"/>
      <c r="Z66" s="44" t="n">
        <v>150.039</v>
      </c>
      <c r="AA66" s="44" t="n"/>
      <c r="AB66" s="44" t="n"/>
      <c r="AC66" s="44" t="n"/>
      <c r="AD66" s="44" t="n">
        <v>145.509</v>
      </c>
      <c r="AE66" s="44" t="n"/>
      <c r="AF66" s="44" t="n"/>
      <c r="AG66" s="44" t="n"/>
      <c r="AH66" s="44" t="n">
        <v>150.36</v>
      </c>
      <c r="AI66" s="44" t="n"/>
      <c r="AJ66" s="44" t="n"/>
      <c r="AK66" s="44" t="n"/>
      <c r="AL66" s="44" t="n"/>
      <c r="AM66" s="44" t="n">
        <v>151.359</v>
      </c>
      <c r="AN66" s="44" t="n"/>
      <c r="AO66" s="44" t="n"/>
      <c r="AP66" s="44" t="n"/>
      <c r="AQ66" s="44" t="n">
        <v>160.507</v>
      </c>
      <c r="AR66" s="44" t="n"/>
      <c r="AS66" s="44" t="n"/>
      <c r="AT66" s="44" t="n"/>
      <c r="AU66" s="44" t="n">
        <v>165.857</v>
      </c>
      <c r="AV66" s="44" t="n"/>
      <c r="AW66" s="44" t="n"/>
      <c r="AX66" s="44" t="n"/>
      <c r="AY66" s="44" t="n"/>
      <c r="AZ66" s="44" t="n">
        <v>160.507</v>
      </c>
      <c r="BA66" s="44" t="n"/>
      <c r="BB66" s="44" t="n"/>
      <c r="BC66" s="44" t="n"/>
      <c r="BD66" s="44" t="n">
        <v>139.107</v>
      </c>
    </row>
    <row r="67" ht="15.75" customHeight="1">
      <c r="B67" s="7" t="inlineStr">
        <is>
          <t>As % of budget - this month</t>
        </is>
      </c>
      <c r="D67" s="17" t="inlineStr">
        <is>
          <t>%</t>
        </is>
      </c>
      <c r="E67" s="43" t="n"/>
      <c r="F67" s="43" t="n"/>
      <c r="G67" s="43" t="n"/>
      <c r="H67" s="43">
        <f>IFERROR(SUM(E64:H64)/H66,"")</f>
        <v/>
      </c>
      <c r="I67" s="43" t="n"/>
      <c r="J67" s="43" t="n"/>
      <c r="K67" s="43" t="n"/>
      <c r="L67" s="43">
        <f>IFERROR(SUM(I64:L64)/L66,"")</f>
        <v/>
      </c>
      <c r="M67" s="43" t="n"/>
      <c r="N67" s="43" t="n"/>
      <c r="O67" s="43" t="n"/>
      <c r="P67" s="43" t="n"/>
      <c r="Q67" s="43">
        <f>IFERROR(SUM(M64:Q64)/Q66,"")</f>
        <v/>
      </c>
      <c r="R67" s="43" t="n"/>
      <c r="S67" s="43" t="n"/>
      <c r="T67" s="43" t="n"/>
      <c r="U67" s="43">
        <f>IFERROR(SUM(R64:U64)/U66,"")</f>
        <v/>
      </c>
      <c r="V67" s="43" t="n"/>
      <c r="W67" s="43" t="n"/>
      <c r="X67" s="43" t="n"/>
      <c r="Y67" s="43" t="n"/>
      <c r="Z67" s="43">
        <f>IFERROR(SUM(V64:Z64)/Z66,"")</f>
        <v/>
      </c>
      <c r="AA67" s="43" t="n"/>
      <c r="AB67" s="43" t="n"/>
      <c r="AC67" s="43" t="n"/>
      <c r="AD67" s="43" t="n"/>
      <c r="AE67" s="43" t="n"/>
      <c r="AF67" s="43" t="n"/>
      <c r="AG67" s="43" t="n"/>
      <c r="AH67" s="43" t="n"/>
      <c r="AI67" s="43" t="n"/>
      <c r="AJ67" s="43" t="n"/>
      <c r="AK67" s="43" t="n"/>
      <c r="AL67" s="43" t="n"/>
      <c r="AM67" s="43" t="n"/>
      <c r="AN67" s="43" t="n"/>
      <c r="AO67" s="43" t="n"/>
      <c r="AP67" s="43" t="n"/>
      <c r="AQ67" s="43" t="n"/>
      <c r="AR67" s="43" t="n"/>
      <c r="AS67" s="43" t="n"/>
      <c r="AT67" s="43" t="n"/>
      <c r="AU67" s="43" t="n"/>
      <c r="AV67" s="43" t="n"/>
      <c r="AW67" s="43" t="n"/>
      <c r="AX67" s="43" t="n"/>
      <c r="AY67" s="43" t="n"/>
      <c r="AZ67" s="43" t="n"/>
      <c r="BA67" s="43" t="n"/>
      <c r="BB67" s="43" t="n"/>
      <c r="BC67" s="43" t="n"/>
      <c r="BD67" s="43" t="n"/>
    </row>
    <row r="68" ht="15.75" customHeight="1">
      <c r="B68" s="7" t="inlineStr">
        <is>
          <t>As % of quarterly budget (QTD)</t>
        </is>
      </c>
      <c r="D68" s="17" t="inlineStr">
        <is>
          <t>%</t>
        </is>
      </c>
      <c r="E68" s="43" t="n"/>
      <c r="F68" s="43" t="n"/>
      <c r="G68" s="43" t="n"/>
      <c r="H68" s="43">
        <f>IFERROR(SUM(E64:H64)/(H66+L66+Q66),"")</f>
        <v/>
      </c>
      <c r="I68" s="43" t="n"/>
      <c r="J68" s="43" t="n"/>
      <c r="K68" s="43" t="n"/>
      <c r="L68" s="43">
        <f>IFERROR(SUM(E64:L64)/(H66+L66+Q66),"")</f>
        <v/>
      </c>
      <c r="M68" s="43" t="n"/>
      <c r="N68" s="43" t="n"/>
      <c r="O68" s="43" t="n"/>
      <c r="P68" s="43" t="n"/>
      <c r="Q68" s="43">
        <f>IFERROR(SUM(E64:Q64)/(H66+L66+Q66),"")</f>
        <v/>
      </c>
      <c r="R68" s="43" t="n"/>
      <c r="S68" s="43" t="n"/>
      <c r="T68" s="43" t="n"/>
      <c r="U68" s="43">
        <f>IFERROR(SUM(R64:U64)/(U66+Z66+AD66),"")</f>
        <v/>
      </c>
      <c r="V68" s="43" t="n"/>
      <c r="W68" s="43" t="n"/>
      <c r="X68" s="43" t="n"/>
      <c r="Y68" s="43" t="n"/>
      <c r="Z68" s="43">
        <f>IFERROR(SUM(R64:Z64)/(U66+Z66+AD66),"")</f>
        <v/>
      </c>
      <c r="AA68" s="43" t="n"/>
      <c r="AB68" s="43" t="n"/>
      <c r="AC68" s="43" t="n"/>
      <c r="AD68" s="43" t="n"/>
      <c r="AE68" s="43" t="n"/>
      <c r="AF68" s="43" t="n"/>
      <c r="AG68" s="43" t="n"/>
      <c r="AH68" s="43" t="n"/>
      <c r="AI68" s="43" t="n"/>
      <c r="AJ68" s="43" t="n"/>
      <c r="AK68" s="43" t="n"/>
      <c r="AL68" s="43" t="n"/>
      <c r="AM68" s="43" t="n"/>
      <c r="AN68" s="43" t="n"/>
      <c r="AO68" s="43" t="n"/>
      <c r="AP68" s="43" t="n"/>
      <c r="AQ68" s="43" t="n"/>
      <c r="AR68" s="43" t="n"/>
      <c r="AS68" s="43" t="n"/>
      <c r="AT68" s="43" t="n"/>
      <c r="AU68" s="43" t="n"/>
      <c r="AV68" s="43" t="n"/>
      <c r="AW68" s="43" t="n"/>
      <c r="AX68" s="43" t="n"/>
      <c r="AY68" s="43" t="n"/>
      <c r="AZ68" s="43" t="n"/>
      <c r="BA68" s="43" t="n"/>
      <c r="BB68" s="43" t="n"/>
      <c r="BC68" s="43" t="n"/>
      <c r="BD68" s="43" t="n"/>
    </row>
    <row r="69" ht="15.75" customHeight="1">
      <c r="B69" s="7" t="inlineStr">
        <is>
          <t>As % of annual budget (YTD)</t>
        </is>
      </c>
      <c r="D69" s="17" t="inlineStr">
        <is>
          <t>%</t>
        </is>
      </c>
      <c r="E69" s="43" t="n"/>
      <c r="F69" s="43" t="n"/>
      <c r="G69" s="43" t="n"/>
      <c r="H69" s="43">
        <f>IFERROR(SUM($E$64:H64)/SUM($E$66:BD66),"")</f>
        <v/>
      </c>
      <c r="I69" s="43" t="n"/>
      <c r="J69" s="43" t="n"/>
      <c r="K69" s="43" t="n"/>
      <c r="L69" s="43">
        <f>IFERROR(SUM($E$64:L64)/SUM($E$66:BD66),"")</f>
        <v/>
      </c>
      <c r="M69" s="43" t="n"/>
      <c r="N69" s="43" t="n"/>
      <c r="O69" s="43" t="n"/>
      <c r="P69" s="43" t="n"/>
      <c r="Q69" s="43">
        <f>IFERROR(SUM($E$64:Q64)/SUM($E$66:BD66),"")</f>
        <v/>
      </c>
      <c r="R69" s="43" t="n"/>
      <c r="S69" s="43" t="n"/>
      <c r="T69" s="43" t="n"/>
      <c r="U69" s="43">
        <f>IFERROR(SUM($E$64:U64)/SUM($E$66:BD66),"")</f>
        <v/>
      </c>
      <c r="V69" s="43" t="n"/>
      <c r="W69" s="43" t="n"/>
      <c r="X69" s="43" t="n"/>
      <c r="Y69" s="43" t="n"/>
      <c r="Z69" s="43">
        <f>IFERROR(SUM($E$64:Z64)/SUM($E$66:BD66),"")</f>
        <v/>
      </c>
      <c r="AA69" s="43" t="n"/>
      <c r="AB69" s="43" t="n"/>
      <c r="AC69" s="43" t="n"/>
      <c r="AD69" s="43" t="n"/>
      <c r="AE69" s="43" t="n"/>
      <c r="AF69" s="43" t="n"/>
      <c r="AG69" s="43" t="n"/>
      <c r="AH69" s="43" t="n"/>
      <c r="AI69" s="43" t="n"/>
      <c r="AJ69" s="43" t="n"/>
      <c r="AK69" s="43" t="n"/>
      <c r="AL69" s="43" t="n"/>
      <c r="AM69" s="43" t="n"/>
      <c r="AN69" s="43" t="n"/>
      <c r="AO69" s="43" t="n"/>
      <c r="AP69" s="43" t="n"/>
      <c r="AQ69" s="43" t="n"/>
      <c r="AR69" s="43" t="n"/>
      <c r="AS69" s="43" t="n"/>
      <c r="AT69" s="43" t="n"/>
      <c r="AU69" s="43" t="n"/>
      <c r="AV69" s="43" t="n"/>
      <c r="AW69" s="43" t="n"/>
      <c r="AX69" s="43" t="n"/>
      <c r="AY69" s="43" t="n"/>
      <c r="AZ69" s="43" t="n"/>
      <c r="BA69" s="43" t="n"/>
      <c r="BB69" s="43" t="n"/>
      <c r="BC69" s="43" t="n"/>
      <c r="BD69" s="43" t="n"/>
    </row>
    <row r="70"/>
    <row r="71">
      <c r="A71" s="40" t="inlineStr">
        <is>
          <t>Ads - DSP</t>
        </is>
      </c>
      <c r="B71" s="40" t="n"/>
      <c r="C71" s="40" t="n"/>
      <c r="D71" s="24" t="inlineStr">
        <is>
          <t>$k</t>
        </is>
      </c>
      <c r="E71" s="42" t="n">
        <v>3.54796</v>
      </c>
      <c r="F71" s="42" t="n">
        <v>5.75428</v>
      </c>
      <c r="G71" s="42" t="n">
        <v>4.30798</v>
      </c>
      <c r="H71" s="42" t="n">
        <v>5.47452</v>
      </c>
      <c r="I71" s="42" t="n">
        <v>6.75321</v>
      </c>
      <c r="J71" s="42" t="n">
        <v>8.345030000000001</v>
      </c>
      <c r="K71" s="42" t="n">
        <v>7.8492</v>
      </c>
      <c r="L71" s="42" t="n">
        <v>7.36939</v>
      </c>
      <c r="M71" s="42" t="n">
        <v>6.31522</v>
      </c>
      <c r="N71" s="42" t="n">
        <v>7.600890000000001</v>
      </c>
      <c r="O71" s="42" t="n">
        <v>7.82422</v>
      </c>
      <c r="P71" s="42" t="n">
        <v>7.56384</v>
      </c>
      <c r="Q71" s="42" t="n">
        <v>8.79857</v>
      </c>
      <c r="R71" s="42" t="n">
        <v>8.025600000000001</v>
      </c>
      <c r="S71" s="42" t="n">
        <v>9.043340000000001</v>
      </c>
      <c r="T71" s="42" t="n">
        <v>8.501959999999999</v>
      </c>
      <c r="U71" s="42" t="n">
        <v>7.87561</v>
      </c>
      <c r="V71" s="42" t="n">
        <v>6.81076</v>
      </c>
      <c r="W71" s="42" t="n">
        <v>8.074020000000001</v>
      </c>
      <c r="X71" s="42" t="n">
        <v>8.19957</v>
      </c>
      <c r="Y71" s="42" t="n">
        <v>8.184749999999999</v>
      </c>
      <c r="Z71" s="42" t="n">
        <v>7.65325</v>
      </c>
      <c r="AA71" s="42" t="n">
        <v>12.891</v>
      </c>
      <c r="AB71" s="42" t="n">
        <v>14.41518</v>
      </c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</row>
    <row r="72" ht="15.75" customHeight="1">
      <c r="A72" s="40" t="n"/>
      <c r="B72" s="31" t="inlineStr">
        <is>
          <t>Finance Actuals (Monthly)</t>
        </is>
      </c>
      <c r="C72" s="40" t="n"/>
      <c r="D72" s="32" t="inlineStr">
        <is>
          <t>$k</t>
        </is>
      </c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41" t="n"/>
      <c r="AH72" s="41" t="n"/>
      <c r="AI72" s="41" t="n"/>
      <c r="AJ72" s="41" t="n"/>
      <c r="AK72" s="41" t="n"/>
      <c r="AL72" s="41" t="n"/>
      <c r="AM72" s="41" t="n"/>
      <c r="AN72" s="41" t="n"/>
      <c r="AO72" s="41" t="n"/>
      <c r="AP72" s="41" t="n"/>
      <c r="AQ72" s="41" t="n"/>
      <c r="AR72" s="41" t="n"/>
      <c r="AS72" s="41" t="n"/>
      <c r="AT72" s="41" t="n"/>
      <c r="AU72" s="41" t="n"/>
      <c r="AV72" s="41" t="n"/>
      <c r="AW72" s="41" t="n"/>
      <c r="AX72" s="41" t="n"/>
      <c r="AY72" s="41" t="n"/>
      <c r="AZ72" s="41" t="n"/>
      <c r="BA72" s="41" t="n"/>
      <c r="BB72" s="41" t="n"/>
      <c r="BC72" s="41" t="n"/>
      <c r="BD72" s="41" t="n"/>
    </row>
    <row r="73" ht="15.75" customHeight="1">
      <c r="B73" s="9" t="inlineStr">
        <is>
          <t>Budgeted (Monthly) - DSP</t>
        </is>
      </c>
      <c r="D73" s="10" t="inlineStr">
        <is>
          <t>$k</t>
        </is>
      </c>
      <c r="E73" s="44" t="n"/>
      <c r="F73" s="44" t="n"/>
      <c r="G73" s="44" t="n"/>
      <c r="H73" s="44" t="n">
        <v>25</v>
      </c>
      <c r="I73" s="44" t="n"/>
      <c r="J73" s="44" t="n"/>
      <c r="K73" s="44" t="n"/>
      <c r="L73" s="44" t="n">
        <v>30</v>
      </c>
      <c r="M73" s="44" t="n"/>
      <c r="N73" s="44" t="n"/>
      <c r="O73" s="44" t="n"/>
      <c r="P73" s="44" t="n"/>
      <c r="Q73" s="44" t="n">
        <v>35</v>
      </c>
      <c r="R73" s="44" t="n"/>
      <c r="S73" s="44" t="n"/>
      <c r="T73" s="44" t="n"/>
      <c r="U73" s="44" t="n">
        <v>25</v>
      </c>
      <c r="V73" s="44" t="n"/>
      <c r="W73" s="44" t="n"/>
      <c r="X73" s="44" t="n"/>
      <c r="Y73" s="44" t="n"/>
      <c r="Z73" s="44" t="n">
        <v>25</v>
      </c>
      <c r="AA73" s="44" t="n"/>
      <c r="AB73" s="44" t="n"/>
      <c r="AC73" s="44" t="n"/>
      <c r="AD73" s="44" t="n">
        <v>25</v>
      </c>
      <c r="AE73" s="44" t="n"/>
      <c r="AF73" s="44" t="n"/>
      <c r="AG73" s="44" t="n"/>
      <c r="AH73" s="44" t="n">
        <v>45</v>
      </c>
      <c r="AI73" s="44" t="n"/>
      <c r="AJ73" s="44" t="n"/>
      <c r="AK73" s="44" t="n"/>
      <c r="AL73" s="44" t="n"/>
      <c r="AM73" s="44" t="n">
        <v>25</v>
      </c>
      <c r="AN73" s="44" t="n"/>
      <c r="AO73" s="44" t="n"/>
      <c r="AP73" s="44" t="n"/>
      <c r="AQ73" s="44" t="n">
        <v>25</v>
      </c>
      <c r="AR73" s="44" t="n"/>
      <c r="AS73" s="44" t="n"/>
      <c r="AT73" s="44" t="n"/>
      <c r="AU73" s="44" t="n">
        <v>35</v>
      </c>
      <c r="AV73" s="44" t="n"/>
      <c r="AW73" s="44" t="n"/>
      <c r="AX73" s="44" t="n"/>
      <c r="AY73" s="44" t="n"/>
      <c r="AZ73" s="44" t="n">
        <v>45</v>
      </c>
      <c r="BA73" s="44" t="n"/>
      <c r="BB73" s="44" t="n"/>
      <c r="BC73" s="44" t="n"/>
      <c r="BD73" s="44" t="n">
        <v>30</v>
      </c>
    </row>
    <row r="74" ht="15.75" customHeight="1">
      <c r="B74" s="7" t="inlineStr">
        <is>
          <t>As % of budget - this month</t>
        </is>
      </c>
      <c r="D74" s="17" t="inlineStr">
        <is>
          <t>%</t>
        </is>
      </c>
      <c r="E74" s="43" t="n"/>
      <c r="F74" s="43" t="n"/>
      <c r="G74" s="43" t="n"/>
      <c r="H74" s="43">
        <f>IFERROR(SUM(E71:H71)/H73,"")</f>
        <v/>
      </c>
      <c r="I74" s="43" t="n"/>
      <c r="J74" s="43" t="n"/>
      <c r="K74" s="43" t="n"/>
      <c r="L74" s="43">
        <f>IFERROR(SUM(I71:L71)/L73,"")</f>
        <v/>
      </c>
      <c r="M74" s="43" t="n"/>
      <c r="N74" s="43" t="n"/>
      <c r="O74" s="43" t="n"/>
      <c r="P74" s="43" t="n"/>
      <c r="Q74" s="43">
        <f>IFERROR(SUM(M71:Q71)/Q73,"")</f>
        <v/>
      </c>
      <c r="R74" s="43" t="n"/>
      <c r="S74" s="43" t="n"/>
      <c r="T74" s="43" t="n"/>
      <c r="U74" s="43">
        <f>IFERROR(SUM(R71:U71)/U73,"")</f>
        <v/>
      </c>
      <c r="V74" s="43" t="n"/>
      <c r="W74" s="43" t="n"/>
      <c r="X74" s="43" t="n"/>
      <c r="Y74" s="43" t="n"/>
      <c r="Z74" s="43">
        <f>IFERROR(SUM(V71:Z71)/Z73,"")</f>
        <v/>
      </c>
      <c r="AA74" s="43" t="n"/>
      <c r="AB74" s="43" t="n"/>
      <c r="AC74" s="43" t="n"/>
      <c r="AD74" s="43" t="n"/>
      <c r="AE74" s="43" t="n"/>
      <c r="AF74" s="43" t="n"/>
      <c r="AG74" s="43" t="n"/>
      <c r="AH74" s="43" t="n"/>
      <c r="AI74" s="43" t="n"/>
      <c r="AJ74" s="43" t="n"/>
      <c r="AK74" s="43" t="n"/>
      <c r="AL74" s="43" t="n"/>
      <c r="AM74" s="43" t="n"/>
      <c r="AN74" s="43" t="n"/>
      <c r="AO74" s="43" t="n"/>
      <c r="AP74" s="43" t="n"/>
      <c r="AQ74" s="43" t="n"/>
      <c r="AR74" s="43" t="n"/>
      <c r="AS74" s="43" t="n"/>
      <c r="AT74" s="43" t="n"/>
      <c r="AU74" s="43" t="n"/>
      <c r="AV74" s="43" t="n"/>
      <c r="AW74" s="43" t="n"/>
      <c r="AX74" s="43" t="n"/>
      <c r="AY74" s="43" t="n"/>
      <c r="AZ74" s="43" t="n"/>
      <c r="BA74" s="43" t="n"/>
      <c r="BB74" s="43" t="n"/>
      <c r="BC74" s="43" t="n"/>
      <c r="BD74" s="43" t="n"/>
    </row>
    <row r="75" ht="15.75" customHeight="1">
      <c r="B75" s="7" t="inlineStr">
        <is>
          <t>As % of quarterly budget (QTD)</t>
        </is>
      </c>
      <c r="D75" s="17" t="inlineStr">
        <is>
          <t>%</t>
        </is>
      </c>
      <c r="E75" s="43" t="n"/>
      <c r="F75" s="43" t="n"/>
      <c r="G75" s="43" t="n"/>
      <c r="H75" s="43">
        <f>IFERROR(SUM(E71:H71)/(H73+L73+Q73),"")</f>
        <v/>
      </c>
      <c r="I75" s="43" t="n"/>
      <c r="J75" s="43" t="n"/>
      <c r="K75" s="43" t="n"/>
      <c r="L75" s="43">
        <f>IFERROR(SUM(E71:L71)/(H73+L73+Q73),"")</f>
        <v/>
      </c>
      <c r="M75" s="43" t="n"/>
      <c r="N75" s="43" t="n"/>
      <c r="O75" s="43" t="n"/>
      <c r="P75" s="43" t="n"/>
      <c r="Q75" s="43">
        <f>IFERROR(SUM(E71:Q71)/(H73+L73+Q73),"")</f>
        <v/>
      </c>
      <c r="R75" s="43" t="n"/>
      <c r="S75" s="43" t="n"/>
      <c r="T75" s="43" t="n"/>
      <c r="U75" s="43">
        <f>IFERROR(SUM(R71:U71)/(U73+Z73+AD73),"")</f>
        <v/>
      </c>
      <c r="V75" s="43" t="n"/>
      <c r="W75" s="43" t="n"/>
      <c r="X75" s="43" t="n"/>
      <c r="Y75" s="43" t="n"/>
      <c r="Z75" s="43">
        <f>IFERROR(SUM(R71:Z71)/(U73+Z73+AD73),"")</f>
        <v/>
      </c>
      <c r="AA75" s="43" t="n"/>
      <c r="AB75" s="43" t="n"/>
      <c r="AC75" s="43" t="n"/>
      <c r="AD75" s="43" t="n"/>
      <c r="AE75" s="43" t="n"/>
      <c r="AF75" s="43" t="n"/>
      <c r="AG75" s="43" t="n"/>
      <c r="AH75" s="43" t="n"/>
      <c r="AI75" s="43" t="n"/>
      <c r="AJ75" s="43" t="n"/>
      <c r="AK75" s="43" t="n"/>
      <c r="AL75" s="43" t="n"/>
      <c r="AM75" s="43" t="n"/>
      <c r="AN75" s="43" t="n"/>
      <c r="AO75" s="43" t="n"/>
      <c r="AP75" s="43" t="n"/>
      <c r="AQ75" s="43" t="n"/>
      <c r="AR75" s="43" t="n"/>
      <c r="AS75" s="43" t="n"/>
      <c r="AT75" s="43" t="n"/>
      <c r="AU75" s="43" t="n"/>
      <c r="AV75" s="43" t="n"/>
      <c r="AW75" s="43" t="n"/>
      <c r="AX75" s="43" t="n"/>
      <c r="AY75" s="43" t="n"/>
      <c r="AZ75" s="43" t="n"/>
      <c r="BA75" s="43" t="n"/>
      <c r="BB75" s="43" t="n"/>
      <c r="BC75" s="43" t="n"/>
      <c r="BD75" s="43" t="n"/>
    </row>
    <row r="76" ht="15.75" customHeight="1">
      <c r="B76" s="7" t="inlineStr">
        <is>
          <t>As % of annual budget (YTD)</t>
        </is>
      </c>
      <c r="D76" s="17" t="inlineStr">
        <is>
          <t>%</t>
        </is>
      </c>
      <c r="E76" s="43" t="n"/>
      <c r="F76" s="43" t="n"/>
      <c r="G76" s="43" t="n"/>
      <c r="H76" s="43">
        <f>IFERROR(SUM($E$71:H71)/SUM($E$73:BD73),"")</f>
        <v/>
      </c>
      <c r="I76" s="43" t="n"/>
      <c r="J76" s="43" t="n"/>
      <c r="K76" s="43" t="n"/>
      <c r="L76" s="43">
        <f>IFERROR(SUM($E$71:L71)/SUM($E$73:BD73),"")</f>
        <v/>
      </c>
      <c r="M76" s="43" t="n"/>
      <c r="N76" s="43" t="n"/>
      <c r="O76" s="43" t="n"/>
      <c r="P76" s="43" t="n"/>
      <c r="Q76" s="43">
        <f>IFERROR(SUM($E$71:Q71)/SUM($E$73:BD73),"")</f>
        <v/>
      </c>
      <c r="R76" s="43" t="n"/>
      <c r="S76" s="43" t="n"/>
      <c r="T76" s="43" t="n"/>
      <c r="U76" s="43">
        <f>IFERROR(SUM($E$71:U71)/SUM($E$73:BD73),"")</f>
        <v/>
      </c>
      <c r="V76" s="43" t="n"/>
      <c r="W76" s="43" t="n"/>
      <c r="X76" s="43" t="n"/>
      <c r="Y76" s="43" t="n"/>
      <c r="Z76" s="43">
        <f>IFERROR(SUM($E$71:Z71)/SUM($E$73:BD73),"")</f>
        <v/>
      </c>
      <c r="AA76" s="43" t="n"/>
      <c r="AB76" s="43" t="n"/>
      <c r="AC76" s="43" t="n"/>
      <c r="AD76" s="43" t="n"/>
      <c r="AE76" s="43" t="n"/>
      <c r="AF76" s="43" t="n"/>
      <c r="AG76" s="43" t="n"/>
      <c r="AH76" s="43" t="n"/>
      <c r="AI76" s="43" t="n"/>
      <c r="AJ76" s="43" t="n"/>
      <c r="AK76" s="43" t="n"/>
      <c r="AL76" s="43" t="n"/>
      <c r="AM76" s="43" t="n"/>
      <c r="AN76" s="43" t="n"/>
      <c r="AO76" s="43" t="n"/>
      <c r="AP76" s="43" t="n"/>
      <c r="AQ76" s="43" t="n"/>
      <c r="AR76" s="43" t="n"/>
      <c r="AS76" s="43" t="n"/>
      <c r="AT76" s="43" t="n"/>
      <c r="AU76" s="43" t="n"/>
      <c r="AV76" s="43" t="n"/>
      <c r="AW76" s="43" t="n"/>
      <c r="AX76" s="43" t="n"/>
      <c r="AY76" s="43" t="n"/>
      <c r="AZ76" s="43" t="n"/>
      <c r="BA76" s="43" t="n"/>
      <c r="BB76" s="43" t="n"/>
      <c r="BC76" s="43" t="n"/>
      <c r="BD76" s="43" t="n"/>
    </row>
    <row r="77"/>
    <row r="78" customFormat="1" s="40">
      <c r="A78" s="40" t="inlineStr">
        <is>
          <t>Ads (On-site + DSP)</t>
        </is>
      </c>
      <c r="D78" s="24" t="inlineStr">
        <is>
          <t>$k</t>
        </is>
      </c>
      <c r="E78" s="42">
        <f>E64+E71</f>
        <v/>
      </c>
      <c r="F78" s="42">
        <f>F64+F71</f>
        <v/>
      </c>
      <c r="G78" s="42">
        <f>G64+G71</f>
        <v/>
      </c>
      <c r="H78" s="42">
        <f>H64+H71</f>
        <v/>
      </c>
      <c r="I78" s="42">
        <f>I64+I71</f>
        <v/>
      </c>
      <c r="J78" s="42">
        <f>J64+J71</f>
        <v/>
      </c>
      <c r="K78" s="42">
        <f>K64+K71</f>
        <v/>
      </c>
      <c r="L78" s="42">
        <f>L64+L71</f>
        <v/>
      </c>
      <c r="M78" s="42">
        <f>M64+M71</f>
        <v/>
      </c>
      <c r="N78" s="42">
        <f>N64+N71</f>
        <v/>
      </c>
      <c r="O78" s="42">
        <f>O64+O71</f>
        <v/>
      </c>
      <c r="P78" s="42">
        <f>P64+P71</f>
        <v/>
      </c>
      <c r="Q78" s="42">
        <f>Q64+Q71</f>
        <v/>
      </c>
      <c r="R78" s="42">
        <f>R64+R71</f>
        <v/>
      </c>
      <c r="S78" s="42">
        <f>S64+S71</f>
        <v/>
      </c>
      <c r="T78" s="42">
        <f>T64+T71</f>
        <v/>
      </c>
      <c r="U78" s="42">
        <f>U64+U71</f>
        <v/>
      </c>
      <c r="V78" s="42">
        <f>V64+V71</f>
        <v/>
      </c>
      <c r="W78" s="42">
        <f>W64+W71</f>
        <v/>
      </c>
      <c r="X78" s="42">
        <f>X64+X71</f>
        <v/>
      </c>
      <c r="Y78" s="42">
        <f>Y64+Y71</f>
        <v/>
      </c>
      <c r="Z78" s="42">
        <f>Z64+Z71</f>
        <v/>
      </c>
      <c r="AA78" s="42">
        <f>AA64+AA71</f>
        <v/>
      </c>
      <c r="AB78" s="42">
        <f>AB64+AB71</f>
        <v/>
      </c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</row>
    <row r="79" ht="15.75" customFormat="1" customHeight="1" s="40">
      <c r="B79" s="31" t="inlineStr">
        <is>
          <t>Finance Actuals (Monthly)</t>
        </is>
      </c>
      <c r="D79" s="32" t="inlineStr">
        <is>
          <t>$k</t>
        </is>
      </c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</row>
    <row r="80" ht="15.75" customHeight="1">
      <c r="B80" s="9" t="inlineStr">
        <is>
          <t>Budgeted (Monthly)</t>
        </is>
      </c>
      <c r="D80" s="10" t="inlineStr">
        <is>
          <t>$k</t>
        </is>
      </c>
      <c r="E80" s="44" t="n"/>
      <c r="F80" s="44" t="n"/>
      <c r="G80" s="44" t="n"/>
      <c r="H80" s="44" t="n">
        <v>189.137</v>
      </c>
      <c r="I80" s="44" t="n"/>
      <c r="J80" s="44" t="n"/>
      <c r="K80" s="44" t="n"/>
      <c r="L80" s="44" t="n">
        <v>161.311</v>
      </c>
      <c r="M80" s="44" t="n"/>
      <c r="N80" s="44" t="n"/>
      <c r="O80" s="44" t="n"/>
      <c r="P80" s="44" t="n"/>
      <c r="Q80" s="44" t="n">
        <v>180.379</v>
      </c>
      <c r="R80" s="44" t="n"/>
      <c r="S80" s="44" t="n"/>
      <c r="T80" s="44" t="n"/>
      <c r="U80" s="44" t="n">
        <v>165.688</v>
      </c>
      <c r="V80" s="44" t="n"/>
      <c r="W80" s="44" t="n"/>
      <c r="X80" s="44" t="n"/>
      <c r="Y80" s="44" t="n"/>
      <c r="Z80" s="44" t="n">
        <v>175.039</v>
      </c>
      <c r="AA80" s="44" t="n"/>
      <c r="AB80" s="44" t="n"/>
      <c r="AC80" s="44" t="n"/>
      <c r="AD80" s="44" t="n">
        <v>170.509</v>
      </c>
      <c r="AE80" s="44" t="n"/>
      <c r="AF80" s="44" t="n"/>
      <c r="AG80" s="44" t="n"/>
      <c r="AH80" s="44" t="n">
        <v>195.36</v>
      </c>
      <c r="AI80" s="44" t="n"/>
      <c r="AJ80" s="44" t="n"/>
      <c r="AK80" s="44" t="n"/>
      <c r="AL80" s="44" t="n"/>
      <c r="AM80" s="44" t="n">
        <v>176.359</v>
      </c>
      <c r="AN80" s="44" t="n"/>
      <c r="AO80" s="44" t="n"/>
      <c r="AP80" s="44" t="n"/>
      <c r="AQ80" s="44" t="n">
        <v>185.507</v>
      </c>
      <c r="AR80" s="44" t="n"/>
      <c r="AS80" s="44" t="n"/>
      <c r="AT80" s="44" t="n"/>
      <c r="AU80" s="44" t="n">
        <v>200.857</v>
      </c>
      <c r="AV80" s="44" t="n"/>
      <c r="AW80" s="44" t="n"/>
      <c r="AX80" s="44" t="n"/>
      <c r="AY80" s="44" t="n"/>
      <c r="AZ80" s="44" t="n">
        <v>205.507</v>
      </c>
      <c r="BA80" s="44" t="n"/>
      <c r="BB80" s="44" t="n"/>
      <c r="BC80" s="44" t="n"/>
      <c r="BD80" s="44" t="n">
        <v>169.107</v>
      </c>
    </row>
    <row r="81" ht="15.75" customHeight="1">
      <c r="B81" s="7" t="inlineStr">
        <is>
          <t>As % of budget - this month</t>
        </is>
      </c>
      <c r="D81" s="17" t="inlineStr">
        <is>
          <t>%</t>
        </is>
      </c>
      <c r="E81" s="43" t="n"/>
      <c r="F81" s="43" t="n"/>
      <c r="G81" s="43" t="n"/>
      <c r="H81" s="43">
        <f>IFERROR(SUM(E78:H78)/H80,"")</f>
        <v/>
      </c>
      <c r="I81" s="43" t="n"/>
      <c r="J81" s="43" t="n"/>
      <c r="K81" s="43" t="n"/>
      <c r="L81" s="43">
        <f>IFERROR(SUM(I78:L78)/L80,"")</f>
        <v/>
      </c>
      <c r="M81" s="43" t="n"/>
      <c r="N81" s="43" t="n"/>
      <c r="O81" s="43" t="n"/>
      <c r="P81" s="43" t="n"/>
      <c r="Q81" s="43">
        <f>IFERROR(SUM(M78:Q78)/Q80,"")</f>
        <v/>
      </c>
      <c r="R81" s="43" t="n"/>
      <c r="S81" s="43" t="n"/>
      <c r="T81" s="43" t="n"/>
      <c r="U81" s="43">
        <f>IFERROR(SUM(R78:U78)/U80,"")</f>
        <v/>
      </c>
      <c r="V81" s="43" t="n"/>
      <c r="W81" s="43" t="n"/>
      <c r="X81" s="43" t="n"/>
      <c r="Y81" s="43" t="n"/>
      <c r="Z81" s="43">
        <f>IFERROR(SUM(V78:Z78)/Z80,"")</f>
        <v/>
      </c>
      <c r="AA81" s="43" t="n"/>
      <c r="AB81" s="43" t="n"/>
      <c r="AC81" s="43" t="n"/>
      <c r="AD81" s="43" t="n"/>
      <c r="AE81" s="43" t="n"/>
      <c r="AF81" s="43" t="n"/>
      <c r="AG81" s="43" t="n"/>
      <c r="AH81" s="43" t="n"/>
      <c r="AI81" s="43" t="n"/>
      <c r="AJ81" s="43" t="n"/>
      <c r="AK81" s="43" t="n"/>
      <c r="AL81" s="43" t="n"/>
      <c r="AM81" s="43" t="n"/>
      <c r="AN81" s="43" t="n"/>
      <c r="AO81" s="43" t="n"/>
      <c r="AP81" s="43" t="n"/>
      <c r="AQ81" s="43" t="n"/>
      <c r="AR81" s="43" t="n"/>
      <c r="AS81" s="43" t="n"/>
      <c r="AT81" s="43" t="n"/>
      <c r="AU81" s="43" t="n"/>
      <c r="AV81" s="43" t="n"/>
      <c r="AW81" s="43" t="n"/>
      <c r="AX81" s="43" t="n"/>
      <c r="AY81" s="43" t="n"/>
      <c r="AZ81" s="43" t="n"/>
      <c r="BA81" s="43" t="n"/>
      <c r="BB81" s="43" t="n"/>
      <c r="BC81" s="43" t="n"/>
      <c r="BD81" s="43" t="n"/>
    </row>
    <row r="82" ht="15.75" customHeight="1">
      <c r="B82" s="7" t="inlineStr">
        <is>
          <t>As % of quarterly budget (QTD)</t>
        </is>
      </c>
      <c r="D82" s="17" t="inlineStr">
        <is>
          <t>%</t>
        </is>
      </c>
      <c r="E82" s="43" t="n"/>
      <c r="F82" s="43" t="n"/>
      <c r="G82" s="43" t="n"/>
      <c r="H82" s="43">
        <f>IFERROR(SUM(E78:H78)/(H80+L80+Q80),"")</f>
        <v/>
      </c>
      <c r="I82" s="43" t="n"/>
      <c r="J82" s="43" t="n"/>
      <c r="K82" s="43" t="n"/>
      <c r="L82" s="43">
        <f>IFERROR(SUM(E78:L78)/(H80+L80+Q80),"")</f>
        <v/>
      </c>
      <c r="M82" s="43" t="n"/>
      <c r="N82" s="43" t="n"/>
      <c r="O82" s="43" t="n"/>
      <c r="P82" s="43" t="n"/>
      <c r="Q82" s="43">
        <f>IFERROR(SUM(E78:Q78)/(H80+L80+Q80),"")</f>
        <v/>
      </c>
      <c r="R82" s="43" t="n"/>
      <c r="S82" s="43" t="n"/>
      <c r="T82" s="43" t="n"/>
      <c r="U82" s="43">
        <f>IFERROR(SUM(R78:U78)/(U80+Z80+AD80),"")</f>
        <v/>
      </c>
      <c r="V82" s="43" t="n"/>
      <c r="W82" s="43" t="n"/>
      <c r="X82" s="43" t="n"/>
      <c r="Y82" s="43" t="n"/>
      <c r="Z82" s="43">
        <f>IFERROR(SUM(R78:Z78)/(U80+Z80+AD80),"")</f>
        <v/>
      </c>
      <c r="AA82" s="43" t="n"/>
      <c r="AB82" s="43" t="n"/>
      <c r="AC82" s="43" t="n"/>
      <c r="AD82" s="43" t="n"/>
      <c r="AE82" s="43" t="n"/>
      <c r="AF82" s="43" t="n"/>
      <c r="AG82" s="43" t="n"/>
      <c r="AH82" s="43" t="n"/>
      <c r="AI82" s="43" t="n"/>
      <c r="AJ82" s="43" t="n"/>
      <c r="AK82" s="43" t="n"/>
      <c r="AL82" s="43" t="n"/>
      <c r="AM82" s="43" t="n"/>
      <c r="AN82" s="43" t="n"/>
      <c r="AO82" s="43" t="n"/>
      <c r="AP82" s="43" t="n"/>
      <c r="AQ82" s="43" t="n"/>
      <c r="AR82" s="43" t="n"/>
      <c r="AS82" s="43" t="n"/>
      <c r="AT82" s="43" t="n"/>
      <c r="AU82" s="43" t="n"/>
      <c r="AV82" s="43" t="n"/>
      <c r="AW82" s="43" t="n"/>
      <c r="AX82" s="43" t="n"/>
      <c r="AY82" s="43" t="n"/>
      <c r="AZ82" s="43" t="n"/>
      <c r="BA82" s="43" t="n"/>
      <c r="BB82" s="43" t="n"/>
      <c r="BC82" s="43" t="n"/>
      <c r="BD82" s="43" t="n"/>
    </row>
    <row r="83" ht="15.75" customHeight="1">
      <c r="B83" s="7" t="inlineStr">
        <is>
          <t>As % of annual budget (YTD)</t>
        </is>
      </c>
      <c r="D83" s="17" t="inlineStr">
        <is>
          <t>%</t>
        </is>
      </c>
      <c r="E83" s="43" t="n"/>
      <c r="F83" s="43" t="n"/>
      <c r="G83" s="43" t="n"/>
      <c r="H83" s="43">
        <f>IFERROR(SUM($E$78:H78)/SUM($E$80:BD80),"")</f>
        <v/>
      </c>
      <c r="I83" s="43" t="n"/>
      <c r="J83" s="43" t="n"/>
      <c r="K83" s="43" t="n"/>
      <c r="L83" s="43">
        <f>IFERROR(SUM($E$78:L78)/SUM($E$80:BD80),"")</f>
        <v/>
      </c>
      <c r="M83" s="43" t="n"/>
      <c r="N83" s="43" t="n"/>
      <c r="O83" s="43" t="n"/>
      <c r="P83" s="43" t="n"/>
      <c r="Q83" s="43">
        <f>IFERROR(SUM($E$78:Q78)/SUM($E$80:BD80),"")</f>
        <v/>
      </c>
      <c r="R83" s="43" t="n"/>
      <c r="S83" s="43" t="n"/>
      <c r="T83" s="43" t="n"/>
      <c r="U83" s="43">
        <f>IFERROR(SUM($E$78:U78)/SUM($E$80:BD80),"")</f>
        <v/>
      </c>
      <c r="V83" s="43" t="n"/>
      <c r="W83" s="43" t="n"/>
      <c r="X83" s="43" t="n"/>
      <c r="Y83" s="43" t="n"/>
      <c r="Z83" s="43">
        <f>IFERROR(SUM($E$78:Z78)/SUM($E$80:BD80),"")</f>
        <v/>
      </c>
      <c r="AA83" s="43" t="n"/>
      <c r="AB83" s="43" t="n"/>
      <c r="AC83" s="43" t="n"/>
      <c r="AD83" s="43" t="n"/>
      <c r="AE83" s="43" t="n"/>
      <c r="AF83" s="43" t="n"/>
      <c r="AG83" s="43" t="n"/>
      <c r="AH83" s="43" t="n"/>
      <c r="AI83" s="43" t="n"/>
      <c r="AJ83" s="43" t="n"/>
      <c r="AK83" s="43" t="n"/>
      <c r="AL83" s="43" t="n"/>
      <c r="AM83" s="43" t="n"/>
      <c r="AN83" s="43" t="n"/>
      <c r="AO83" s="43" t="n"/>
      <c r="AP83" s="43" t="n"/>
      <c r="AQ83" s="43" t="n"/>
      <c r="AR83" s="43" t="n"/>
      <c r="AS83" s="43" t="n"/>
      <c r="AT83" s="43" t="n"/>
      <c r="AU83" s="43" t="n"/>
      <c r="AV83" s="43" t="n"/>
      <c r="AW83" s="43" t="n"/>
      <c r="AX83" s="43" t="n"/>
      <c r="AY83" s="43" t="n"/>
      <c r="AZ83" s="43" t="n"/>
      <c r="BA83" s="43" t="n"/>
      <c r="BB83" s="43" t="n"/>
      <c r="BC83" s="43" t="n"/>
      <c r="BD83" s="43" t="n"/>
    </row>
    <row r="84"/>
    <row r="85" ht="15.75" customFormat="1" customHeight="1" s="40">
      <c r="A85" s="40" t="inlineStr">
        <is>
          <t>Other Marketing</t>
        </is>
      </c>
      <c r="D85" s="24" t="inlineStr">
        <is>
          <t>$k</t>
        </is>
      </c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</row>
    <row r="86" ht="15.75" customFormat="1" customHeight="1" s="40">
      <c r="B86" s="31" t="inlineStr">
        <is>
          <t>Finance Actuals (Monthly)</t>
        </is>
      </c>
      <c r="D86" s="32" t="inlineStr">
        <is>
          <t>$k</t>
        </is>
      </c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  <c r="AJ86" s="41" t="n"/>
      <c r="AK86" s="41" t="n"/>
      <c r="AL86" s="41" t="n"/>
      <c r="AM86" s="41" t="n"/>
      <c r="AN86" s="41" t="n"/>
      <c r="AO86" s="41" t="n"/>
      <c r="AP86" s="41" t="n"/>
      <c r="AQ86" s="41" t="n"/>
      <c r="AR86" s="41" t="n"/>
      <c r="AS86" s="41" t="n"/>
      <c r="AT86" s="41" t="n"/>
      <c r="AU86" s="41" t="n"/>
      <c r="AV86" s="41" t="n"/>
      <c r="AW86" s="41" t="n"/>
      <c r="AX86" s="41" t="n"/>
      <c r="AY86" s="41" t="n"/>
      <c r="AZ86" s="41" t="n"/>
      <c r="BA86" s="41" t="n"/>
      <c r="BB86" s="41" t="n"/>
      <c r="BC86" s="41" t="n"/>
      <c r="BD86" s="41" t="n"/>
    </row>
    <row r="87" ht="15.75" customHeight="1">
      <c r="B87" s="9" t="inlineStr">
        <is>
          <t>Budgeted (Monthly)</t>
        </is>
      </c>
      <c r="D87" s="10" t="inlineStr">
        <is>
          <t>$k</t>
        </is>
      </c>
      <c r="E87" s="44" t="n"/>
      <c r="F87" s="44" t="n"/>
      <c r="G87" s="44" t="n"/>
      <c r="H87" s="44" t="n">
        <v>134.6666666666667</v>
      </c>
      <c r="I87" s="44" t="n"/>
      <c r="J87" s="44" t="n"/>
      <c r="K87" s="44" t="n"/>
      <c r="L87" s="44" t="n">
        <v>136.8306666666666</v>
      </c>
      <c r="M87" s="44" t="n"/>
      <c r="N87" s="44" t="n"/>
      <c r="O87" s="44" t="n"/>
      <c r="P87" s="44" t="n"/>
      <c r="Q87" s="44" t="n">
        <v>145.3910666666667</v>
      </c>
      <c r="R87" s="44" t="n"/>
      <c r="S87" s="44" t="n"/>
      <c r="T87" s="44" t="n"/>
      <c r="U87" s="44" t="n">
        <v>386.3749954442227</v>
      </c>
      <c r="V87" s="44" t="n"/>
      <c r="W87" s="44" t="n"/>
      <c r="X87" s="44" t="n"/>
      <c r="Y87" s="44" t="n"/>
      <c r="Z87" s="44" t="n">
        <v>451.8363175846494</v>
      </c>
      <c r="AA87" s="44" t="n"/>
      <c r="AB87" s="44" t="n"/>
      <c r="AC87" s="44" t="n"/>
      <c r="AD87" s="44" t="n">
        <v>670.9684360018671</v>
      </c>
      <c r="AE87" s="44" t="n"/>
      <c r="AF87" s="44" t="n"/>
      <c r="AG87" s="44" t="n"/>
      <c r="AH87" s="44" t="n">
        <v>439.2315547016007</v>
      </c>
      <c r="AI87" s="44" t="n"/>
      <c r="AJ87" s="44" t="n"/>
      <c r="AK87" s="44" t="n"/>
      <c r="AL87" s="44" t="n"/>
      <c r="AM87" s="44" t="n">
        <v>405.1148399665695</v>
      </c>
      <c r="AN87" s="44" t="n"/>
      <c r="AO87" s="44" t="n"/>
      <c r="AP87" s="44" t="n"/>
      <c r="AQ87" s="44" t="n">
        <v>513.3497009324537</v>
      </c>
      <c r="AR87" s="44" t="n"/>
      <c r="AS87" s="44" t="n"/>
      <c r="AT87" s="44" t="n"/>
      <c r="AU87" s="44" t="n">
        <v>874.4344272178362</v>
      </c>
      <c r="AV87" s="44" t="n"/>
      <c r="AW87" s="44" t="n"/>
      <c r="AX87" s="44" t="n"/>
      <c r="AY87" s="44" t="n"/>
      <c r="AZ87" s="44" t="n">
        <v>809.7074178543893</v>
      </c>
      <c r="BA87" s="44" t="n"/>
      <c r="BB87" s="44" t="n"/>
      <c r="BC87" s="44" t="n"/>
      <c r="BD87" s="44" t="n">
        <v>467.9585176357235</v>
      </c>
    </row>
    <row r="88" ht="15.75" customHeight="1">
      <c r="B88" s="7" t="inlineStr">
        <is>
          <t>As % of budget - this month</t>
        </is>
      </c>
      <c r="D88" s="17" t="inlineStr">
        <is>
          <t>%</t>
        </is>
      </c>
      <c r="E88" s="43" t="n"/>
      <c r="F88" s="43" t="n"/>
      <c r="G88" s="43" t="n"/>
      <c r="H88" s="43" t="n"/>
      <c r="I88" s="43" t="n"/>
      <c r="J88" s="43" t="n"/>
      <c r="K88" s="43" t="n"/>
      <c r="L88" s="43" t="n"/>
      <c r="M88" s="43" t="n"/>
      <c r="N88" s="43" t="n"/>
      <c r="O88" s="43" t="n"/>
      <c r="P88" s="43" t="n"/>
      <c r="Q88" s="43" t="n"/>
      <c r="R88" s="43" t="n"/>
      <c r="S88" s="43" t="n"/>
      <c r="T88" s="43" t="n"/>
      <c r="U88" s="43" t="n"/>
      <c r="V88" s="43" t="n"/>
      <c r="W88" s="43" t="n"/>
      <c r="X88" s="43" t="n"/>
      <c r="Y88" s="43" t="n"/>
      <c r="Z88" s="43" t="n"/>
      <c r="AA88" s="43" t="n"/>
      <c r="AB88" s="43" t="n"/>
      <c r="AC88" s="43" t="n"/>
      <c r="AD88" s="43" t="n"/>
      <c r="AE88" s="43" t="n"/>
      <c r="AF88" s="43" t="n"/>
      <c r="AG88" s="43" t="n"/>
      <c r="AH88" s="43" t="n"/>
      <c r="AI88" s="43" t="n"/>
      <c r="AJ88" s="43" t="n"/>
      <c r="AK88" s="43" t="n"/>
      <c r="AL88" s="43" t="n"/>
      <c r="AM88" s="43" t="n"/>
      <c r="AN88" s="43" t="n"/>
      <c r="AO88" s="43" t="n"/>
      <c r="AP88" s="43" t="n"/>
      <c r="AQ88" s="43" t="n"/>
      <c r="AR88" s="43" t="n"/>
      <c r="AS88" s="43" t="n"/>
      <c r="AT88" s="43" t="n"/>
      <c r="AU88" s="43" t="n"/>
      <c r="AV88" s="43" t="n"/>
      <c r="AW88" s="43" t="n"/>
      <c r="AX88" s="43" t="n"/>
      <c r="AY88" s="43" t="n"/>
      <c r="AZ88" s="43" t="n"/>
      <c r="BA88" s="43" t="n"/>
      <c r="BB88" s="43" t="n"/>
      <c r="BC88" s="43" t="n"/>
      <c r="BD88" s="43" t="n"/>
    </row>
    <row r="89" ht="15.75" customHeight="1">
      <c r="B89" s="7" t="inlineStr">
        <is>
          <t>As % of quarterly budget (QTD)</t>
        </is>
      </c>
      <c r="D89" s="17" t="inlineStr">
        <is>
          <t>%</t>
        </is>
      </c>
      <c r="E89" s="43" t="n"/>
      <c r="F89" s="43" t="n"/>
      <c r="G89" s="43" t="n"/>
      <c r="H89" s="43" t="n"/>
      <c r="I89" s="43" t="n"/>
      <c r="J89" s="43" t="n"/>
      <c r="K89" s="43" t="n"/>
      <c r="L89" s="43" t="n"/>
      <c r="M89" s="43" t="n"/>
      <c r="N89" s="43" t="n"/>
      <c r="O89" s="43" t="n"/>
      <c r="P89" s="43" t="n"/>
      <c r="Q89" s="43" t="n"/>
      <c r="R89" s="43" t="n"/>
      <c r="S89" s="43" t="n"/>
      <c r="T89" s="43" t="n"/>
      <c r="U89" s="43" t="n"/>
      <c r="V89" s="43" t="n"/>
      <c r="W89" s="43" t="n"/>
      <c r="X89" s="43" t="n"/>
      <c r="Y89" s="43" t="n"/>
      <c r="Z89" s="43" t="n"/>
      <c r="AA89" s="43" t="n"/>
      <c r="AB89" s="43" t="n"/>
      <c r="AC89" s="43" t="n"/>
      <c r="AD89" s="43" t="n"/>
      <c r="AE89" s="43" t="n"/>
      <c r="AF89" s="43" t="n"/>
      <c r="AG89" s="43" t="n"/>
      <c r="AH89" s="43" t="n"/>
      <c r="AI89" s="43" t="n"/>
      <c r="AJ89" s="43" t="n"/>
      <c r="AK89" s="43" t="n"/>
      <c r="AL89" s="43" t="n"/>
      <c r="AM89" s="43" t="n"/>
      <c r="AN89" s="43" t="n"/>
      <c r="AO89" s="43" t="n"/>
      <c r="AP89" s="43" t="n"/>
      <c r="AQ89" s="43" t="n"/>
      <c r="AR89" s="43" t="n"/>
      <c r="AS89" s="43" t="n"/>
      <c r="AT89" s="43" t="n"/>
      <c r="AU89" s="43" t="n"/>
      <c r="AV89" s="43" t="n"/>
      <c r="AW89" s="43" t="n"/>
      <c r="AX89" s="43" t="n"/>
      <c r="AY89" s="43" t="n"/>
      <c r="AZ89" s="43" t="n"/>
      <c r="BA89" s="43" t="n"/>
      <c r="BB89" s="43" t="n"/>
      <c r="BC89" s="43" t="n"/>
      <c r="BD89" s="43" t="n"/>
    </row>
    <row r="90" ht="15.75" customHeight="1">
      <c r="B90" s="7" t="inlineStr">
        <is>
          <t>As % of annual budget (YTD)</t>
        </is>
      </c>
      <c r="D90" s="17" t="inlineStr">
        <is>
          <t>%</t>
        </is>
      </c>
      <c r="E90" s="43" t="n"/>
      <c r="F90" s="43" t="n"/>
      <c r="G90" s="43" t="n"/>
      <c r="H90" s="43" t="n"/>
      <c r="I90" s="43" t="n"/>
      <c r="J90" s="43" t="n"/>
      <c r="K90" s="43" t="n"/>
      <c r="L90" s="43" t="n"/>
      <c r="M90" s="43" t="n"/>
      <c r="N90" s="43" t="n"/>
      <c r="O90" s="43" t="n"/>
      <c r="P90" s="43" t="n"/>
      <c r="Q90" s="43" t="n"/>
      <c r="R90" s="43" t="n"/>
      <c r="S90" s="43" t="n"/>
      <c r="T90" s="43" t="n"/>
      <c r="U90" s="43" t="n"/>
      <c r="V90" s="43" t="n"/>
      <c r="W90" s="43" t="n"/>
      <c r="X90" s="43" t="n"/>
      <c r="Y90" s="43" t="n"/>
      <c r="Z90" s="43" t="n"/>
      <c r="AA90" s="43" t="n"/>
      <c r="AB90" s="43" t="n"/>
      <c r="AC90" s="43" t="n"/>
      <c r="AD90" s="43" t="n"/>
      <c r="AE90" s="43" t="n"/>
      <c r="AF90" s="43" t="n"/>
      <c r="AG90" s="43" t="n"/>
      <c r="AH90" s="43" t="n"/>
      <c r="AI90" s="43" t="n"/>
      <c r="AJ90" s="43" t="n"/>
      <c r="AK90" s="43" t="n"/>
      <c r="AL90" s="43" t="n"/>
      <c r="AM90" s="43" t="n"/>
      <c r="AN90" s="43" t="n"/>
      <c r="AO90" s="43" t="n"/>
      <c r="AP90" s="43" t="n"/>
      <c r="AQ90" s="43" t="n"/>
      <c r="AR90" s="43" t="n"/>
      <c r="AS90" s="43" t="n"/>
      <c r="AT90" s="43" t="n"/>
      <c r="AU90" s="43" t="n"/>
      <c r="AV90" s="43" t="n"/>
      <c r="AW90" s="43" t="n"/>
      <c r="AX90" s="43" t="n"/>
      <c r="AY90" s="43" t="n"/>
      <c r="AZ90" s="43" t="n"/>
      <c r="BA90" s="43" t="n"/>
      <c r="BB90" s="43" t="n"/>
      <c r="BC90" s="43" t="n"/>
      <c r="BD90" s="43" t="n"/>
    </row>
    <row r="91"/>
    <row r="92"/>
    <row r="93" customFormat="1" s="26">
      <c r="A93" s="25" t="inlineStr">
        <is>
          <t>Walmart (1P+3P)</t>
        </is>
      </c>
      <c r="D93" s="27" t="n"/>
    </row>
    <row r="94">
      <c r="A94" s="40" t="inlineStr">
        <is>
          <t>Sell-in value</t>
        </is>
      </c>
      <c r="D94" s="24" t="inlineStr">
        <is>
          <t>$k</t>
        </is>
      </c>
      <c r="E94" s="42" t="n">
        <v>243.74</v>
      </c>
      <c r="F94" s="42" t="n">
        <v>33.165</v>
      </c>
      <c r="G94" s="42" t="n">
        <v>31.698</v>
      </c>
      <c r="H94" s="42" t="n">
        <v>48.813</v>
      </c>
      <c r="I94" s="42" t="n">
        <v>160.658</v>
      </c>
      <c r="J94" s="42" t="n">
        <v>79.217</v>
      </c>
      <c r="K94" s="42" t="n">
        <v>46.368</v>
      </c>
      <c r="L94" s="42" t="n">
        <v>66.126</v>
      </c>
      <c r="M94" s="42" t="n">
        <v>178.761</v>
      </c>
      <c r="N94" s="42" t="n">
        <v>108.011</v>
      </c>
      <c r="O94" s="42" t="n">
        <v>97.503</v>
      </c>
      <c r="P94" s="42" t="n">
        <v>109.854</v>
      </c>
      <c r="Q94" s="42" t="n">
        <v>148.71</v>
      </c>
      <c r="R94" s="42" t="n">
        <v>74.373</v>
      </c>
      <c r="S94" s="42" t="n">
        <v>200.686</v>
      </c>
      <c r="T94" s="42" t="n">
        <v>269.422</v>
      </c>
      <c r="U94" s="42" t="n">
        <v>985.244</v>
      </c>
      <c r="V94" s="42" t="n">
        <v>1503.894</v>
      </c>
      <c r="W94" s="42" t="n">
        <v>487.053</v>
      </c>
      <c r="X94" s="42" t="n">
        <v>133.984</v>
      </c>
      <c r="Y94" s="42" t="n">
        <v>141.157</v>
      </c>
      <c r="Z94" s="42" t="n">
        <v>183.899</v>
      </c>
      <c r="AA94" s="42" t="n">
        <v>192.445</v>
      </c>
      <c r="AB94" s="42" t="n">
        <v>168.253</v>
      </c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</row>
    <row r="95" customFormat="1" s="4">
      <c r="A95" s="3" t="n"/>
      <c r="B95" s="4" t="inlineStr">
        <is>
          <t>% of Total - YTD</t>
        </is>
      </c>
      <c r="D95" s="33" t="inlineStr">
        <is>
          <t>%</t>
        </is>
      </c>
      <c r="E95" s="46">
        <f>IFERROR(SUM($E$94:E94)/SUM($E$3:E3),"")</f>
        <v/>
      </c>
      <c r="F95" s="46">
        <f>IFERROR(SUM($E$94:F94)/SUM($E$3:F3),"")</f>
        <v/>
      </c>
      <c r="G95" s="46">
        <f>IFERROR(SUM($E$94:G94)/SUM($E$3:G3),"")</f>
        <v/>
      </c>
      <c r="H95" s="46">
        <f>IFERROR(SUM($E$94:H94)/SUM($E$3:H3),"")</f>
        <v/>
      </c>
      <c r="I95" s="46">
        <f>IFERROR(SUM($E$94:I94)/SUM($E$3:I3),"")</f>
        <v/>
      </c>
      <c r="J95" s="46">
        <f>IFERROR(SUM($E$94:J94)/SUM($E$3:J3),"")</f>
        <v/>
      </c>
      <c r="K95" s="46">
        <f>IFERROR(SUM($E$94:K94)/SUM($E$3:K3),"")</f>
        <v/>
      </c>
      <c r="L95" s="46">
        <f>IFERROR(SUM($E$94:L94)/SUM($E$3:L3),"")</f>
        <v/>
      </c>
      <c r="M95" s="46">
        <f>IFERROR(SUM($E$94:M94)/SUM($E$3:M3),"")</f>
        <v/>
      </c>
      <c r="N95" s="46">
        <f>IFERROR(SUM($E$94:N94)/SUM($E$3:N3),"")</f>
        <v/>
      </c>
      <c r="O95" s="46">
        <f>IFERROR(SUM($E$94:O94)/SUM($E$3:O3),"")</f>
        <v/>
      </c>
      <c r="P95" s="46">
        <f>IFERROR(SUM($E$94:P94)/SUM($E$3:P3),"")</f>
        <v/>
      </c>
      <c r="Q95" s="46">
        <f>IFERROR(SUM($E$94:Q94)/SUM($E$3:Q3),"")</f>
        <v/>
      </c>
      <c r="R95" s="46">
        <f>IFERROR(SUM($E$94:R94)/SUM($E$3:R3),"")</f>
        <v/>
      </c>
      <c r="S95" s="46">
        <f>IFERROR(SUM($E$94:S94)/SUM($E$3:S3),"")</f>
        <v/>
      </c>
      <c r="T95" s="46">
        <f>IFERROR(SUM($E$94:T94)/SUM($E$3:T3),"")</f>
        <v/>
      </c>
      <c r="U95" s="46">
        <f>IFERROR(SUM($E$94:U94)/SUM($E$3:U3),"")</f>
        <v/>
      </c>
      <c r="V95" s="46">
        <f>IFERROR(SUM($E$94:V94)/SUM($E$3:V3),"")</f>
        <v/>
      </c>
      <c r="W95" s="46">
        <f>IFERROR(SUM($E$94:W94)/SUM($E$3:W3),"")</f>
        <v/>
      </c>
      <c r="X95" s="46">
        <f>IFERROR(SUM($E$94:X94)/SUM($E$3:X3),"")</f>
        <v/>
      </c>
      <c r="Y95" s="46">
        <f>IFERROR(SUM($E$94:Y94)/SUM($E$3:Y3),"")</f>
        <v/>
      </c>
      <c r="Z95" s="46">
        <f>IFERROR(SUM($E$94:Z94)/SUM($E$3:Z3),"")</f>
        <v/>
      </c>
      <c r="AA95" s="46">
        <f>IFERROR(SUM($E$94:AA94)/SUM($E$3:AA3),"")</f>
        <v/>
      </c>
      <c r="AB95" s="46">
        <f>IFERROR(SUM($E$94:AB94)/SUM($E$3:AB3),"")</f>
        <v/>
      </c>
      <c r="AC95" s="46" t="n"/>
      <c r="AD95" s="46" t="n"/>
      <c r="AE95" s="46" t="n"/>
      <c r="AF95" s="46" t="n"/>
      <c r="AG95" s="46" t="n"/>
      <c r="AH95" s="46" t="n"/>
      <c r="AI95" s="46" t="n"/>
      <c r="AJ95" s="46" t="n"/>
      <c r="AK95" s="46" t="n"/>
      <c r="AL95" s="46" t="n"/>
      <c r="AM95" s="46" t="n"/>
      <c r="AN95" s="46" t="n"/>
      <c r="AO95" s="46" t="n"/>
      <c r="AP95" s="46" t="n"/>
      <c r="AQ95" s="46" t="n"/>
      <c r="AR95" s="46" t="n"/>
      <c r="AS95" s="46" t="n"/>
      <c r="AT95" s="46" t="n"/>
      <c r="AU95" s="46" t="n"/>
      <c r="AV95" s="46" t="n"/>
      <c r="AW95" s="46" t="n"/>
      <c r="AX95" s="46" t="n"/>
      <c r="AY95" s="46" t="n"/>
      <c r="AZ95" s="46" t="n"/>
      <c r="BA95" s="46" t="n"/>
      <c r="BB95" s="46" t="n"/>
      <c r="BC95" s="46" t="n"/>
      <c r="BD95" s="46" t="n"/>
    </row>
    <row r="96" customFormat="1" s="7">
      <c r="B96" s="7" t="inlineStr">
        <is>
          <t>% of Target</t>
        </is>
      </c>
      <c r="D96" s="8" t="inlineStr">
        <is>
          <t>%</t>
        </is>
      </c>
      <c r="E96" s="43">
        <f>IFERROR(E94/E98,"")</f>
        <v/>
      </c>
      <c r="F96" s="43">
        <f>IFERROR(F94/F98,"")</f>
        <v/>
      </c>
      <c r="G96" s="43">
        <f>IFERROR(G94/G98,"")</f>
        <v/>
      </c>
      <c r="H96" s="43">
        <f>IFERROR(H94/H98,"")</f>
        <v/>
      </c>
      <c r="I96" s="43">
        <f>IFERROR(I94/I98,"")</f>
        <v/>
      </c>
      <c r="J96" s="43">
        <f>IFERROR(J94/J98,"")</f>
        <v/>
      </c>
      <c r="K96" s="43">
        <f>IFERROR(K94/K98,"")</f>
        <v/>
      </c>
      <c r="L96" s="43">
        <f>IFERROR(L94/L98,"")</f>
        <v/>
      </c>
      <c r="M96" s="43">
        <f>IFERROR(M94/M98,"")</f>
        <v/>
      </c>
      <c r="N96" s="43">
        <f>IFERROR(N94/N98,"")</f>
        <v/>
      </c>
      <c r="O96" s="43">
        <f>IFERROR(O94/O98,"")</f>
        <v/>
      </c>
      <c r="P96" s="43">
        <f>IFERROR(P94/P98,"")</f>
        <v/>
      </c>
      <c r="Q96" s="43">
        <f>IFERROR(Q94/Q98,"")</f>
        <v/>
      </c>
      <c r="R96" s="43">
        <f>IFERROR(R94/R98,"")</f>
        <v/>
      </c>
      <c r="S96" s="43">
        <f>IFERROR(S94/S98,"")</f>
        <v/>
      </c>
      <c r="T96" s="43">
        <f>IFERROR(T94/T98,"")</f>
        <v/>
      </c>
      <c r="U96" s="43">
        <f>IFERROR(U94/U98,"")</f>
        <v/>
      </c>
      <c r="V96" s="43">
        <f>IFERROR(V94/V98,"")</f>
        <v/>
      </c>
      <c r="W96" s="43">
        <f>IFERROR(W94/W98,"")</f>
        <v/>
      </c>
      <c r="X96" s="43">
        <f>IFERROR(X94/X98,"")</f>
        <v/>
      </c>
      <c r="Y96" s="43">
        <f>IFERROR(Y94/Y98,"")</f>
        <v/>
      </c>
      <c r="Z96" s="43">
        <f>IFERROR(Z94/Z98,"")</f>
        <v/>
      </c>
      <c r="AA96" s="43">
        <f>IFERROR(AA94/AA98,"")</f>
        <v/>
      </c>
      <c r="AB96" s="43">
        <f>IFERROR(AB94/AB98,"")</f>
        <v/>
      </c>
      <c r="AC96" s="43" t="n"/>
      <c r="AD96" s="43" t="n"/>
      <c r="AE96" s="43" t="n"/>
      <c r="AF96" s="43" t="n"/>
      <c r="AG96" s="43" t="n"/>
      <c r="AH96" s="43" t="n"/>
      <c r="AI96" s="43" t="n"/>
      <c r="AJ96" s="43" t="n"/>
      <c r="AK96" s="43" t="n"/>
      <c r="AL96" s="43" t="n"/>
      <c r="AM96" s="43" t="n"/>
      <c r="AN96" s="43" t="n"/>
      <c r="AO96" s="43" t="n"/>
      <c r="AP96" s="43" t="n"/>
      <c r="AQ96" s="43" t="n"/>
      <c r="AR96" s="43" t="n"/>
      <c r="AS96" s="43" t="n"/>
      <c r="AT96" s="43" t="n"/>
      <c r="AU96" s="43" t="n"/>
      <c r="AV96" s="43" t="n"/>
      <c r="AW96" s="43" t="n"/>
      <c r="AX96" s="43" t="n"/>
      <c r="AY96" s="43" t="n"/>
      <c r="AZ96" s="43" t="n"/>
      <c r="BA96" s="43" t="n"/>
      <c r="BB96" s="43" t="n"/>
      <c r="BC96" s="43" t="n"/>
      <c r="BD96" s="43" t="n"/>
    </row>
    <row r="97" ht="15.75" customFormat="1" customHeight="1" s="7">
      <c r="B97" s="7" t="inlineStr">
        <is>
          <t>% of Target - YTD</t>
        </is>
      </c>
      <c r="C97" s="16" t="n"/>
      <c r="D97" s="17" t="inlineStr">
        <is>
          <t>%</t>
        </is>
      </c>
      <c r="E97" s="43">
        <f>IFERROR(SUMIF($E$98:E98,"&lt;&gt;",$E$94:E94)/SUM($E$98:E98),"")</f>
        <v/>
      </c>
      <c r="F97" s="43">
        <f>IFERROR(SUMIF($E$98:F98,"&lt;&gt;",$E$94:F94)/SUM($E$98:F98),"")</f>
        <v/>
      </c>
      <c r="G97" s="43">
        <f>IFERROR(SUMIF($E$98:G98,"&lt;&gt;",$E$94:G94)/SUM($E$98:G98),"")</f>
        <v/>
      </c>
      <c r="H97" s="43">
        <f>IFERROR(SUMIF($E$98:H98,"&lt;&gt;",$E$94:H94)/SUM($E$98:H98),"")</f>
        <v/>
      </c>
      <c r="I97" s="43">
        <f>IFERROR(SUMIF($E$98:I98,"&lt;&gt;",$E$94:I94)/SUM($E$98:I98),"")</f>
        <v/>
      </c>
      <c r="J97" s="43">
        <f>IFERROR(SUMIF($E$98:J98,"&lt;&gt;",$E$94:J94)/SUM($E$98:J98),"")</f>
        <v/>
      </c>
      <c r="K97" s="43">
        <f>IFERROR(SUMIF($E$98:K98,"&lt;&gt;",$E$94:K94)/SUM($E$98:K98),"")</f>
        <v/>
      </c>
      <c r="L97" s="43">
        <f>IFERROR(SUMIF($E$98:L98,"&lt;&gt;",$E$94:L94)/SUM($E$98:L98),"")</f>
        <v/>
      </c>
      <c r="M97" s="43">
        <f>IFERROR(SUMIF($E$98:M98,"&lt;&gt;",$E$94:M94)/SUM($E$98:M98),"")</f>
        <v/>
      </c>
      <c r="N97" s="43">
        <f>IFERROR(SUMIF($E$98:N98,"&lt;&gt;",$E$94:N94)/SUM($E$98:N98),"")</f>
        <v/>
      </c>
      <c r="O97" s="43">
        <f>IFERROR(SUMIF($E$98:O98,"&lt;&gt;",$E$94:O94)/SUM($E$98:O98),"")</f>
        <v/>
      </c>
      <c r="P97" s="43">
        <f>IFERROR(SUMIF($E$98:P98,"&lt;&gt;",$E$94:P94)/SUM($E$98:P98),"")</f>
        <v/>
      </c>
      <c r="Q97" s="43">
        <f>IFERROR(SUMIF($E$98:Q98,"&lt;&gt;",$E$94:Q94)/SUM($E$98:Q98),"")</f>
        <v/>
      </c>
      <c r="R97" s="43">
        <f>IFERROR(SUMIF($E$98:R98,"&lt;&gt;",$E$94:R94)/SUM($E$98:R98),"")</f>
        <v/>
      </c>
      <c r="S97" s="43">
        <f>IFERROR(SUMIF($E$98:S98,"&lt;&gt;",$E$94:S94)/SUM($E$98:S98),"")</f>
        <v/>
      </c>
      <c r="T97" s="43">
        <f>IFERROR(SUMIF($E$98:T98,"&lt;&gt;",$E$94:T94)/SUM($E$98:T98),"")</f>
        <v/>
      </c>
      <c r="U97" s="43">
        <f>IFERROR(SUMIF($E$98:U98,"&lt;&gt;",$E$94:U94)/SUM($E$98:U98),"")</f>
        <v/>
      </c>
      <c r="V97" s="43">
        <f>IFERROR(SUMIF($E$98:V98,"&lt;&gt;",$E$94:V94)/SUM($E$98:V98),"")</f>
        <v/>
      </c>
      <c r="W97" s="43">
        <f>IFERROR(SUMIF($E$98:W98,"&lt;&gt;",$E$94:W94)/SUM($E$98:W98),"")</f>
        <v/>
      </c>
      <c r="X97" s="43">
        <f>IFERROR(SUMIF($E$98:X98,"&lt;&gt;",$E$94:X94)/SUM($E$98:X98),"")</f>
        <v/>
      </c>
      <c r="Y97" s="43">
        <f>IFERROR(SUMIF($E$98:Y98,"&lt;&gt;",$E$94:Y94)/SUM($E$98:Y98),"")</f>
        <v/>
      </c>
      <c r="Z97" s="43">
        <f>IFERROR(SUMIF($E$98:Z98,"&lt;&gt;",$E$94:Z94)/SUM($E$98:Z98),"")</f>
        <v/>
      </c>
      <c r="AA97" s="43">
        <f>IFERROR(SUMIF($E$98:AA98,"&lt;&gt;",$E$94:AA94)/SUM($E$98:AA98),"")</f>
        <v/>
      </c>
      <c r="AB97" s="43">
        <f>IFERROR(SUMIF($E$98:AB98,"&lt;&gt;",$E$94:AB94)/SUM($E$98:AB98),"")</f>
        <v/>
      </c>
      <c r="AC97" s="43" t="n"/>
      <c r="AD97" s="43" t="n"/>
      <c r="AE97" s="43" t="n"/>
      <c r="AF97" s="43" t="n"/>
      <c r="AG97" s="43" t="n"/>
      <c r="AH97" s="43" t="n"/>
      <c r="AI97" s="43" t="n"/>
      <c r="AJ97" s="43" t="n"/>
      <c r="AK97" s="43" t="n"/>
      <c r="AL97" s="43" t="n"/>
      <c r="AM97" s="43" t="n"/>
      <c r="AN97" s="43" t="n"/>
      <c r="AO97" s="43" t="n"/>
      <c r="AP97" s="43" t="n"/>
      <c r="AQ97" s="43" t="n"/>
      <c r="AR97" s="43" t="n"/>
      <c r="AS97" s="43" t="n"/>
      <c r="AT97" s="43" t="n"/>
      <c r="AU97" s="43" t="n"/>
      <c r="AV97" s="43" t="n"/>
      <c r="AW97" s="43" t="n"/>
      <c r="AX97" s="43" t="n"/>
      <c r="AY97" s="43" t="n"/>
      <c r="AZ97" s="43" t="n"/>
      <c r="BA97" s="43" t="n"/>
      <c r="BB97" s="43" t="n"/>
      <c r="BC97" s="43" t="n"/>
      <c r="BD97" s="43" t="n"/>
    </row>
    <row r="98" customFormat="1" s="9">
      <c r="B98" s="9" t="inlineStr">
        <is>
          <t>Target</t>
        </is>
      </c>
      <c r="D98" s="10" t="inlineStr">
        <is>
          <t>$k</t>
        </is>
      </c>
      <c r="E98" s="44" t="n">
        <v>84.40602473600001</v>
      </c>
      <c r="F98" s="44" t="n">
        <v>147.710543288</v>
      </c>
      <c r="G98" s="44" t="n">
        <v>147.710543288</v>
      </c>
      <c r="H98" s="44" t="n">
        <v>147.710543288</v>
      </c>
      <c r="I98" s="44" t="n">
        <v>151.501587962</v>
      </c>
      <c r="J98" s="44" t="n">
        <v>174.24925</v>
      </c>
      <c r="K98" s="44" t="n">
        <v>174.24925</v>
      </c>
      <c r="L98" s="44" t="n">
        <v>174.24925</v>
      </c>
      <c r="M98" s="44" t="n">
        <v>202.553270168</v>
      </c>
      <c r="N98" s="44" t="n">
        <v>372.375997182</v>
      </c>
      <c r="O98" s="44" t="n">
        <v>372.375997182</v>
      </c>
      <c r="P98" s="44" t="n">
        <v>372.375997182</v>
      </c>
      <c r="Q98" s="44" t="n">
        <v>372.375997182</v>
      </c>
      <c r="R98" s="44" t="n">
        <v>229.260554453</v>
      </c>
      <c r="S98" s="44" t="n">
        <v>172.013787599</v>
      </c>
      <c r="T98" s="44" t="n">
        <v>172.013787599</v>
      </c>
      <c r="U98" s="44" t="n">
        <v>172.013787599</v>
      </c>
      <c r="V98" s="44" t="n">
        <v>260.847291523</v>
      </c>
      <c r="W98" s="44" t="n">
        <v>379.292209156</v>
      </c>
      <c r="X98" s="44" t="n">
        <v>379.292209156</v>
      </c>
      <c r="Y98" s="44" t="n">
        <v>379.292209156</v>
      </c>
      <c r="Z98" s="44" t="n">
        <v>379.292209156</v>
      </c>
      <c r="AA98" s="44" t="n">
        <v>183.309204796</v>
      </c>
      <c r="AB98" s="44" t="n">
        <v>183.309204796</v>
      </c>
      <c r="AC98" s="44" t="n"/>
      <c r="AD98" s="44" t="n"/>
      <c r="AE98" s="44" t="n"/>
      <c r="AF98" s="44" t="n"/>
      <c r="AG98" s="44" t="n"/>
      <c r="AH98" s="44" t="n"/>
      <c r="AI98" s="44" t="n"/>
      <c r="AJ98" s="44" t="n"/>
      <c r="AK98" s="44" t="n"/>
      <c r="AL98" s="44" t="n"/>
      <c r="AM98" s="44" t="n"/>
      <c r="AN98" s="44" t="n"/>
      <c r="AO98" s="44" t="n"/>
      <c r="AP98" s="44" t="n"/>
      <c r="AQ98" s="44" t="n"/>
      <c r="AR98" s="44" t="n"/>
      <c r="AS98" s="44" t="n"/>
      <c r="AT98" s="44" t="n"/>
      <c r="AU98" s="44" t="n"/>
      <c r="AV98" s="44" t="n"/>
      <c r="AW98" s="44" t="n"/>
      <c r="AX98" s="44" t="n"/>
      <c r="AY98" s="44" t="n"/>
      <c r="AZ98" s="44" t="n"/>
      <c r="BA98" s="44" t="n"/>
      <c r="BB98" s="44" t="n"/>
      <c r="BC98" s="44" t="n"/>
      <c r="BD98" s="44" t="n"/>
    </row>
    <row r="99"/>
    <row r="100">
      <c r="A100" s="40" t="inlineStr">
        <is>
          <t xml:space="preserve">Sell-through units </t>
        </is>
      </c>
      <c r="D100" s="24" t="inlineStr">
        <is>
          <t>#</t>
        </is>
      </c>
      <c r="E100" s="42" t="n">
        <v>443</v>
      </c>
      <c r="F100" s="42" t="n">
        <v>380</v>
      </c>
      <c r="G100" s="42" t="n">
        <v>281</v>
      </c>
      <c r="H100" s="42" t="n">
        <v>251</v>
      </c>
      <c r="I100" s="42" t="n">
        <v>347</v>
      </c>
      <c r="J100" s="42" t="n">
        <v>393</v>
      </c>
      <c r="K100" s="42" t="n">
        <v>539</v>
      </c>
      <c r="L100" s="42" t="n">
        <v>506</v>
      </c>
      <c r="M100" s="42" t="n">
        <v>568</v>
      </c>
      <c r="N100" s="42" t="n">
        <v>391</v>
      </c>
      <c r="O100" s="42" t="n">
        <v>437</v>
      </c>
      <c r="P100" s="42" t="n">
        <v>502</v>
      </c>
      <c r="Q100" s="42" t="n">
        <v>612</v>
      </c>
      <c r="R100" s="42" t="n">
        <v>504</v>
      </c>
      <c r="S100" s="42" t="n">
        <v>565</v>
      </c>
      <c r="T100" s="42" t="n">
        <v>394</v>
      </c>
      <c r="U100" s="42" t="n">
        <v>2704</v>
      </c>
      <c r="V100" s="42" t="n">
        <v>4270</v>
      </c>
      <c r="W100" s="42" t="n">
        <v>4817</v>
      </c>
      <c r="X100" s="42" t="n">
        <v>5570</v>
      </c>
      <c r="Y100" s="42" t="n">
        <v>6792</v>
      </c>
      <c r="Z100" s="42" t="n">
        <v>6794</v>
      </c>
      <c r="AA100" s="42" t="n">
        <v>6473</v>
      </c>
      <c r="AB100" s="42" t="n">
        <v>6070</v>
      </c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</row>
    <row r="101" customFormat="1" s="4">
      <c r="A101" s="3" t="n"/>
      <c r="B101" s="4" t="inlineStr">
        <is>
          <t>% of Total - YTD</t>
        </is>
      </c>
      <c r="D101" s="33" t="inlineStr">
        <is>
          <t>%</t>
        </is>
      </c>
      <c r="E101" s="46">
        <f>IFERROR(SUM($E$100:E100)/SUM($E$4:E4),"")</f>
        <v/>
      </c>
      <c r="F101" s="46">
        <f>IFERROR(SUM($E$100:F100)/SUM($E$4:F4),"")</f>
        <v/>
      </c>
      <c r="G101" s="46">
        <f>IFERROR(SUM($E$100:G100)/SUM($E$4:G4),"")</f>
        <v/>
      </c>
      <c r="H101" s="46">
        <f>IFERROR(SUM($E$100:H100)/SUM($E$4:H4),"")</f>
        <v/>
      </c>
      <c r="I101" s="46">
        <f>IFERROR(SUM($E$100:I100)/SUM($E$4:I4),"")</f>
        <v/>
      </c>
      <c r="J101" s="46">
        <f>IFERROR(SUM($E$100:J100)/SUM($E$4:J4),"")</f>
        <v/>
      </c>
      <c r="K101" s="46">
        <f>IFERROR(SUM($E$100:K100)/SUM($E$4:K4),"")</f>
        <v/>
      </c>
      <c r="L101" s="46">
        <f>IFERROR(SUM($E$100:L100)/SUM($E$4:L4),"")</f>
        <v/>
      </c>
      <c r="M101" s="46">
        <f>IFERROR(SUM($E$100:M100)/SUM($E$4:M4),"")</f>
        <v/>
      </c>
      <c r="N101" s="46">
        <f>IFERROR(SUM($E$100:N100)/SUM($E$4:N4),"")</f>
        <v/>
      </c>
      <c r="O101" s="46">
        <f>IFERROR(SUM($E$100:O100)/SUM($E$4:O4),"")</f>
        <v/>
      </c>
      <c r="P101" s="46">
        <f>IFERROR(SUM($E$100:P100)/SUM($E$4:P4),"")</f>
        <v/>
      </c>
      <c r="Q101" s="46">
        <f>IFERROR(SUM($E$100:Q100)/SUM($E$4:Q4),"")</f>
        <v/>
      </c>
      <c r="R101" s="46">
        <f>IFERROR(SUM($E$100:R100)/SUM($E$4:R4),"")</f>
        <v/>
      </c>
      <c r="S101" s="46">
        <f>IFERROR(SUM($E$100:S100)/SUM($E$4:S4),"")</f>
        <v/>
      </c>
      <c r="T101" s="46">
        <f>IFERROR(SUM($E$100:T100)/SUM($E$4:T4),"")</f>
        <v/>
      </c>
      <c r="U101" s="46">
        <f>IFERROR(SUM($E$100:U100)/SUM($E$4:U4),"")</f>
        <v/>
      </c>
      <c r="V101" s="46">
        <f>IFERROR(SUM($E$100:V100)/SUM($E$4:V4),"")</f>
        <v/>
      </c>
      <c r="W101" s="46">
        <f>IFERROR(SUM($E$100:W100)/SUM($E$4:W4),"")</f>
        <v/>
      </c>
      <c r="X101" s="46">
        <f>IFERROR(SUM($E$100:X100)/SUM($E$4:X4),"")</f>
        <v/>
      </c>
      <c r="Y101" s="46">
        <f>IFERROR(SUM($E$100:Y100)/SUM($E$4:Y4),"")</f>
        <v/>
      </c>
      <c r="Z101" s="46">
        <f>IFERROR(SUM($E$100:Z100)/SUM($E$4:Z4),"")</f>
        <v/>
      </c>
      <c r="AA101" s="46">
        <f>IFERROR(SUM($E$100:AA100)/SUM($E$4:AA4),"")</f>
        <v/>
      </c>
      <c r="AB101" s="46">
        <f>IFERROR(SUM($E$100:AB100)/SUM($E$4:AB4),"")</f>
        <v/>
      </c>
      <c r="AC101" s="46" t="n"/>
      <c r="AD101" s="46" t="n"/>
      <c r="AE101" s="46" t="n"/>
      <c r="AF101" s="46" t="n"/>
      <c r="AG101" s="46" t="n"/>
      <c r="AH101" s="46" t="n"/>
      <c r="AI101" s="46" t="n"/>
      <c r="AJ101" s="46" t="n"/>
      <c r="AK101" s="46" t="n"/>
      <c r="AL101" s="46" t="n"/>
      <c r="AM101" s="46" t="n"/>
      <c r="AN101" s="46" t="n"/>
      <c r="AO101" s="46" t="n"/>
      <c r="AP101" s="46" t="n"/>
      <c r="AQ101" s="46" t="n"/>
      <c r="AR101" s="46" t="n"/>
      <c r="AS101" s="46" t="n"/>
      <c r="AT101" s="46" t="n"/>
      <c r="AU101" s="46" t="n"/>
      <c r="AV101" s="46" t="n"/>
      <c r="AW101" s="46" t="n"/>
      <c r="AX101" s="46" t="n"/>
      <c r="AY101" s="46" t="n"/>
      <c r="AZ101" s="46" t="n"/>
      <c r="BA101" s="46" t="n"/>
      <c r="BB101" s="46" t="n"/>
      <c r="BC101" s="46" t="n"/>
      <c r="BD101" s="46" t="n"/>
    </row>
    <row r="102" customFormat="1" s="16">
      <c r="A102" s="15" t="n"/>
      <c r="B102" s="16" t="inlineStr">
        <is>
          <t>% of Target</t>
        </is>
      </c>
      <c r="D102" s="17" t="inlineStr">
        <is>
          <t>%</t>
        </is>
      </c>
      <c r="E102" s="43">
        <f>IFERROR(E100/E104,"")</f>
        <v/>
      </c>
      <c r="F102" s="43">
        <f>IFERROR(F100/F104,"")</f>
        <v/>
      </c>
      <c r="G102" s="43">
        <f>IFERROR(G100/G104,"")</f>
        <v/>
      </c>
      <c r="H102" s="43">
        <f>IFERROR(H100/H104,"")</f>
        <v/>
      </c>
      <c r="I102" s="43">
        <f>IFERROR(I100/I104,"")</f>
        <v/>
      </c>
      <c r="J102" s="43">
        <f>IFERROR(J100/J104,"")</f>
        <v/>
      </c>
      <c r="K102" s="43">
        <f>IFERROR(K100/K104,"")</f>
        <v/>
      </c>
      <c r="L102" s="43">
        <f>IFERROR(L100/L104,"")</f>
        <v/>
      </c>
      <c r="M102" s="43">
        <f>IFERROR(M100/M104,"")</f>
        <v/>
      </c>
      <c r="N102" s="43">
        <f>IFERROR(N100/N104,"")</f>
        <v/>
      </c>
      <c r="O102" s="43">
        <f>IFERROR(O100/O104,"")</f>
        <v/>
      </c>
      <c r="P102" s="43">
        <f>IFERROR(P100/P104,"")</f>
        <v/>
      </c>
      <c r="Q102" s="43">
        <f>IFERROR(Q100/Q104,"")</f>
        <v/>
      </c>
      <c r="R102" s="43">
        <f>IFERROR(R100/R104,"")</f>
        <v/>
      </c>
      <c r="S102" s="43">
        <f>IFERROR(S100/S104,"")</f>
        <v/>
      </c>
      <c r="T102" s="43">
        <f>IFERROR(T100/T104,"")</f>
        <v/>
      </c>
      <c r="U102" s="43">
        <f>IFERROR(U100/U104,"")</f>
        <v/>
      </c>
      <c r="V102" s="43">
        <f>IFERROR(V100/V104,"")</f>
        <v/>
      </c>
      <c r="W102" s="43">
        <f>IFERROR(W100/W104,"")</f>
        <v/>
      </c>
      <c r="X102" s="43">
        <f>IFERROR(X100/X104,"")</f>
        <v/>
      </c>
      <c r="Y102" s="43">
        <f>IFERROR(Y100/Y104,"")</f>
        <v/>
      </c>
      <c r="Z102" s="43">
        <f>IFERROR(Z100/Z104,"")</f>
        <v/>
      </c>
      <c r="AA102" s="43">
        <f>IFERROR(AA100/AA104,"")</f>
        <v/>
      </c>
      <c r="AB102" s="43">
        <f>IFERROR(AB100/AB104,"")</f>
        <v/>
      </c>
      <c r="AC102" s="43" t="n"/>
      <c r="AD102" s="43" t="n"/>
      <c r="AE102" s="43" t="n"/>
      <c r="AF102" s="43" t="n"/>
      <c r="AG102" s="43" t="n"/>
      <c r="AH102" s="43" t="n"/>
      <c r="AI102" s="43" t="n"/>
      <c r="AJ102" s="43" t="n"/>
      <c r="AK102" s="43" t="n"/>
      <c r="AL102" s="43" t="n"/>
      <c r="AM102" s="43" t="n"/>
      <c r="AN102" s="43" t="n"/>
      <c r="AO102" s="43" t="n"/>
      <c r="AP102" s="43" t="n"/>
      <c r="AQ102" s="43" t="n"/>
      <c r="AR102" s="43" t="n"/>
      <c r="AS102" s="43" t="n"/>
      <c r="AT102" s="43" t="n"/>
      <c r="AU102" s="43" t="n"/>
      <c r="AV102" s="43" t="n"/>
      <c r="AW102" s="43" t="n"/>
      <c r="AX102" s="43" t="n"/>
      <c r="AY102" s="43" t="n"/>
      <c r="AZ102" s="43" t="n"/>
      <c r="BA102" s="43" t="n"/>
      <c r="BB102" s="43" t="n"/>
      <c r="BC102" s="43" t="n"/>
      <c r="BD102" s="43" t="n"/>
    </row>
    <row r="103" ht="15.75" customFormat="1" customHeight="1" s="16">
      <c r="A103" s="15" t="n"/>
      <c r="B103" s="7" t="inlineStr">
        <is>
          <t>% of Target - YTD</t>
        </is>
      </c>
      <c r="D103" s="17" t="inlineStr">
        <is>
          <t>%</t>
        </is>
      </c>
      <c r="E103" s="43">
        <f>IFERROR(SUMIF($E$104:E104,"&lt;&gt;",$E$100:E100)/SUM($E$104:E104),"")</f>
        <v/>
      </c>
      <c r="F103" s="43">
        <f>IFERROR(SUMIF($E$104:F104,"&lt;&gt;",$E$100:F100)/SUM($E$104:F104),"")</f>
        <v/>
      </c>
      <c r="G103" s="43">
        <f>IFERROR(SUMIF($E$104:G104,"&lt;&gt;",$E$100:G100)/SUM($E$104:G104),"")</f>
        <v/>
      </c>
      <c r="H103" s="43">
        <f>IFERROR(SUMIF($E$104:H104,"&lt;&gt;",$E$100:H100)/SUM($E$104:H104),"")</f>
        <v/>
      </c>
      <c r="I103" s="43">
        <f>IFERROR(SUMIF($E$104:I104,"&lt;&gt;",$E$100:I100)/SUM($E$104:I104),"")</f>
        <v/>
      </c>
      <c r="J103" s="43">
        <f>IFERROR(SUMIF($E$104:J104,"&lt;&gt;",$E$100:J100)/SUM($E$104:J104),"")</f>
        <v/>
      </c>
      <c r="K103" s="43">
        <f>IFERROR(SUMIF($E$104:K104,"&lt;&gt;",$E$100:K100)/SUM($E$104:K104),"")</f>
        <v/>
      </c>
      <c r="L103" s="43">
        <f>IFERROR(SUMIF($E$104:L104,"&lt;&gt;",$E$100:L100)/SUM($E$104:L104),"")</f>
        <v/>
      </c>
      <c r="M103" s="43">
        <f>IFERROR(SUMIF($E$104:M104,"&lt;&gt;",$E$100:M100)/SUM($E$104:M104),"")</f>
        <v/>
      </c>
      <c r="N103" s="43">
        <f>IFERROR(SUMIF($E$104:N104,"&lt;&gt;",$E$100:N100)/SUM($E$104:N104),"")</f>
        <v/>
      </c>
      <c r="O103" s="43">
        <f>IFERROR(SUMIF($E$104:O104,"&lt;&gt;",$E$100:O100)/SUM($E$104:O104),"")</f>
        <v/>
      </c>
      <c r="P103" s="43">
        <f>IFERROR(SUMIF($E$104:P104,"&lt;&gt;",$E$100:P100)/SUM($E$104:P104),"")</f>
        <v/>
      </c>
      <c r="Q103" s="43">
        <f>IFERROR(SUMIF($E$104:Q104,"&lt;&gt;",$E$100:Q100)/SUM($E$104:Q104),"")</f>
        <v/>
      </c>
      <c r="R103" s="43">
        <f>IFERROR(SUMIF($E$104:R104,"&lt;&gt;",$E$100:R100)/SUM($E$104:R104),"")</f>
        <v/>
      </c>
      <c r="S103" s="43">
        <f>IFERROR(SUMIF($E$104:S104,"&lt;&gt;",$E$100:S100)/SUM($E$104:S104),"")</f>
        <v/>
      </c>
      <c r="T103" s="43">
        <f>IFERROR(SUMIF($E$104:T104,"&lt;&gt;",$E$100:T100)/SUM($E$104:T104),"")</f>
        <v/>
      </c>
      <c r="U103" s="43">
        <f>IFERROR(SUMIF($E$104:U104,"&lt;&gt;",$E$100:U100)/SUM($E$104:U104),"")</f>
        <v/>
      </c>
      <c r="V103" s="43">
        <f>IFERROR(SUMIF($E$104:V104,"&lt;&gt;",$E$100:V100)/SUM($E$104:V104),"")</f>
        <v/>
      </c>
      <c r="W103" s="43">
        <f>IFERROR(SUMIF($E$104:W104,"&lt;&gt;",$E$100:W100)/SUM($E$104:W104),"")</f>
        <v/>
      </c>
      <c r="X103" s="43">
        <f>IFERROR(SUMIF($E$104:X104,"&lt;&gt;",$E$100:X100)/SUM($E$104:X104),"")</f>
        <v/>
      </c>
      <c r="Y103" s="43">
        <f>IFERROR(SUMIF($E$104:Y104,"&lt;&gt;",$E$100:Y100)/SUM($E$104:Y104),"")</f>
        <v/>
      </c>
      <c r="Z103" s="43">
        <f>IFERROR(SUMIF($E$104:Z104,"&lt;&gt;",$E$100:Z100)/SUM($E$104:Z104),"")</f>
        <v/>
      </c>
      <c r="AA103" s="43">
        <f>IFERROR(SUMIF($E$104:AA104,"&lt;&gt;",$E$100:AA100)/SUM($E$104:AA104),"")</f>
        <v/>
      </c>
      <c r="AB103" s="43">
        <f>IFERROR(SUMIF($E$104:AB104,"&lt;&gt;",$E$100:AB100)/SUM($E$104:AB104),"")</f>
        <v/>
      </c>
      <c r="AC103" s="43" t="n"/>
      <c r="AD103" s="43" t="n"/>
      <c r="AE103" s="43" t="n"/>
      <c r="AF103" s="43" t="n"/>
      <c r="AG103" s="43" t="n"/>
      <c r="AH103" s="43" t="n"/>
      <c r="AI103" s="43" t="n"/>
      <c r="AJ103" s="43" t="n"/>
      <c r="AK103" s="43" t="n"/>
      <c r="AL103" s="43" t="n"/>
      <c r="AM103" s="43" t="n"/>
      <c r="AN103" s="43" t="n"/>
      <c r="AO103" s="43" t="n"/>
      <c r="AP103" s="43" t="n"/>
      <c r="AQ103" s="43" t="n"/>
      <c r="AR103" s="43" t="n"/>
      <c r="AS103" s="43" t="n"/>
      <c r="AT103" s="43" t="n"/>
      <c r="AU103" s="43" t="n"/>
      <c r="AV103" s="43" t="n"/>
      <c r="AW103" s="43" t="n"/>
      <c r="AX103" s="43" t="n"/>
      <c r="AY103" s="43" t="n"/>
      <c r="AZ103" s="43" t="n"/>
      <c r="BA103" s="43" t="n"/>
      <c r="BB103" s="43" t="n"/>
      <c r="BC103" s="43" t="n"/>
      <c r="BD103" s="43" t="n"/>
    </row>
    <row r="104" customFormat="1" s="13">
      <c r="A104" s="12" t="n"/>
      <c r="B104" s="13" t="inlineStr">
        <is>
          <t>Target</t>
        </is>
      </c>
      <c r="D104" s="14" t="inlineStr">
        <is>
          <t>#</t>
        </is>
      </c>
      <c r="E104" s="44" t="n"/>
      <c r="F104" s="44" t="n">
        <v>4147</v>
      </c>
      <c r="G104" s="44" t="n">
        <v>4141</v>
      </c>
      <c r="H104" s="44" t="n">
        <v>4141</v>
      </c>
      <c r="I104" s="44" t="n">
        <v>4137</v>
      </c>
      <c r="J104" s="44" t="n">
        <v>4904</v>
      </c>
      <c r="K104" s="44" t="n">
        <v>4908</v>
      </c>
      <c r="L104" s="44" t="n">
        <v>4923</v>
      </c>
      <c r="M104" s="44" t="n">
        <v>4914</v>
      </c>
      <c r="N104" s="44" t="n">
        <v>8815</v>
      </c>
      <c r="O104" s="44" t="n">
        <v>8801</v>
      </c>
      <c r="P104" s="44" t="n">
        <v>8745</v>
      </c>
      <c r="Q104" s="44" t="n">
        <v>8762</v>
      </c>
      <c r="R104" s="44" t="n">
        <v>8745</v>
      </c>
      <c r="S104" s="44" t="n">
        <v>934</v>
      </c>
      <c r="T104" s="44" t="n">
        <v>4475</v>
      </c>
      <c r="U104" s="44" t="n">
        <v>4482</v>
      </c>
      <c r="V104" s="44" t="n">
        <v>6070</v>
      </c>
      <c r="W104" s="44" t="n">
        <v>11793</v>
      </c>
      <c r="X104" s="44" t="n">
        <v>10003</v>
      </c>
      <c r="Y104" s="44" t="n">
        <v>10003</v>
      </c>
      <c r="Z104" s="44" t="n">
        <v>10003</v>
      </c>
      <c r="AA104" s="44" t="n">
        <v>5364</v>
      </c>
      <c r="AB104" s="44" t="n">
        <v>3558</v>
      </c>
      <c r="AC104" s="44" t="n"/>
      <c r="AD104" s="44" t="n"/>
      <c r="AE104" s="44" t="n"/>
      <c r="AF104" s="44" t="n"/>
      <c r="AG104" s="44" t="n"/>
      <c r="AH104" s="44" t="n"/>
      <c r="AI104" s="44" t="n"/>
      <c r="AJ104" s="44" t="n"/>
      <c r="AK104" s="44" t="n"/>
      <c r="AL104" s="44" t="n"/>
      <c r="AM104" s="44" t="n"/>
      <c r="AN104" s="44" t="n"/>
      <c r="AO104" s="44" t="n"/>
      <c r="AP104" s="44" t="n"/>
      <c r="AQ104" s="44" t="n"/>
      <c r="AR104" s="44" t="n"/>
      <c r="AS104" s="44" t="n"/>
      <c r="AT104" s="44" t="n"/>
      <c r="AU104" s="44" t="n"/>
      <c r="AV104" s="44" t="n"/>
      <c r="AW104" s="44" t="n"/>
      <c r="AX104" s="44" t="n"/>
      <c r="AY104" s="44" t="n"/>
      <c r="AZ104" s="44" t="n"/>
      <c r="BA104" s="44" t="n"/>
      <c r="BB104" s="44" t="n"/>
      <c r="BC104" s="44" t="n"/>
      <c r="BD104" s="44" t="n"/>
    </row>
    <row r="105">
      <c r="C105" s="11" t="inlineStr">
        <is>
          <t xml:space="preserve">Cam </t>
        </is>
      </c>
      <c r="D105" s="6" t="inlineStr">
        <is>
          <t>#</t>
        </is>
      </c>
      <c r="E105" s="41" t="n">
        <v>289</v>
      </c>
      <c r="F105" s="41" t="n">
        <v>256</v>
      </c>
      <c r="G105" s="41" t="n">
        <v>166</v>
      </c>
      <c r="H105" s="41" t="n">
        <v>169</v>
      </c>
      <c r="I105" s="41" t="n">
        <v>255</v>
      </c>
      <c r="J105" s="41" t="n">
        <v>253</v>
      </c>
      <c r="K105" s="41" t="n">
        <v>310</v>
      </c>
      <c r="L105" s="41" t="n">
        <v>267</v>
      </c>
      <c r="M105" s="41" t="n">
        <v>284</v>
      </c>
      <c r="N105" s="41" t="n">
        <v>192</v>
      </c>
      <c r="O105" s="41" t="n">
        <v>220</v>
      </c>
      <c r="P105" s="41" t="n">
        <v>230</v>
      </c>
      <c r="Q105" s="41" t="n">
        <v>382</v>
      </c>
      <c r="R105" s="41" t="n">
        <v>321</v>
      </c>
      <c r="S105" s="41" t="n">
        <v>421</v>
      </c>
      <c r="T105" s="41" t="n">
        <v>268</v>
      </c>
      <c r="U105" s="41" t="n">
        <v>2465</v>
      </c>
      <c r="V105" s="41" t="n">
        <v>4030</v>
      </c>
      <c r="W105" s="41" t="n">
        <v>4527</v>
      </c>
      <c r="X105" s="41" t="n">
        <v>5206</v>
      </c>
      <c r="Y105" s="41" t="n">
        <v>6335</v>
      </c>
      <c r="Z105" s="41" t="n">
        <v>6319</v>
      </c>
      <c r="AA105" s="41" t="n">
        <v>6074</v>
      </c>
      <c r="AB105" s="41" t="n">
        <v>5631</v>
      </c>
      <c r="AC105" s="41" t="n"/>
      <c r="AD105" s="41" t="n"/>
      <c r="AE105" s="41" t="n"/>
      <c r="AF105" s="41" t="n"/>
      <c r="AG105" s="41" t="n"/>
      <c r="AH105" s="41" t="n"/>
      <c r="AI105" s="41" t="n"/>
      <c r="AJ105" s="41" t="n"/>
      <c r="AK105" s="41" t="n"/>
      <c r="AL105" s="41" t="n"/>
      <c r="AM105" s="41" t="n"/>
      <c r="AN105" s="41" t="n"/>
      <c r="AO105" s="41" t="n"/>
      <c r="AP105" s="41" t="n"/>
      <c r="AQ105" s="41" t="n"/>
      <c r="AR105" s="41" t="n"/>
      <c r="AS105" s="41" t="n"/>
      <c r="AT105" s="41" t="n"/>
      <c r="AU105" s="41" t="n"/>
      <c r="AV105" s="41" t="n"/>
      <c r="AW105" s="41" t="n"/>
      <c r="AX105" s="41" t="n"/>
      <c r="AY105" s="41" t="n"/>
      <c r="AZ105" s="41" t="n"/>
      <c r="BA105" s="41" t="n"/>
      <c r="BB105" s="41" t="n"/>
      <c r="BC105" s="41" t="n"/>
      <c r="BD105" s="41" t="n"/>
    </row>
    <row r="106">
      <c r="C106" s="11" t="inlineStr">
        <is>
          <t>Non Cam</t>
        </is>
      </c>
      <c r="D106" s="6" t="inlineStr">
        <is>
          <t>#</t>
        </is>
      </c>
      <c r="E106" s="41" t="n">
        <v>154</v>
      </c>
      <c r="F106" s="41" t="n">
        <v>124</v>
      </c>
      <c r="G106" s="41" t="n">
        <v>115</v>
      </c>
      <c r="H106" s="41" t="n">
        <v>82</v>
      </c>
      <c r="I106" s="41" t="n">
        <v>92</v>
      </c>
      <c r="J106" s="41" t="n">
        <v>140</v>
      </c>
      <c r="K106" s="41" t="n">
        <v>229</v>
      </c>
      <c r="L106" s="41" t="n">
        <v>239</v>
      </c>
      <c r="M106" s="41" t="n">
        <v>284</v>
      </c>
      <c r="N106" s="41" t="n">
        <v>199</v>
      </c>
      <c r="O106" s="41" t="n">
        <v>217</v>
      </c>
      <c r="P106" s="41" t="n">
        <v>272</v>
      </c>
      <c r="Q106" s="41" t="n">
        <v>230</v>
      </c>
      <c r="R106" s="41" t="n">
        <v>183</v>
      </c>
      <c r="S106" s="41" t="n">
        <v>144</v>
      </c>
      <c r="T106" s="41" t="n">
        <v>126</v>
      </c>
      <c r="U106" s="41" t="n">
        <v>239</v>
      </c>
      <c r="V106" s="41" t="n">
        <v>240</v>
      </c>
      <c r="W106" s="41" t="n">
        <v>290</v>
      </c>
      <c r="X106" s="41" t="n">
        <v>364</v>
      </c>
      <c r="Y106" s="41" t="n">
        <v>457</v>
      </c>
      <c r="Z106" s="41" t="n">
        <v>475</v>
      </c>
      <c r="AA106" s="41" t="n">
        <v>399</v>
      </c>
      <c r="AB106" s="41" t="n">
        <v>439</v>
      </c>
      <c r="AC106" s="41" t="n"/>
      <c r="AD106" s="41" t="n"/>
      <c r="AE106" s="41" t="n"/>
      <c r="AF106" s="41" t="n"/>
      <c r="AG106" s="41" t="n"/>
      <c r="AH106" s="41" t="n"/>
      <c r="AI106" s="41" t="n"/>
      <c r="AJ106" s="41" t="n"/>
      <c r="AK106" s="41" t="n"/>
      <c r="AL106" s="41" t="n"/>
      <c r="AM106" s="41" t="n"/>
      <c r="AN106" s="41" t="n"/>
      <c r="AO106" s="41" t="n"/>
      <c r="AP106" s="41" t="n"/>
      <c r="AQ106" s="41" t="n"/>
      <c r="AR106" s="41" t="n"/>
      <c r="AS106" s="41" t="n"/>
      <c r="AT106" s="41" t="n"/>
      <c r="AU106" s="41" t="n"/>
      <c r="AV106" s="41" t="n"/>
      <c r="AW106" s="41" t="n"/>
      <c r="AX106" s="41" t="n"/>
      <c r="AY106" s="41" t="n"/>
      <c r="AZ106" s="41" t="n"/>
      <c r="BA106" s="41" t="n"/>
      <c r="BB106" s="41" t="n"/>
      <c r="BC106" s="41" t="n"/>
      <c r="BD106" s="41" t="n"/>
    </row>
    <row r="107">
      <c r="C107" s="6" t="n"/>
    </row>
    <row r="108" customFormat="1" s="40">
      <c r="A108" s="40" t="inlineStr">
        <is>
          <t xml:space="preserve">Promo </t>
        </is>
      </c>
      <c r="D108" s="24" t="inlineStr">
        <is>
          <t>$k</t>
        </is>
      </c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>
        <v>0.03</v>
      </c>
      <c r="R108" s="42" t="n">
        <v>0.008569999999999999</v>
      </c>
      <c r="S108" s="42" t="n">
        <v>0.08114</v>
      </c>
      <c r="T108" s="42" t="n">
        <v>0.16629</v>
      </c>
      <c r="U108" s="42" t="n"/>
      <c r="V108" s="42" t="n"/>
      <c r="W108" s="42" t="n"/>
      <c r="X108" s="42" t="n"/>
      <c r="Y108" s="42" t="n">
        <v>7.059819999999999</v>
      </c>
      <c r="Z108" s="42" t="n">
        <v>1.14558</v>
      </c>
      <c r="AA108" s="42" t="n">
        <v>1.32571</v>
      </c>
      <c r="AB108" s="42" t="n">
        <v>7.39</v>
      </c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</row>
    <row r="109" ht="15.75" customFormat="1" customHeight="1" s="40">
      <c r="B109" s="31" t="inlineStr">
        <is>
          <t>Finance Actuals (Monthly)</t>
        </is>
      </c>
      <c r="D109" s="32" t="inlineStr">
        <is>
          <t>$k</t>
        </is>
      </c>
      <c r="E109" s="41" t="n"/>
      <c r="F109" s="41" t="n"/>
      <c r="G109" s="41" t="n"/>
      <c r="H109" s="41" t="n">
        <v>0.10196</v>
      </c>
      <c r="I109" s="41" t="n"/>
      <c r="J109" s="41" t="n"/>
      <c r="K109" s="41" t="n"/>
      <c r="L109" s="41" t="n">
        <v>61.57928</v>
      </c>
      <c r="M109" s="41" t="n"/>
      <c r="N109" s="41" t="n"/>
      <c r="O109" s="41" t="n"/>
      <c r="P109" s="41" t="n"/>
      <c r="Q109" s="41" t="n">
        <v>0.73349</v>
      </c>
      <c r="R109" s="41" t="n"/>
      <c r="S109" s="41" t="n"/>
      <c r="T109" s="41" t="n"/>
      <c r="U109" s="41" t="n">
        <v>1.64948</v>
      </c>
      <c r="V109" s="41" t="n"/>
      <c r="W109" s="41" t="n"/>
      <c r="X109" s="41" t="n"/>
      <c r="Y109" s="41" t="n"/>
      <c r="Z109" s="41" t="n">
        <v>20.77099</v>
      </c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  <c r="AJ109" s="41" t="n"/>
      <c r="AK109" s="41" t="n"/>
      <c r="AL109" s="41" t="n"/>
      <c r="AM109" s="41" t="n"/>
      <c r="AN109" s="41" t="n"/>
      <c r="AO109" s="41" t="n"/>
      <c r="AP109" s="41" t="n"/>
      <c r="AQ109" s="41" t="n"/>
      <c r="AR109" s="41" t="n"/>
      <c r="AS109" s="41" t="n"/>
      <c r="AT109" s="41" t="n"/>
      <c r="AU109" s="41" t="n"/>
      <c r="AV109" s="41" t="n"/>
      <c r="AW109" s="41" t="n"/>
      <c r="AX109" s="41" t="n"/>
      <c r="AY109" s="41" t="n"/>
      <c r="AZ109" s="41" t="n"/>
      <c r="BA109" s="41" t="n"/>
      <c r="BB109" s="41" t="n"/>
      <c r="BC109" s="41" t="n"/>
      <c r="BD109" s="41" t="n"/>
    </row>
    <row r="110" customFormat="1" s="9">
      <c r="B110" s="9" t="inlineStr">
        <is>
          <t>Budgeted (Monthly)</t>
        </is>
      </c>
      <c r="D110" s="10" t="inlineStr">
        <is>
          <t>$k</t>
        </is>
      </c>
      <c r="E110" s="44" t="n"/>
      <c r="F110" s="44" t="n"/>
      <c r="G110" s="44" t="n"/>
      <c r="H110" s="44" t="n">
        <v>0</v>
      </c>
      <c r="I110" s="44" t="n"/>
      <c r="J110" s="44" t="n"/>
      <c r="K110" s="44" t="n"/>
      <c r="L110" s="44" t="n">
        <v>0</v>
      </c>
      <c r="M110" s="44" t="n"/>
      <c r="N110" s="44" t="n"/>
      <c r="O110" s="44" t="n"/>
      <c r="P110" s="44" t="n"/>
      <c r="Q110" s="44" t="n">
        <v>51.8</v>
      </c>
      <c r="R110" s="44" t="n"/>
      <c r="S110" s="44" t="n"/>
      <c r="T110" s="44" t="n"/>
      <c r="U110" s="44" t="n">
        <v>74.8</v>
      </c>
      <c r="V110" s="44" t="n"/>
      <c r="W110" s="44" t="n"/>
      <c r="X110" s="44" t="n"/>
      <c r="Y110" s="44" t="n"/>
      <c r="Z110" s="44" t="n">
        <v>73.7</v>
      </c>
      <c r="AA110" s="44" t="n"/>
      <c r="AB110" s="44" t="n"/>
      <c r="AC110" s="44" t="n"/>
      <c r="AD110" s="44" t="n">
        <v>84.23999999999999</v>
      </c>
      <c r="AE110" s="44" t="n"/>
      <c r="AF110" s="44" t="n"/>
      <c r="AG110" s="44" t="n"/>
      <c r="AH110" s="44" t="n">
        <v>110.16</v>
      </c>
      <c r="AI110" s="44" t="n"/>
      <c r="AJ110" s="44" t="n"/>
      <c r="AK110" s="44" t="n"/>
      <c r="AL110" s="44" t="n"/>
      <c r="AM110" s="44" t="n">
        <v>10.31428571428571</v>
      </c>
      <c r="AN110" s="44" t="n"/>
      <c r="AO110" s="44" t="n"/>
      <c r="AP110" s="44" t="n"/>
      <c r="AQ110" s="44" t="n">
        <v>61.88571428571429</v>
      </c>
      <c r="AR110" s="44" t="n"/>
      <c r="AS110" s="44" t="n"/>
      <c r="AT110" s="44" t="n"/>
      <c r="AU110" s="44" t="n">
        <v>107.2</v>
      </c>
      <c r="AV110" s="44" t="n"/>
      <c r="AW110" s="44" t="n"/>
      <c r="AX110" s="44" t="n"/>
      <c r="AY110" s="44" t="n"/>
      <c r="AZ110" s="44" t="n">
        <v>518.3200000000001</v>
      </c>
      <c r="BA110" s="44" t="n"/>
      <c r="BB110" s="44" t="n"/>
      <c r="BC110" s="44" t="n"/>
      <c r="BD110" s="44" t="n">
        <v>129.58</v>
      </c>
    </row>
    <row r="111" ht="15.75" customHeight="1">
      <c r="B111" s="7" t="inlineStr">
        <is>
          <t>As % of budget - this month</t>
        </is>
      </c>
      <c r="D111" s="17" t="inlineStr">
        <is>
          <t>%</t>
        </is>
      </c>
      <c r="E111" s="43" t="n"/>
      <c r="F111" s="43" t="n"/>
      <c r="G111" s="43" t="n"/>
      <c r="H111" s="43">
        <f>IFERROR(SUM(E108:H108)/H110,"")</f>
        <v/>
      </c>
      <c r="I111" s="43" t="n"/>
      <c r="J111" s="43" t="n"/>
      <c r="K111" s="43" t="n"/>
      <c r="L111" s="43">
        <f>IFERROR(SUM(I108:L108)/L110,"")</f>
        <v/>
      </c>
      <c r="M111" s="43" t="n"/>
      <c r="N111" s="43" t="n"/>
      <c r="O111" s="43" t="n"/>
      <c r="P111" s="43" t="n"/>
      <c r="Q111" s="43">
        <f>IFERROR(SUM(M108:Q108)/Q110,"")</f>
        <v/>
      </c>
      <c r="R111" s="43" t="n"/>
      <c r="S111" s="43" t="n"/>
      <c r="T111" s="43" t="n"/>
      <c r="U111" s="43">
        <f>IFERROR(SUM(R108:U108)/U110,"")</f>
        <v/>
      </c>
      <c r="V111" s="43" t="n"/>
      <c r="W111" s="43" t="n"/>
      <c r="X111" s="43" t="n"/>
      <c r="Y111" s="43" t="n"/>
      <c r="Z111" s="43">
        <f>IFERROR(SUM(V108:Z108)/Z110,"")</f>
        <v/>
      </c>
      <c r="AA111" s="43" t="n"/>
      <c r="AB111" s="43" t="n"/>
      <c r="AC111" s="43" t="n"/>
      <c r="AD111" s="43" t="n"/>
      <c r="AE111" s="43" t="n"/>
      <c r="AF111" s="43" t="n"/>
      <c r="AG111" s="43" t="n"/>
      <c r="AH111" s="43" t="n"/>
      <c r="AI111" s="43" t="n"/>
      <c r="AJ111" s="43" t="n"/>
      <c r="AK111" s="43" t="n"/>
      <c r="AL111" s="43" t="n"/>
      <c r="AM111" s="43" t="n"/>
      <c r="AN111" s="43" t="n"/>
      <c r="AO111" s="43" t="n"/>
      <c r="AP111" s="43" t="n"/>
      <c r="AQ111" s="43" t="n"/>
      <c r="AR111" s="43" t="n"/>
      <c r="AS111" s="43" t="n"/>
      <c r="AT111" s="43" t="n"/>
      <c r="AU111" s="43" t="n"/>
      <c r="AV111" s="43" t="n"/>
      <c r="AW111" s="43" t="n"/>
      <c r="AX111" s="43" t="n"/>
      <c r="AY111" s="43" t="n"/>
      <c r="AZ111" s="43" t="n"/>
      <c r="BA111" s="43" t="n"/>
      <c r="BB111" s="43" t="n"/>
      <c r="BC111" s="43" t="n"/>
      <c r="BD111" s="43" t="n"/>
    </row>
    <row r="112" ht="15.75" customHeight="1">
      <c r="B112" s="7" t="inlineStr">
        <is>
          <t>As % of quarterly budget (QTD)</t>
        </is>
      </c>
      <c r="D112" s="17" t="inlineStr">
        <is>
          <t>%</t>
        </is>
      </c>
      <c r="E112" s="43" t="n"/>
      <c r="F112" s="43" t="n"/>
      <c r="G112" s="43" t="n"/>
      <c r="H112" s="43">
        <f>IFERROR(SUM(E108:H108)/(H110+L110+Q110),"")</f>
        <v/>
      </c>
      <c r="I112" s="43" t="n"/>
      <c r="J112" s="43" t="n"/>
      <c r="K112" s="43" t="n"/>
      <c r="L112" s="43">
        <f>IFERROR(SUM(E108:L108)/(H110+L110+Q110),"")</f>
        <v/>
      </c>
      <c r="M112" s="43" t="n"/>
      <c r="N112" s="43" t="n"/>
      <c r="O112" s="43" t="n"/>
      <c r="P112" s="43" t="n"/>
      <c r="Q112" s="43">
        <f>IFERROR(SUM(E108:Q108)/(H110+L110+Q110),"")</f>
        <v/>
      </c>
      <c r="R112" s="43" t="n"/>
      <c r="S112" s="43" t="n"/>
      <c r="T112" s="43" t="n"/>
      <c r="U112" s="43">
        <f>IFERROR(SUM(R108:U108)/(U110+Z110+AD110),"")</f>
        <v/>
      </c>
      <c r="V112" s="43" t="n"/>
      <c r="W112" s="43" t="n"/>
      <c r="X112" s="43" t="n"/>
      <c r="Y112" s="43" t="n"/>
      <c r="Z112" s="43">
        <f>IFERROR(SUM(R108:Z108)/(U110+Z110+AD110),"")</f>
        <v/>
      </c>
      <c r="AA112" s="43" t="n"/>
      <c r="AB112" s="43" t="n"/>
      <c r="AC112" s="43" t="n"/>
      <c r="AD112" s="43" t="n"/>
      <c r="AE112" s="43" t="n"/>
      <c r="AF112" s="43" t="n"/>
      <c r="AG112" s="43" t="n"/>
      <c r="AH112" s="43" t="n"/>
      <c r="AI112" s="43" t="n"/>
      <c r="AJ112" s="43" t="n"/>
      <c r="AK112" s="43" t="n"/>
      <c r="AL112" s="43" t="n"/>
      <c r="AM112" s="43" t="n"/>
      <c r="AN112" s="43" t="n"/>
      <c r="AO112" s="43" t="n"/>
      <c r="AP112" s="43" t="n"/>
      <c r="AQ112" s="43" t="n"/>
      <c r="AR112" s="43" t="n"/>
      <c r="AS112" s="43" t="n"/>
      <c r="AT112" s="43" t="n"/>
      <c r="AU112" s="43" t="n"/>
      <c r="AV112" s="43" t="n"/>
      <c r="AW112" s="43" t="n"/>
      <c r="AX112" s="43" t="n"/>
      <c r="AY112" s="43" t="n"/>
      <c r="AZ112" s="43" t="n"/>
      <c r="BA112" s="43" t="n"/>
      <c r="BB112" s="43" t="n"/>
      <c r="BC112" s="43" t="n"/>
      <c r="BD112" s="43" t="n"/>
    </row>
    <row r="113" ht="15.75" customHeight="1">
      <c r="B113" s="7" t="inlineStr">
        <is>
          <t>As % of annual budget (YTD)</t>
        </is>
      </c>
      <c r="D113" s="17" t="inlineStr">
        <is>
          <t>%</t>
        </is>
      </c>
      <c r="E113" s="43" t="n"/>
      <c r="F113" s="43" t="n"/>
      <c r="G113" s="43" t="n"/>
      <c r="H113" s="43">
        <f>IFERROR(SUM($E$108:H108)/SUM($E$110:BD110),"")</f>
        <v/>
      </c>
      <c r="I113" s="43" t="n"/>
      <c r="J113" s="43" t="n"/>
      <c r="K113" s="43" t="n"/>
      <c r="L113" s="43">
        <f>IFERROR(SUM($E$108:L108)/SUM($E$110:BD110),"")</f>
        <v/>
      </c>
      <c r="M113" s="43" t="n"/>
      <c r="N113" s="43" t="n"/>
      <c r="O113" s="43" t="n"/>
      <c r="P113" s="43" t="n"/>
      <c r="Q113" s="43">
        <f>IFERROR(SUM($E$108:Q108)/SUM($E$110:BD110),"")</f>
        <v/>
      </c>
      <c r="R113" s="43" t="n"/>
      <c r="S113" s="43" t="n"/>
      <c r="T113" s="43" t="n"/>
      <c r="U113" s="43">
        <f>IFERROR(SUM($E$108:U108)/SUM($E$110:BD110),"")</f>
        <v/>
      </c>
      <c r="V113" s="43" t="n"/>
      <c r="W113" s="43" t="n"/>
      <c r="X113" s="43" t="n"/>
      <c r="Y113" s="43" t="n"/>
      <c r="Z113" s="43">
        <f>IFERROR(SUM($E$108:Z108)/SUM($E$110:BD110),"")</f>
        <v/>
      </c>
      <c r="AA113" s="43" t="n"/>
      <c r="AB113" s="43" t="n"/>
      <c r="AC113" s="43" t="n"/>
      <c r="AD113" s="43" t="n"/>
      <c r="AE113" s="43" t="n"/>
      <c r="AF113" s="43" t="n"/>
      <c r="AG113" s="43" t="n"/>
      <c r="AH113" s="43" t="n"/>
      <c r="AI113" s="43" t="n"/>
      <c r="AJ113" s="43" t="n"/>
      <c r="AK113" s="43" t="n"/>
      <c r="AL113" s="43" t="n"/>
      <c r="AM113" s="43" t="n"/>
      <c r="AN113" s="43" t="n"/>
      <c r="AO113" s="43" t="n"/>
      <c r="AP113" s="43" t="n"/>
      <c r="AQ113" s="43" t="n"/>
      <c r="AR113" s="43" t="n"/>
      <c r="AS113" s="43" t="n"/>
      <c r="AT113" s="43" t="n"/>
      <c r="AU113" s="43" t="n"/>
      <c r="AV113" s="43" t="n"/>
      <c r="AW113" s="43" t="n"/>
      <c r="AX113" s="43" t="n"/>
      <c r="AY113" s="43" t="n"/>
      <c r="AZ113" s="43" t="n"/>
      <c r="BA113" s="43" t="n"/>
      <c r="BB113" s="43" t="n"/>
      <c r="BC113" s="43" t="n"/>
      <c r="BD113" s="43" t="n"/>
    </row>
    <row r="114"/>
    <row r="115" ht="15.75" customHeight="1">
      <c r="A115" s="40" t="inlineStr">
        <is>
          <t>Total Marketing</t>
        </is>
      </c>
      <c r="B115" s="40" t="n"/>
      <c r="C115" s="40" t="n"/>
      <c r="D115" s="24" t="inlineStr">
        <is>
          <t>$k</t>
        </is>
      </c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</row>
    <row r="116" ht="15.75" customHeight="1">
      <c r="A116" s="40" t="n"/>
      <c r="B116" s="31" t="inlineStr">
        <is>
          <t>Finance Actuals (Monthly)</t>
        </is>
      </c>
      <c r="C116" s="40" t="n"/>
      <c r="D116" s="32" t="inlineStr">
        <is>
          <t>$k</t>
        </is>
      </c>
      <c r="E116" s="41" t="n"/>
      <c r="F116" s="41" t="n"/>
      <c r="G116" s="41" t="n"/>
      <c r="H116" s="41" t="n">
        <v>7.26002</v>
      </c>
      <c r="I116" s="41" t="n"/>
      <c r="J116" s="41" t="n"/>
      <c r="K116" s="41" t="n"/>
      <c r="L116" s="41" t="n">
        <v>16.48183</v>
      </c>
      <c r="M116" s="41" t="n"/>
      <c r="N116" s="41" t="n"/>
      <c r="O116" s="41" t="n"/>
      <c r="P116" s="41" t="n"/>
      <c r="Q116" s="41" t="n">
        <v>242.54598</v>
      </c>
      <c r="R116" s="41" t="n"/>
      <c r="S116" s="41" t="n"/>
      <c r="T116" s="41" t="n"/>
      <c r="U116" s="41" t="n">
        <v>89.10865</v>
      </c>
      <c r="V116" s="41" t="n"/>
      <c r="W116" s="41" t="n"/>
      <c r="X116" s="41" t="n"/>
      <c r="Y116" s="41" t="n"/>
      <c r="Z116" s="41" t="n">
        <v>83.16731</v>
      </c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  <c r="AJ116" s="41" t="n"/>
      <c r="AK116" s="41" t="n"/>
      <c r="AL116" s="41" t="n"/>
      <c r="AM116" s="41" t="n"/>
      <c r="AN116" s="41" t="n"/>
      <c r="AO116" s="41" t="n"/>
      <c r="AP116" s="41" t="n"/>
      <c r="AQ116" s="41" t="n"/>
      <c r="AR116" s="41" t="n"/>
      <c r="AS116" s="41" t="n"/>
      <c r="AT116" s="41" t="n"/>
      <c r="AU116" s="41" t="n"/>
      <c r="AV116" s="41" t="n"/>
      <c r="AW116" s="41" t="n"/>
      <c r="AX116" s="41" t="n"/>
      <c r="AY116" s="41" t="n"/>
      <c r="AZ116" s="41" t="n"/>
      <c r="BA116" s="41" t="n"/>
      <c r="BB116" s="41" t="n"/>
      <c r="BC116" s="41" t="n"/>
      <c r="BD116" s="41" t="n"/>
    </row>
    <row r="117" ht="15.75" customHeight="1">
      <c r="B117" s="9" t="inlineStr">
        <is>
          <t>Budgeted (Monthly)</t>
        </is>
      </c>
      <c r="D117" s="10" t="inlineStr">
        <is>
          <t>$k</t>
        </is>
      </c>
      <c r="E117" s="44" t="n"/>
      <c r="F117" s="44" t="n"/>
      <c r="G117" s="44" t="n"/>
      <c r="H117" s="44" t="n">
        <v>52.5</v>
      </c>
      <c r="I117" s="44" t="n"/>
      <c r="J117" s="44" t="n"/>
      <c r="K117" s="44" t="n"/>
      <c r="L117" s="44" t="n">
        <v>52.5</v>
      </c>
      <c r="M117" s="44" t="n"/>
      <c r="N117" s="44" t="n"/>
      <c r="O117" s="44" t="n"/>
      <c r="P117" s="44" t="n"/>
      <c r="Q117" s="44" t="n">
        <v>52.5</v>
      </c>
      <c r="R117" s="44" t="n"/>
      <c r="S117" s="44" t="n"/>
      <c r="T117" s="44" t="n"/>
      <c r="U117" s="44" t="n">
        <v>552.5</v>
      </c>
      <c r="V117" s="44" t="n"/>
      <c r="W117" s="44" t="n"/>
      <c r="X117" s="44" t="n"/>
      <c r="Y117" s="44" t="n"/>
      <c r="Z117" s="44" t="n">
        <v>552.5</v>
      </c>
      <c r="AA117" s="44" t="n"/>
      <c r="AB117" s="44" t="n"/>
      <c r="AC117" s="44" t="n"/>
      <c r="AD117" s="44" t="n">
        <v>552.5</v>
      </c>
      <c r="AE117" s="44" t="n"/>
      <c r="AF117" s="44" t="n"/>
      <c r="AG117" s="44" t="n"/>
      <c r="AH117" s="44" t="n">
        <v>52.5</v>
      </c>
      <c r="AI117" s="44" t="n"/>
      <c r="AJ117" s="44" t="n"/>
      <c r="AK117" s="44" t="n"/>
      <c r="AL117" s="44" t="n"/>
      <c r="AM117" s="44" t="n">
        <v>52.5</v>
      </c>
      <c r="AN117" s="44" t="n"/>
      <c r="AO117" s="44" t="n"/>
      <c r="AP117" s="44" t="n"/>
      <c r="AQ117" s="44" t="n">
        <v>52.5</v>
      </c>
      <c r="AR117" s="44" t="n"/>
      <c r="AS117" s="44" t="n"/>
      <c r="AT117" s="44" t="n"/>
      <c r="AU117" s="44" t="n">
        <v>52.5</v>
      </c>
      <c r="AV117" s="44" t="n"/>
      <c r="AW117" s="44" t="n"/>
      <c r="AX117" s="44" t="n"/>
      <c r="AY117" s="44" t="n"/>
      <c r="AZ117" s="44" t="n">
        <v>52.5</v>
      </c>
      <c r="BA117" s="44" t="n"/>
      <c r="BB117" s="44" t="n"/>
      <c r="BC117" s="44" t="n"/>
      <c r="BD117" s="44" t="n">
        <v>52.5</v>
      </c>
    </row>
    <row r="118" ht="15.75" customHeight="1">
      <c r="B118" s="7" t="inlineStr">
        <is>
          <t>As % of budget - this month</t>
        </is>
      </c>
      <c r="D118" s="17" t="inlineStr">
        <is>
          <t>%</t>
        </is>
      </c>
      <c r="E118" s="43" t="n"/>
      <c r="F118" s="43" t="n"/>
      <c r="G118" s="43" t="n"/>
      <c r="H118" s="43">
        <f>IFERROR(SUM(E116:H116)/H117,"")</f>
        <v/>
      </c>
      <c r="I118" s="43" t="n"/>
      <c r="J118" s="43" t="n"/>
      <c r="K118" s="43" t="n"/>
      <c r="L118" s="43">
        <f>IFERROR(SUM(I116:L116)/L117,"")</f>
        <v/>
      </c>
      <c r="M118" s="43" t="n"/>
      <c r="N118" s="43" t="n"/>
      <c r="O118" s="43" t="n"/>
      <c r="P118" s="43" t="n"/>
      <c r="Q118" s="43">
        <f>IFERROR(SUM(M116:Q116)/Q117,"")</f>
        <v/>
      </c>
      <c r="R118" s="43" t="n"/>
      <c r="S118" s="43" t="n"/>
      <c r="T118" s="43" t="n"/>
      <c r="U118" s="43">
        <f>IFERROR(SUM(R116:U116)/U117,"")</f>
        <v/>
      </c>
      <c r="V118" s="43" t="n"/>
      <c r="W118" s="43" t="n"/>
      <c r="X118" s="43" t="n"/>
      <c r="Y118" s="43" t="n"/>
      <c r="Z118" s="43">
        <f>IFERROR(SUM(V116:Z116)/Z117,"")</f>
        <v/>
      </c>
      <c r="AA118" s="43" t="n"/>
      <c r="AB118" s="43" t="n"/>
      <c r="AC118" s="43" t="n"/>
      <c r="AD118" s="43" t="n"/>
      <c r="AE118" s="43" t="n"/>
      <c r="AF118" s="43" t="n"/>
      <c r="AG118" s="43" t="n"/>
      <c r="AH118" s="43" t="n"/>
      <c r="AI118" s="43" t="n"/>
      <c r="AJ118" s="43" t="n"/>
      <c r="AK118" s="43" t="n"/>
      <c r="AL118" s="43" t="n"/>
      <c r="AM118" s="43" t="n"/>
      <c r="AN118" s="43" t="n"/>
      <c r="AO118" s="43" t="n"/>
      <c r="AP118" s="43" t="n"/>
      <c r="AQ118" s="43" t="n"/>
      <c r="AR118" s="43" t="n"/>
      <c r="AS118" s="43" t="n"/>
      <c r="AT118" s="43" t="n"/>
      <c r="AU118" s="43" t="n"/>
      <c r="AV118" s="43" t="n"/>
      <c r="AW118" s="43" t="n"/>
      <c r="AX118" s="43" t="n"/>
      <c r="AY118" s="43" t="n"/>
      <c r="AZ118" s="43" t="n"/>
      <c r="BA118" s="43" t="n"/>
      <c r="BB118" s="43" t="n"/>
      <c r="BC118" s="43" t="n"/>
      <c r="BD118" s="43" t="n"/>
    </row>
    <row r="119" ht="15.75" customHeight="1">
      <c r="B119" s="7" t="inlineStr">
        <is>
          <t>As % of quarterly budget (QTD)</t>
        </is>
      </c>
      <c r="D119" s="17" t="inlineStr">
        <is>
          <t>%</t>
        </is>
      </c>
      <c r="E119" s="43" t="n"/>
      <c r="F119" s="43" t="n"/>
      <c r="G119" s="43" t="n"/>
      <c r="H119" s="43">
        <f>IFERROR(SUM(E116:H116)/(H117+L117+Q117),"")</f>
        <v/>
      </c>
      <c r="I119" s="43" t="n"/>
      <c r="J119" s="43" t="n"/>
      <c r="K119" s="43" t="n"/>
      <c r="L119" s="43">
        <f>IFERROR(SUM(E116:L116)/(H117+L117+Q117),"")</f>
        <v/>
      </c>
      <c r="M119" s="43" t="n"/>
      <c r="N119" s="43" t="n"/>
      <c r="O119" s="43" t="n"/>
      <c r="P119" s="43" t="n"/>
      <c r="Q119" s="43">
        <f>IFERROR(SUM(E116:Q116)/(H117+L117+Q117),"")</f>
        <v/>
      </c>
      <c r="R119" s="43" t="n"/>
      <c r="S119" s="43" t="n"/>
      <c r="T119" s="43" t="n"/>
      <c r="U119" s="43">
        <f>IFERROR(SUM(R116:U116)/(U117+Z117+AD117),"")</f>
        <v/>
      </c>
      <c r="V119" s="43" t="n"/>
      <c r="W119" s="43" t="n"/>
      <c r="X119" s="43" t="n"/>
      <c r="Y119" s="43" t="n"/>
      <c r="Z119" s="43">
        <f>IFERROR(SUM(R116:Z116)/(U117+Z117+AD117),"")</f>
        <v/>
      </c>
      <c r="AA119" s="43" t="n"/>
      <c r="AB119" s="43" t="n"/>
      <c r="AC119" s="43" t="n"/>
      <c r="AD119" s="43" t="n"/>
      <c r="AE119" s="43" t="n"/>
      <c r="AF119" s="43" t="n"/>
      <c r="AG119" s="43" t="n"/>
      <c r="AH119" s="43" t="n"/>
      <c r="AI119" s="43" t="n"/>
      <c r="AJ119" s="43" t="n"/>
      <c r="AK119" s="43" t="n"/>
      <c r="AL119" s="43" t="n"/>
      <c r="AM119" s="43" t="n"/>
      <c r="AN119" s="43" t="n"/>
      <c r="AO119" s="43" t="n"/>
      <c r="AP119" s="43" t="n"/>
      <c r="AQ119" s="43" t="n"/>
      <c r="AR119" s="43" t="n"/>
      <c r="AS119" s="43" t="n"/>
      <c r="AT119" s="43" t="n"/>
      <c r="AU119" s="43" t="n"/>
      <c r="AV119" s="43" t="n"/>
      <c r="AW119" s="43" t="n"/>
      <c r="AX119" s="43" t="n"/>
      <c r="AY119" s="43" t="n"/>
      <c r="AZ119" s="43" t="n"/>
      <c r="BA119" s="43" t="n"/>
      <c r="BB119" s="43" t="n"/>
      <c r="BC119" s="43" t="n"/>
      <c r="BD119" s="43" t="n"/>
    </row>
    <row r="120" ht="15.75" customHeight="1">
      <c r="B120" s="7" t="inlineStr">
        <is>
          <t>As % of annual budget (YTD)</t>
        </is>
      </c>
      <c r="D120" s="17" t="inlineStr">
        <is>
          <t>%</t>
        </is>
      </c>
      <c r="E120" s="43" t="n"/>
      <c r="F120" s="43" t="n"/>
      <c r="G120" s="43" t="n"/>
      <c r="H120" s="43">
        <f>IFERROR(SUM($E$116:H116)/SUM($E$117:BD117),"")</f>
        <v/>
      </c>
      <c r="I120" s="43" t="n"/>
      <c r="J120" s="43" t="n"/>
      <c r="K120" s="43" t="n"/>
      <c r="L120" s="43">
        <f>IFERROR(SUM($E$116:L116)/SUM($E$117:BD117),"")</f>
        <v/>
      </c>
      <c r="M120" s="43" t="n"/>
      <c r="N120" s="43" t="n"/>
      <c r="O120" s="43" t="n"/>
      <c r="P120" s="43" t="n"/>
      <c r="Q120" s="43">
        <f>IFERROR(SUM($E$116:Q116)/SUM($E$117:BD117),"")</f>
        <v/>
      </c>
      <c r="R120" s="43" t="n"/>
      <c r="S120" s="43" t="n"/>
      <c r="T120" s="43" t="n"/>
      <c r="U120" s="43">
        <f>IFERROR(SUM($E$116:U116)/SUM($E$117:BD117),"")</f>
        <v/>
      </c>
      <c r="V120" s="43" t="n"/>
      <c r="W120" s="43" t="n"/>
      <c r="X120" s="43" t="n"/>
      <c r="Y120" s="43" t="n"/>
      <c r="Z120" s="43">
        <f>IFERROR(SUM($E$116:Z116)/SUM($E$117:BD117),"")</f>
        <v/>
      </c>
      <c r="AA120" s="43" t="n"/>
      <c r="AB120" s="43" t="n"/>
      <c r="AC120" s="43" t="n"/>
      <c r="AD120" s="43" t="n"/>
      <c r="AE120" s="43" t="n"/>
      <c r="AF120" s="43" t="n"/>
      <c r="AG120" s="43" t="n"/>
      <c r="AH120" s="43" t="n"/>
      <c r="AI120" s="43" t="n"/>
      <c r="AJ120" s="43" t="n"/>
      <c r="AK120" s="43" t="n"/>
      <c r="AL120" s="43" t="n"/>
      <c r="AM120" s="43" t="n"/>
      <c r="AN120" s="43" t="n"/>
      <c r="AO120" s="43" t="n"/>
      <c r="AP120" s="43" t="n"/>
      <c r="AQ120" s="43" t="n"/>
      <c r="AR120" s="43" t="n"/>
      <c r="AS120" s="43" t="n"/>
      <c r="AT120" s="43" t="n"/>
      <c r="AU120" s="43" t="n"/>
      <c r="AV120" s="43" t="n"/>
      <c r="AW120" s="43" t="n"/>
      <c r="AX120" s="43" t="n"/>
      <c r="AY120" s="43" t="n"/>
      <c r="AZ120" s="43" t="n"/>
      <c r="BA120" s="43" t="n"/>
      <c r="BB120" s="43" t="n"/>
      <c r="BC120" s="43" t="n"/>
      <c r="BD120" s="43" t="n"/>
    </row>
    <row r="121" ht="15.75" customHeight="1"/>
    <row r="122" customFormat="1" s="40">
      <c r="A122" s="40" t="inlineStr">
        <is>
          <t>Ads</t>
        </is>
      </c>
      <c r="D122" s="24" t="inlineStr">
        <is>
          <t>$k</t>
        </is>
      </c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</row>
    <row r="123" ht="15.75" customFormat="1" customHeight="1" s="40">
      <c r="B123" s="31" t="inlineStr">
        <is>
          <t>Finance Actuals (Monthly)</t>
        </is>
      </c>
      <c r="D123" s="32" t="inlineStr">
        <is>
          <t>$k</t>
        </is>
      </c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</row>
    <row r="124" ht="15.75" customHeight="1">
      <c r="B124" s="9" t="inlineStr">
        <is>
          <t>Budgeted (Monthly)</t>
        </is>
      </c>
      <c r="C124" s="9" t="n"/>
      <c r="D124" s="10" t="inlineStr">
        <is>
          <t>$k</t>
        </is>
      </c>
      <c r="E124" s="44" t="n"/>
      <c r="F124" s="44" t="n"/>
      <c r="G124" s="44" t="n"/>
      <c r="H124" s="44" t="n">
        <v>50</v>
      </c>
      <c r="I124" s="44" t="n"/>
      <c r="J124" s="44" t="n"/>
      <c r="K124" s="44" t="n"/>
      <c r="L124" s="44" t="n">
        <v>50</v>
      </c>
      <c r="M124" s="44" t="n"/>
      <c r="N124" s="44" t="n"/>
      <c r="O124" s="44" t="n"/>
      <c r="P124" s="44" t="n"/>
      <c r="Q124" s="44" t="n">
        <v>50</v>
      </c>
      <c r="R124" s="44" t="n"/>
      <c r="S124" s="44" t="n"/>
      <c r="T124" s="44" t="n"/>
      <c r="U124" s="44" t="n">
        <v>50</v>
      </c>
      <c r="V124" s="44" t="n"/>
      <c r="W124" s="44" t="n"/>
      <c r="X124" s="44" t="n"/>
      <c r="Y124" s="44" t="n"/>
      <c r="Z124" s="44" t="n">
        <v>50</v>
      </c>
      <c r="AA124" s="44" t="n"/>
      <c r="AB124" s="44" t="n"/>
      <c r="AC124" s="44" t="n"/>
      <c r="AD124" s="44" t="n">
        <v>50</v>
      </c>
      <c r="AE124" s="44" t="n"/>
      <c r="AF124" s="44" t="n"/>
      <c r="AG124" s="44" t="n"/>
      <c r="AH124" s="44" t="n">
        <v>50</v>
      </c>
      <c r="AI124" s="44" t="n"/>
      <c r="AJ124" s="44" t="n"/>
      <c r="AK124" s="44" t="n"/>
      <c r="AL124" s="44" t="n"/>
      <c r="AM124" s="44" t="n">
        <v>50</v>
      </c>
      <c r="AN124" s="44" t="n"/>
      <c r="AO124" s="44" t="n"/>
      <c r="AP124" s="44" t="n"/>
      <c r="AQ124" s="44" t="n">
        <v>50</v>
      </c>
      <c r="AR124" s="44" t="n"/>
      <c r="AS124" s="44" t="n"/>
      <c r="AT124" s="44" t="n"/>
      <c r="AU124" s="44" t="n">
        <v>50</v>
      </c>
      <c r="AV124" s="44" t="n"/>
      <c r="AW124" s="44" t="n"/>
      <c r="AX124" s="44" t="n"/>
      <c r="AY124" s="44" t="n"/>
      <c r="AZ124" s="44" t="n">
        <v>50</v>
      </c>
      <c r="BA124" s="44" t="n"/>
      <c r="BB124" s="44" t="n"/>
      <c r="BC124" s="44" t="n"/>
      <c r="BD124" s="44" t="n">
        <v>50</v>
      </c>
    </row>
    <row r="125" ht="15.75" customHeight="1">
      <c r="B125" s="7" t="inlineStr">
        <is>
          <t>As % of budget - this month</t>
        </is>
      </c>
      <c r="D125" s="17" t="inlineStr">
        <is>
          <t>%</t>
        </is>
      </c>
      <c r="E125" s="43" t="n"/>
      <c r="F125" s="43" t="n"/>
      <c r="G125" s="43" t="n"/>
      <c r="H125" s="43">
        <f>IFERROR(SUM(E122:H122)/H124,"")</f>
        <v/>
      </c>
      <c r="I125" s="43" t="n"/>
      <c r="J125" s="43" t="n"/>
      <c r="K125" s="43" t="n"/>
      <c r="L125" s="43">
        <f>IFERROR(SUM(I122:L122)/L124,"")</f>
        <v/>
      </c>
      <c r="M125" s="43" t="n"/>
      <c r="N125" s="43" t="n"/>
      <c r="O125" s="43" t="n"/>
      <c r="P125" s="43" t="n"/>
      <c r="Q125" s="43">
        <f>IFERROR(SUM(M122:Q122)/Q124,"")</f>
        <v/>
      </c>
      <c r="R125" s="43" t="n"/>
      <c r="S125" s="43" t="n"/>
      <c r="T125" s="43" t="n"/>
      <c r="U125" s="43">
        <f>IFERROR(SUM(R122:U122)/U124,"")</f>
        <v/>
      </c>
      <c r="V125" s="43" t="n"/>
      <c r="W125" s="43" t="n"/>
      <c r="X125" s="43" t="n"/>
      <c r="Y125" s="43" t="n"/>
      <c r="Z125" s="43">
        <f>IFERROR(SUM(V122:Z122)/Z124,"")</f>
        <v/>
      </c>
      <c r="AA125" s="43" t="n"/>
      <c r="AB125" s="43" t="n"/>
      <c r="AC125" s="43" t="n"/>
      <c r="AD125" s="43" t="n"/>
      <c r="AE125" s="43" t="n"/>
      <c r="AF125" s="43" t="n"/>
      <c r="AG125" s="43" t="n"/>
      <c r="AH125" s="43" t="n"/>
      <c r="AI125" s="43" t="n"/>
      <c r="AJ125" s="43" t="n"/>
      <c r="AK125" s="43" t="n"/>
      <c r="AL125" s="43" t="n"/>
      <c r="AM125" s="43" t="n"/>
      <c r="AN125" s="43" t="n"/>
      <c r="AO125" s="43" t="n"/>
      <c r="AP125" s="43" t="n"/>
      <c r="AQ125" s="43" t="n"/>
      <c r="AR125" s="43" t="n"/>
      <c r="AS125" s="43" t="n"/>
      <c r="AT125" s="43" t="n"/>
      <c r="AU125" s="43" t="n"/>
      <c r="AV125" s="43" t="n"/>
      <c r="AW125" s="43" t="n"/>
      <c r="AX125" s="43" t="n"/>
      <c r="AY125" s="43" t="n"/>
      <c r="AZ125" s="43" t="n"/>
      <c r="BA125" s="43" t="n"/>
      <c r="BB125" s="43" t="n"/>
      <c r="BC125" s="43" t="n"/>
      <c r="BD125" s="43" t="n"/>
    </row>
    <row r="126" ht="15.75" customHeight="1">
      <c r="B126" s="7" t="inlineStr">
        <is>
          <t>As % of quarterly budget (QTD)</t>
        </is>
      </c>
      <c r="D126" s="17" t="inlineStr">
        <is>
          <t>%</t>
        </is>
      </c>
      <c r="E126" s="43" t="n"/>
      <c r="F126" s="43" t="n"/>
      <c r="G126" s="43" t="n"/>
      <c r="H126" s="43">
        <f>IFERROR(SUM(E122:H122)/(H124+L124+Q124),"")</f>
        <v/>
      </c>
      <c r="I126" s="43" t="n"/>
      <c r="J126" s="43" t="n"/>
      <c r="K126" s="43" t="n"/>
      <c r="L126" s="43">
        <f>IFERROR(SUM(E122:L122)/(H124+L124+Q124),"")</f>
        <v/>
      </c>
      <c r="M126" s="43" t="n"/>
      <c r="N126" s="43" t="n"/>
      <c r="O126" s="43" t="n"/>
      <c r="P126" s="43" t="n"/>
      <c r="Q126" s="43">
        <f>IFERROR(SUM(E122:Q122)/(H124+L124+Q124),"")</f>
        <v/>
      </c>
      <c r="R126" s="43" t="n"/>
      <c r="S126" s="43" t="n"/>
      <c r="T126" s="43" t="n"/>
      <c r="U126" s="43">
        <f>IFERROR(SUM(R122:U122)/(U124+Z124+AD124),"")</f>
        <v/>
      </c>
      <c r="V126" s="43" t="n"/>
      <c r="W126" s="43" t="n"/>
      <c r="X126" s="43" t="n"/>
      <c r="Y126" s="43" t="n"/>
      <c r="Z126" s="43">
        <f>IFERROR(SUM(R122:Z122)/(U124+Z124+AD124),"")</f>
        <v/>
      </c>
      <c r="AA126" s="43" t="n"/>
      <c r="AB126" s="43" t="n"/>
      <c r="AC126" s="43" t="n"/>
      <c r="AD126" s="43" t="n"/>
      <c r="AE126" s="43" t="n"/>
      <c r="AF126" s="43" t="n"/>
      <c r="AG126" s="43" t="n"/>
      <c r="AH126" s="43" t="n"/>
      <c r="AI126" s="43" t="n"/>
      <c r="AJ126" s="43" t="n"/>
      <c r="AK126" s="43" t="n"/>
      <c r="AL126" s="43" t="n"/>
      <c r="AM126" s="43" t="n"/>
      <c r="AN126" s="43" t="n"/>
      <c r="AO126" s="43" t="n"/>
      <c r="AP126" s="43" t="n"/>
      <c r="AQ126" s="43" t="n"/>
      <c r="AR126" s="43" t="n"/>
      <c r="AS126" s="43" t="n"/>
      <c r="AT126" s="43" t="n"/>
      <c r="AU126" s="43" t="n"/>
      <c r="AV126" s="43" t="n"/>
      <c r="AW126" s="43" t="n"/>
      <c r="AX126" s="43" t="n"/>
      <c r="AY126" s="43" t="n"/>
      <c r="AZ126" s="43" t="n"/>
      <c r="BA126" s="43" t="n"/>
      <c r="BB126" s="43" t="n"/>
      <c r="BC126" s="43" t="n"/>
      <c r="BD126" s="43" t="n"/>
    </row>
    <row r="127" ht="15.75" customHeight="1">
      <c r="B127" s="7" t="inlineStr">
        <is>
          <t>As % of annual budget (YTD)</t>
        </is>
      </c>
      <c r="D127" s="17" t="inlineStr">
        <is>
          <t>%</t>
        </is>
      </c>
      <c r="E127" s="43" t="n"/>
      <c r="F127" s="43" t="n"/>
      <c r="G127" s="43" t="n"/>
      <c r="H127" s="43">
        <f>IFERROR(SUM($E$122:H122)/SUM($E$124:BD124),"")</f>
        <v/>
      </c>
      <c r="I127" s="43" t="n"/>
      <c r="J127" s="43" t="n"/>
      <c r="K127" s="43" t="n"/>
      <c r="L127" s="43">
        <f>IFERROR(SUM($E$122:L122)/SUM($E$124:BD124),"")</f>
        <v/>
      </c>
      <c r="M127" s="43" t="n"/>
      <c r="N127" s="43" t="n"/>
      <c r="O127" s="43" t="n"/>
      <c r="P127" s="43" t="n"/>
      <c r="Q127" s="43">
        <f>IFERROR(SUM($E$122:Q122)/SUM($E$124:BD124),"")</f>
        <v/>
      </c>
      <c r="R127" s="43" t="n"/>
      <c r="S127" s="43" t="n"/>
      <c r="T127" s="43" t="n"/>
      <c r="U127" s="43">
        <f>IFERROR(SUM($E$122:U122)/SUM($E$124:BD124),"")</f>
        <v/>
      </c>
      <c r="V127" s="43" t="n"/>
      <c r="W127" s="43" t="n"/>
      <c r="X127" s="43" t="n"/>
      <c r="Y127" s="43" t="n"/>
      <c r="Z127" s="43">
        <f>IFERROR(SUM($E$122:Z122)/SUM($E$124:BD124),"")</f>
        <v/>
      </c>
      <c r="AA127" s="43" t="n"/>
      <c r="AB127" s="43" t="n"/>
      <c r="AC127" s="43" t="n"/>
      <c r="AD127" s="43" t="n"/>
      <c r="AE127" s="43" t="n"/>
      <c r="AF127" s="43" t="n"/>
      <c r="AG127" s="43" t="n"/>
      <c r="AH127" s="43" t="n"/>
      <c r="AI127" s="43" t="n"/>
      <c r="AJ127" s="43" t="n"/>
      <c r="AK127" s="43" t="n"/>
      <c r="AL127" s="43" t="n"/>
      <c r="AM127" s="43" t="n"/>
      <c r="AN127" s="43" t="n"/>
      <c r="AO127" s="43" t="n"/>
      <c r="AP127" s="43" t="n"/>
      <c r="AQ127" s="43" t="n"/>
      <c r="AR127" s="43" t="n"/>
      <c r="AS127" s="43" t="n"/>
      <c r="AT127" s="43" t="n"/>
      <c r="AU127" s="43" t="n"/>
      <c r="AV127" s="43" t="n"/>
      <c r="AW127" s="43" t="n"/>
      <c r="AX127" s="43" t="n"/>
      <c r="AY127" s="43" t="n"/>
      <c r="AZ127" s="43" t="n"/>
      <c r="BA127" s="43" t="n"/>
      <c r="BB127" s="43" t="n"/>
      <c r="BC127" s="43" t="n"/>
      <c r="BD127" s="43" t="n"/>
    </row>
    <row r="128"/>
    <row r="129" ht="15.75" customFormat="1" customHeight="1" s="40">
      <c r="A129" s="40" t="inlineStr">
        <is>
          <t>Other Marketing - Retail marketing, etc</t>
        </is>
      </c>
      <c r="D129" s="24" t="inlineStr">
        <is>
          <t>$k</t>
        </is>
      </c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</row>
    <row r="130" ht="15.75" customFormat="1" customHeight="1" s="40">
      <c r="B130" s="31" t="inlineStr">
        <is>
          <t>Finance Actuals (Monthly)</t>
        </is>
      </c>
      <c r="D130" s="32" t="inlineStr">
        <is>
          <t>$k</t>
        </is>
      </c>
      <c r="E130" s="41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  <c r="AJ130" s="41" t="n"/>
      <c r="AK130" s="41" t="n"/>
      <c r="AL130" s="41" t="n"/>
      <c r="AM130" s="41" t="n"/>
      <c r="AN130" s="41" t="n"/>
      <c r="AO130" s="41" t="n"/>
      <c r="AP130" s="41" t="n"/>
      <c r="AQ130" s="41" t="n"/>
      <c r="AR130" s="41" t="n"/>
      <c r="AS130" s="41" t="n"/>
      <c r="AT130" s="41" t="n"/>
      <c r="AU130" s="41" t="n"/>
      <c r="AV130" s="41" t="n"/>
      <c r="AW130" s="41" t="n"/>
      <c r="AX130" s="41" t="n"/>
      <c r="AY130" s="41" t="n"/>
      <c r="AZ130" s="41" t="n"/>
      <c r="BA130" s="41" t="n"/>
      <c r="BB130" s="41" t="n"/>
      <c r="BC130" s="41" t="n"/>
      <c r="BD130" s="41" t="n"/>
    </row>
    <row r="131" ht="15.75" customHeight="1">
      <c r="B131" s="9" t="inlineStr">
        <is>
          <t>Budgeted (Monthly)</t>
        </is>
      </c>
      <c r="C131" s="9" t="n"/>
      <c r="D131" s="10" t="inlineStr">
        <is>
          <t>$k</t>
        </is>
      </c>
      <c r="E131" s="44" t="n"/>
      <c r="F131" s="44" t="n"/>
      <c r="G131" s="44" t="n"/>
      <c r="H131" s="44" t="n">
        <v>2.5</v>
      </c>
      <c r="I131" s="44" t="n"/>
      <c r="J131" s="44" t="n"/>
      <c r="K131" s="44" t="n"/>
      <c r="L131" s="44" t="n">
        <v>2.5</v>
      </c>
      <c r="M131" s="44" t="n"/>
      <c r="N131" s="44" t="n"/>
      <c r="O131" s="44" t="n"/>
      <c r="P131" s="44" t="n"/>
      <c r="Q131" s="44" t="n">
        <v>2.5</v>
      </c>
      <c r="R131" s="44" t="n"/>
      <c r="S131" s="44" t="n"/>
      <c r="T131" s="44" t="n"/>
      <c r="U131" s="44" t="n">
        <v>502.5</v>
      </c>
      <c r="V131" s="44" t="n"/>
      <c r="W131" s="44" t="n"/>
      <c r="X131" s="44" t="n"/>
      <c r="Y131" s="44" t="n"/>
      <c r="Z131" s="44" t="n">
        <v>502.5</v>
      </c>
      <c r="AA131" s="44" t="n"/>
      <c r="AB131" s="44" t="n"/>
      <c r="AC131" s="44" t="n"/>
      <c r="AD131" s="44" t="n">
        <v>502.5</v>
      </c>
      <c r="AE131" s="44" t="n"/>
      <c r="AF131" s="44" t="n"/>
      <c r="AG131" s="44" t="n"/>
      <c r="AH131" s="44" t="n">
        <v>2.5</v>
      </c>
      <c r="AI131" s="44" t="n"/>
      <c r="AJ131" s="44" t="n"/>
      <c r="AK131" s="44" t="n"/>
      <c r="AL131" s="44" t="n"/>
      <c r="AM131" s="44" t="n">
        <v>2.5</v>
      </c>
      <c r="AN131" s="44" t="n"/>
      <c r="AO131" s="44" t="n"/>
      <c r="AP131" s="44" t="n"/>
      <c r="AQ131" s="44" t="n">
        <v>2.5</v>
      </c>
      <c r="AR131" s="44" t="n"/>
      <c r="AS131" s="44" t="n"/>
      <c r="AT131" s="44" t="n"/>
      <c r="AU131" s="44" t="n">
        <v>2.5</v>
      </c>
      <c r="AV131" s="44" t="n"/>
      <c r="AW131" s="44" t="n"/>
      <c r="AX131" s="44" t="n"/>
      <c r="AY131" s="44" t="n"/>
      <c r="AZ131" s="44" t="n">
        <v>2.5</v>
      </c>
      <c r="BA131" s="44" t="n"/>
      <c r="BB131" s="44" t="n"/>
      <c r="BC131" s="44" t="n"/>
      <c r="BD131" s="44" t="n">
        <v>2.5</v>
      </c>
    </row>
    <row r="132" ht="15.75" customHeight="1">
      <c r="B132" s="7" t="inlineStr">
        <is>
          <t>As % of budget - this month</t>
        </is>
      </c>
      <c r="D132" s="17" t="inlineStr">
        <is>
          <t>%</t>
        </is>
      </c>
      <c r="E132" s="43" t="n"/>
      <c r="F132" s="43" t="n"/>
      <c r="G132" s="43" t="n"/>
      <c r="H132" s="43" t="n"/>
      <c r="I132" s="43" t="n"/>
      <c r="J132" s="43" t="n"/>
      <c r="K132" s="43" t="n"/>
      <c r="L132" s="43" t="n"/>
      <c r="M132" s="43" t="n"/>
      <c r="N132" s="43" t="n"/>
      <c r="O132" s="43" t="n"/>
      <c r="P132" s="43" t="n"/>
      <c r="Q132" s="43" t="n"/>
      <c r="R132" s="43" t="n"/>
      <c r="S132" s="43" t="n"/>
      <c r="T132" s="43" t="n"/>
      <c r="U132" s="43" t="n"/>
      <c r="V132" s="43" t="n"/>
      <c r="W132" s="43" t="n"/>
      <c r="X132" s="43" t="n"/>
      <c r="Y132" s="43" t="n"/>
      <c r="Z132" s="43" t="n"/>
      <c r="AA132" s="43" t="n"/>
      <c r="AB132" s="43" t="n"/>
      <c r="AC132" s="43" t="n"/>
      <c r="AD132" s="43" t="n"/>
      <c r="AE132" s="43" t="n"/>
      <c r="AF132" s="43" t="n"/>
      <c r="AG132" s="43" t="n"/>
      <c r="AH132" s="43" t="n"/>
      <c r="AI132" s="43" t="n"/>
      <c r="AJ132" s="43" t="n"/>
      <c r="AK132" s="43" t="n"/>
      <c r="AL132" s="43" t="n"/>
      <c r="AM132" s="43" t="n"/>
      <c r="AN132" s="43" t="n"/>
      <c r="AO132" s="43" t="n"/>
      <c r="AP132" s="43" t="n"/>
      <c r="AQ132" s="43" t="n"/>
      <c r="AR132" s="43" t="n"/>
      <c r="AS132" s="43" t="n"/>
      <c r="AT132" s="43" t="n"/>
      <c r="AU132" s="43" t="n"/>
      <c r="AV132" s="43" t="n"/>
      <c r="AW132" s="43" t="n"/>
      <c r="AX132" s="43" t="n"/>
      <c r="AY132" s="43" t="n"/>
      <c r="AZ132" s="43" t="n"/>
      <c r="BA132" s="43" t="n"/>
      <c r="BB132" s="43" t="n"/>
      <c r="BC132" s="43" t="n"/>
      <c r="BD132" s="43" t="n"/>
    </row>
    <row r="133" ht="15.75" customHeight="1">
      <c r="B133" s="7" t="inlineStr">
        <is>
          <t>As % of quarterly budget (QTD)</t>
        </is>
      </c>
      <c r="D133" s="17" t="inlineStr">
        <is>
          <t>%</t>
        </is>
      </c>
      <c r="E133" s="43" t="n"/>
      <c r="F133" s="43" t="n"/>
      <c r="G133" s="43" t="n"/>
      <c r="H133" s="43" t="n"/>
      <c r="I133" s="43" t="n"/>
      <c r="J133" s="43" t="n"/>
      <c r="K133" s="43" t="n"/>
      <c r="L133" s="43" t="n"/>
      <c r="M133" s="43" t="n"/>
      <c r="N133" s="43" t="n"/>
      <c r="O133" s="43" t="n"/>
      <c r="P133" s="43" t="n"/>
      <c r="Q133" s="43" t="n"/>
      <c r="R133" s="43" t="n"/>
      <c r="S133" s="43" t="n"/>
      <c r="T133" s="43" t="n"/>
      <c r="U133" s="43" t="n"/>
      <c r="V133" s="43" t="n"/>
      <c r="W133" s="43" t="n"/>
      <c r="X133" s="43" t="n"/>
      <c r="Y133" s="43" t="n"/>
      <c r="Z133" s="43" t="n"/>
      <c r="AA133" s="43" t="n"/>
      <c r="AB133" s="43" t="n"/>
      <c r="AC133" s="43" t="n"/>
      <c r="AD133" s="43" t="n"/>
      <c r="AE133" s="43" t="n"/>
      <c r="AF133" s="43" t="n"/>
      <c r="AG133" s="43" t="n"/>
      <c r="AH133" s="43" t="n"/>
      <c r="AI133" s="43" t="n"/>
      <c r="AJ133" s="43" t="n"/>
      <c r="AK133" s="43" t="n"/>
      <c r="AL133" s="43" t="n"/>
      <c r="AM133" s="43" t="n"/>
      <c r="AN133" s="43" t="n"/>
      <c r="AO133" s="43" t="n"/>
      <c r="AP133" s="43" t="n"/>
      <c r="AQ133" s="43" t="n"/>
      <c r="AR133" s="43" t="n"/>
      <c r="AS133" s="43" t="n"/>
      <c r="AT133" s="43" t="n"/>
      <c r="AU133" s="43" t="n"/>
      <c r="AV133" s="43" t="n"/>
      <c r="AW133" s="43" t="n"/>
      <c r="AX133" s="43" t="n"/>
      <c r="AY133" s="43" t="n"/>
      <c r="AZ133" s="43" t="n"/>
      <c r="BA133" s="43" t="n"/>
      <c r="BB133" s="43" t="n"/>
      <c r="BC133" s="43" t="n"/>
      <c r="BD133" s="43" t="n"/>
    </row>
    <row r="134" ht="15.75" customHeight="1">
      <c r="B134" s="7" t="inlineStr">
        <is>
          <t>As % of annual budget (YTD)</t>
        </is>
      </c>
      <c r="D134" s="17" t="inlineStr">
        <is>
          <t>%</t>
        </is>
      </c>
      <c r="E134" s="43" t="n"/>
      <c r="F134" s="43" t="n"/>
      <c r="G134" s="43" t="n"/>
      <c r="H134" s="43" t="n"/>
      <c r="I134" s="43" t="n"/>
      <c r="J134" s="43" t="n"/>
      <c r="K134" s="43" t="n"/>
      <c r="L134" s="43" t="n"/>
      <c r="M134" s="43" t="n"/>
      <c r="N134" s="43" t="n"/>
      <c r="O134" s="43" t="n"/>
      <c r="P134" s="43" t="n"/>
      <c r="Q134" s="43" t="n"/>
      <c r="R134" s="43" t="n"/>
      <c r="S134" s="43" t="n"/>
      <c r="T134" s="43" t="n"/>
      <c r="U134" s="43" t="n"/>
      <c r="V134" s="43" t="n"/>
      <c r="W134" s="43" t="n"/>
      <c r="X134" s="43" t="n"/>
      <c r="Y134" s="43" t="n"/>
      <c r="Z134" s="43" t="n"/>
      <c r="AA134" s="43" t="n"/>
      <c r="AB134" s="43" t="n"/>
      <c r="AC134" s="43" t="n"/>
      <c r="AD134" s="43" t="n"/>
      <c r="AE134" s="43" t="n"/>
      <c r="AF134" s="43" t="n"/>
      <c r="AG134" s="43" t="n"/>
      <c r="AH134" s="43" t="n"/>
      <c r="AI134" s="43" t="n"/>
      <c r="AJ134" s="43" t="n"/>
      <c r="AK134" s="43" t="n"/>
      <c r="AL134" s="43" t="n"/>
      <c r="AM134" s="43" t="n"/>
      <c r="AN134" s="43" t="n"/>
      <c r="AO134" s="43" t="n"/>
      <c r="AP134" s="43" t="n"/>
      <c r="AQ134" s="43" t="n"/>
      <c r="AR134" s="43" t="n"/>
      <c r="AS134" s="43" t="n"/>
      <c r="AT134" s="43" t="n"/>
      <c r="AU134" s="43" t="n"/>
      <c r="AV134" s="43" t="n"/>
      <c r="AW134" s="43" t="n"/>
      <c r="AX134" s="43" t="n"/>
      <c r="AY134" s="43" t="n"/>
      <c r="AZ134" s="43" t="n"/>
      <c r="BA134" s="43" t="n"/>
      <c r="BB134" s="43" t="n"/>
      <c r="BC134" s="43" t="n"/>
      <c r="BD134" s="43" t="n"/>
    </row>
    <row r="135"/>
    <row r="136"/>
    <row r="137" customFormat="1" s="29">
      <c r="A137" s="28" t="inlineStr">
        <is>
          <t>The Home Deport (In-store + Online)</t>
        </is>
      </c>
      <c r="D137" s="30" t="n"/>
    </row>
    <row r="138">
      <c r="A138" s="40" t="inlineStr">
        <is>
          <t>Sell-in value</t>
        </is>
      </c>
      <c r="D138" s="24" t="inlineStr">
        <is>
          <t>$k</t>
        </is>
      </c>
      <c r="E138" s="42" t="n">
        <v>57.569</v>
      </c>
      <c r="F138" s="42" t="n">
        <v>222.528</v>
      </c>
      <c r="G138" s="42" t="n">
        <v>196.031</v>
      </c>
      <c r="H138" s="42" t="n">
        <v>142.685</v>
      </c>
      <c r="I138" s="42" t="n">
        <v>1550.09</v>
      </c>
      <c r="J138" s="42" t="n">
        <v>579.847</v>
      </c>
      <c r="K138" s="42" t="n">
        <v>80.14</v>
      </c>
      <c r="L138" s="42" t="n">
        <v>363.178</v>
      </c>
      <c r="M138" s="42" t="n">
        <v>133.191</v>
      </c>
      <c r="N138" s="42" t="n">
        <v>279.306</v>
      </c>
      <c r="O138" s="42" t="n">
        <v>125.933</v>
      </c>
      <c r="P138" s="42" t="n">
        <v>476.66</v>
      </c>
      <c r="Q138" s="42" t="n">
        <v>169.942</v>
      </c>
      <c r="R138" s="42" t="n">
        <v>-1119.731</v>
      </c>
      <c r="S138" s="42" t="n">
        <v>58.988</v>
      </c>
      <c r="T138" s="42" t="n">
        <v>191.748</v>
      </c>
      <c r="U138" s="42" t="n">
        <v>95.827</v>
      </c>
      <c r="V138" s="42" t="n">
        <v>192.472</v>
      </c>
      <c r="W138" s="42" t="n">
        <v>205.05</v>
      </c>
      <c r="X138" s="42" t="n">
        <v>247.52</v>
      </c>
      <c r="Y138" s="42" t="n">
        <v>372.917</v>
      </c>
      <c r="Z138" s="42" t="n">
        <v>136.111</v>
      </c>
      <c r="AA138" s="42" t="n">
        <v>104.763</v>
      </c>
      <c r="AB138" s="42" t="n">
        <v>1051.633</v>
      </c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</row>
    <row r="139" customFormat="1" s="4">
      <c r="A139" s="3" t="n"/>
      <c r="B139" s="4" t="inlineStr">
        <is>
          <t>% of Total - YTD</t>
        </is>
      </c>
      <c r="D139" s="33" t="inlineStr">
        <is>
          <t>%</t>
        </is>
      </c>
      <c r="E139" s="46">
        <f>IFERROR(SUM($E$138:E138)/SUM($E$3:E3),"")</f>
        <v/>
      </c>
      <c r="F139" s="46">
        <f>IFERROR(SUM($E$138:F138)/SUM($E$3:F3),"")</f>
        <v/>
      </c>
      <c r="G139" s="46">
        <f>IFERROR(SUM($E$138:G138)/SUM($E$3:G3),"")</f>
        <v/>
      </c>
      <c r="H139" s="46">
        <f>IFERROR(SUM($E$138:H138)/SUM($E$3:H3),"")</f>
        <v/>
      </c>
      <c r="I139" s="46">
        <f>IFERROR(SUM($E$138:I138)/SUM($E$3:I3),"")</f>
        <v/>
      </c>
      <c r="J139" s="46">
        <f>IFERROR(SUM($E$138:J138)/SUM($E$3:J3),"")</f>
        <v/>
      </c>
      <c r="K139" s="46">
        <f>IFERROR(SUM($E$138:K138)/SUM($E$3:K3),"")</f>
        <v/>
      </c>
      <c r="L139" s="46">
        <f>IFERROR(SUM($E$138:L138)/SUM($E$3:L3),"")</f>
        <v/>
      </c>
      <c r="M139" s="46">
        <f>IFERROR(SUM($E$138:M138)/SUM($E$3:M3),"")</f>
        <v/>
      </c>
      <c r="N139" s="46">
        <f>IFERROR(SUM($E$138:N138)/SUM($E$3:N3),"")</f>
        <v/>
      </c>
      <c r="O139" s="46">
        <f>IFERROR(SUM($E$138:O138)/SUM($E$3:O3),"")</f>
        <v/>
      </c>
      <c r="P139" s="46">
        <f>IFERROR(SUM($E$138:P138)/SUM($E$3:P3),"")</f>
        <v/>
      </c>
      <c r="Q139" s="46">
        <f>IFERROR(SUM($E$138:Q138)/SUM($E$3:Q3),"")</f>
        <v/>
      </c>
      <c r="R139" s="46">
        <f>IFERROR(SUM($E$138:R138)/SUM($E$3:R3),"")</f>
        <v/>
      </c>
      <c r="S139" s="46">
        <f>IFERROR(SUM($E$138:S138)/SUM($E$3:S3),"")</f>
        <v/>
      </c>
      <c r="T139" s="46">
        <f>IFERROR(SUM($E$138:T138)/SUM($E$3:T3),"")</f>
        <v/>
      </c>
      <c r="U139" s="46">
        <f>IFERROR(SUM($E$138:U138)/SUM($E$3:U3),"")</f>
        <v/>
      </c>
      <c r="V139" s="46">
        <f>IFERROR(SUM($E$138:V138)/SUM($E$3:V3),"")</f>
        <v/>
      </c>
      <c r="W139" s="46">
        <f>IFERROR(SUM($E$138:W138)/SUM($E$3:W3),"")</f>
        <v/>
      </c>
      <c r="X139" s="46">
        <f>IFERROR(SUM($E$138:X138)/SUM($E$3:X3),"")</f>
        <v/>
      </c>
      <c r="Y139" s="46">
        <f>IFERROR(SUM($E$138:Y138)/SUM($E$3:Y3),"")</f>
        <v/>
      </c>
      <c r="Z139" s="46">
        <f>IFERROR(SUM($E$138:Z138)/SUM($E$3:Z3),"")</f>
        <v/>
      </c>
      <c r="AA139" s="46">
        <f>IFERROR(SUM($E$138:AA138)/SUM($E$3:AA3),"")</f>
        <v/>
      </c>
      <c r="AB139" s="46">
        <f>IFERROR(SUM($E$138:AB138)/SUM($E$3:AB3),"")</f>
        <v/>
      </c>
      <c r="AC139" s="46" t="n"/>
      <c r="AD139" s="46" t="n"/>
      <c r="AE139" s="46" t="n"/>
      <c r="AF139" s="46" t="n"/>
      <c r="AG139" s="46" t="n"/>
      <c r="AH139" s="46" t="n"/>
      <c r="AI139" s="46" t="n"/>
      <c r="AJ139" s="46" t="n"/>
      <c r="AK139" s="46" t="n"/>
      <c r="AL139" s="46" t="n"/>
      <c r="AM139" s="46" t="n"/>
      <c r="AN139" s="46" t="n"/>
      <c r="AO139" s="46" t="n"/>
      <c r="AP139" s="46" t="n"/>
      <c r="AQ139" s="46" t="n"/>
      <c r="AR139" s="46" t="n"/>
      <c r="AS139" s="46" t="n"/>
      <c r="AT139" s="46" t="n"/>
      <c r="AU139" s="46" t="n"/>
      <c r="AV139" s="46" t="n"/>
      <c r="AW139" s="46" t="n"/>
      <c r="AX139" s="46" t="n"/>
      <c r="AY139" s="46" t="n"/>
      <c r="AZ139" s="46" t="n"/>
      <c r="BA139" s="46" t="n"/>
      <c r="BB139" s="46" t="n"/>
      <c r="BC139" s="46" t="n"/>
      <c r="BD139" s="46" t="n"/>
    </row>
    <row r="140" customFormat="1" s="7">
      <c r="B140" s="7" t="inlineStr">
        <is>
          <t>% of Target</t>
        </is>
      </c>
      <c r="D140" s="8" t="inlineStr">
        <is>
          <t>%</t>
        </is>
      </c>
      <c r="E140" s="43">
        <f>IFERROR(E138/E142,"")</f>
        <v/>
      </c>
      <c r="F140" s="43">
        <f>IFERROR(F138/F142,"")</f>
        <v/>
      </c>
      <c r="G140" s="43">
        <f>IFERROR(G138/G142,"")</f>
        <v/>
      </c>
      <c r="H140" s="43">
        <f>IFERROR(H138/H142,"")</f>
        <v/>
      </c>
      <c r="I140" s="43">
        <f>IFERROR(I138/I142,"")</f>
        <v/>
      </c>
      <c r="J140" s="43">
        <f>IFERROR(J138/J142,"")</f>
        <v/>
      </c>
      <c r="K140" s="43">
        <f>IFERROR(K138/K142,"")</f>
        <v/>
      </c>
      <c r="L140" s="43">
        <f>IFERROR(L138/L142,"")</f>
        <v/>
      </c>
      <c r="M140" s="43">
        <f>IFERROR(M138/M142,"")</f>
        <v/>
      </c>
      <c r="N140" s="43">
        <f>IFERROR(N138/N142,"")</f>
        <v/>
      </c>
      <c r="O140" s="43">
        <f>IFERROR(O138/O142,"")</f>
        <v/>
      </c>
      <c r="P140" s="43">
        <f>IFERROR(P138/P142,"")</f>
        <v/>
      </c>
      <c r="Q140" s="43">
        <f>IFERROR(Q138/Q142,"")</f>
        <v/>
      </c>
      <c r="R140" s="43">
        <f>IFERROR(R138/R142,"")</f>
        <v/>
      </c>
      <c r="S140" s="43">
        <f>IFERROR(S138/S142,"")</f>
        <v/>
      </c>
      <c r="T140" s="43">
        <f>IFERROR(T138/T142,"")</f>
        <v/>
      </c>
      <c r="U140" s="43">
        <f>IFERROR(U138/U142,"")</f>
        <v/>
      </c>
      <c r="V140" s="43">
        <f>IFERROR(V138/V142,"")</f>
        <v/>
      </c>
      <c r="W140" s="43">
        <f>IFERROR(W138/W142,"")</f>
        <v/>
      </c>
      <c r="X140" s="43">
        <f>IFERROR(X138/X142,"")</f>
        <v/>
      </c>
      <c r="Y140" s="43">
        <f>IFERROR(Y138/Y142,"")</f>
        <v/>
      </c>
      <c r="Z140" s="43">
        <f>IFERROR(Z138/Z142,"")</f>
        <v/>
      </c>
      <c r="AA140" s="43">
        <f>IFERROR(AA138/AA142,"")</f>
        <v/>
      </c>
      <c r="AB140" s="43">
        <f>IFERROR(AB138/AB142,"")</f>
        <v/>
      </c>
      <c r="AC140" s="43" t="n"/>
      <c r="AD140" s="43" t="n"/>
      <c r="AE140" s="43" t="n"/>
      <c r="AF140" s="43" t="n"/>
      <c r="AG140" s="43" t="n"/>
      <c r="AH140" s="43" t="n"/>
      <c r="AI140" s="43" t="n"/>
      <c r="AJ140" s="43" t="n"/>
      <c r="AK140" s="43" t="n"/>
      <c r="AL140" s="43" t="n"/>
      <c r="AM140" s="43" t="n"/>
      <c r="AN140" s="43" t="n"/>
      <c r="AO140" s="43" t="n"/>
      <c r="AP140" s="43" t="n"/>
      <c r="AQ140" s="43" t="n"/>
      <c r="AR140" s="43" t="n"/>
      <c r="AS140" s="43" t="n"/>
      <c r="AT140" s="43" t="n"/>
      <c r="AU140" s="43" t="n"/>
      <c r="AV140" s="43" t="n"/>
      <c r="AW140" s="43" t="n"/>
      <c r="AX140" s="43" t="n"/>
      <c r="AY140" s="43" t="n"/>
      <c r="AZ140" s="43" t="n"/>
      <c r="BA140" s="43" t="n"/>
      <c r="BB140" s="43" t="n"/>
      <c r="BC140" s="43" t="n"/>
      <c r="BD140" s="43" t="n"/>
    </row>
    <row r="141" ht="15.75" customFormat="1" customHeight="1" s="7">
      <c r="B141" s="7" t="inlineStr">
        <is>
          <t>% of Target - YTD</t>
        </is>
      </c>
      <c r="C141" s="16" t="n"/>
      <c r="D141" s="17" t="inlineStr">
        <is>
          <t>%</t>
        </is>
      </c>
      <c r="E141" s="43">
        <f>IFERROR(SUMIF($E$142:E142,"&lt;&gt;",$E$138:E138)/SUM($E$142:E142),"")</f>
        <v/>
      </c>
      <c r="F141" s="43">
        <f>IFERROR(SUMIF($E$142:F142,"&lt;&gt;",$E$138:F138)/SUM($E$142:F142),"")</f>
        <v/>
      </c>
      <c r="G141" s="43">
        <f>IFERROR(SUMIF($E$142:G142,"&lt;&gt;",$E$138:G138)/SUM($E$142:G142),"")</f>
        <v/>
      </c>
      <c r="H141" s="43">
        <f>IFERROR(SUMIF($E$142:H142,"&lt;&gt;",$E$138:H138)/SUM($E$142:H142),"")</f>
        <v/>
      </c>
      <c r="I141" s="43">
        <f>IFERROR(SUMIF($E$142:I142,"&lt;&gt;",$E$138:I138)/SUM($E$142:I142),"")</f>
        <v/>
      </c>
      <c r="J141" s="43">
        <f>IFERROR(SUMIF($E$142:J142,"&lt;&gt;",$E$138:J138)/SUM($E$142:J142),"")</f>
        <v/>
      </c>
      <c r="K141" s="43">
        <f>IFERROR(SUMIF($E$142:K142,"&lt;&gt;",$E$138:K138)/SUM($E$142:K142),"")</f>
        <v/>
      </c>
      <c r="L141" s="43">
        <f>IFERROR(SUMIF($E$142:L142,"&lt;&gt;",$E$138:L138)/SUM($E$142:L142),"")</f>
        <v/>
      </c>
      <c r="M141" s="43">
        <f>IFERROR(SUMIF($E$142:M142,"&lt;&gt;",$E$138:M138)/SUM($E$142:M142),"")</f>
        <v/>
      </c>
      <c r="N141" s="43">
        <f>IFERROR(SUMIF($E$142:N142,"&lt;&gt;",$E$138:N138)/SUM($E$142:N142),"")</f>
        <v/>
      </c>
      <c r="O141" s="43">
        <f>IFERROR(SUMIF($E$142:O142,"&lt;&gt;",$E$138:O138)/SUM($E$142:O142),"")</f>
        <v/>
      </c>
      <c r="P141" s="43">
        <f>IFERROR(SUMIF($E$142:P142,"&lt;&gt;",$E$138:P138)/SUM($E$142:P142),"")</f>
        <v/>
      </c>
      <c r="Q141" s="43">
        <f>IFERROR(SUMIF($E$142:Q142,"&lt;&gt;",$E$138:Q138)/SUM($E$142:Q142),"")</f>
        <v/>
      </c>
      <c r="R141" s="43">
        <f>IFERROR(SUMIF($E$142:R142,"&lt;&gt;",$E$138:R138)/SUM($E$142:R142),"")</f>
        <v/>
      </c>
      <c r="S141" s="43">
        <f>IFERROR(SUMIF($E$142:S142,"&lt;&gt;",$E$138:S138)/SUM($E$142:S142),"")</f>
        <v/>
      </c>
      <c r="T141" s="43">
        <f>IFERROR(SUMIF($E$142:T142,"&lt;&gt;",$E$138:T138)/SUM($E$142:T142),"")</f>
        <v/>
      </c>
      <c r="U141" s="43">
        <f>IFERROR(SUMIF($E$142:U142,"&lt;&gt;",$E$138:U138)/SUM($E$142:U142),"")</f>
        <v/>
      </c>
      <c r="V141" s="43">
        <f>IFERROR(SUMIF($E$142:V142,"&lt;&gt;",$E$138:V138)/SUM($E$142:V142),"")</f>
        <v/>
      </c>
      <c r="W141" s="43">
        <f>IFERROR(SUMIF($E$142:W142,"&lt;&gt;",$E$138:W138)/SUM($E$142:W142),"")</f>
        <v/>
      </c>
      <c r="X141" s="43">
        <f>IFERROR(SUMIF($E$142:X142,"&lt;&gt;",$E$138:X138)/SUM($E$142:X142),"")</f>
        <v/>
      </c>
      <c r="Y141" s="43">
        <f>IFERROR(SUMIF($E$142:Y142,"&lt;&gt;",$E$138:Y138)/SUM($E$142:Y142),"")</f>
        <v/>
      </c>
      <c r="Z141" s="43">
        <f>IFERROR(SUMIF($E$142:Z142,"&lt;&gt;",$E$138:Z138)/SUM($E$142:Z142),"")</f>
        <v/>
      </c>
      <c r="AA141" s="43">
        <f>IFERROR(SUMIF($E$142:AA142,"&lt;&gt;",$E$138:AA138)/SUM($E$142:AA142),"")</f>
        <v/>
      </c>
      <c r="AB141" s="43">
        <f>IFERROR(SUMIF($E$142:AB142,"&lt;&gt;",$E$138:AB138)/SUM($E$142:AB142),"")</f>
        <v/>
      </c>
      <c r="AC141" s="43" t="n"/>
      <c r="AD141" s="43" t="n"/>
      <c r="AE141" s="43" t="n"/>
      <c r="AF141" s="43" t="n"/>
      <c r="AG141" s="43" t="n"/>
      <c r="AH141" s="43" t="n"/>
      <c r="AI141" s="43" t="n"/>
      <c r="AJ141" s="43" t="n"/>
      <c r="AK141" s="43" t="n"/>
      <c r="AL141" s="43" t="n"/>
      <c r="AM141" s="43" t="n"/>
      <c r="AN141" s="43" t="n"/>
      <c r="AO141" s="43" t="n"/>
      <c r="AP141" s="43" t="n"/>
      <c r="AQ141" s="43" t="n"/>
      <c r="AR141" s="43" t="n"/>
      <c r="AS141" s="43" t="n"/>
      <c r="AT141" s="43" t="n"/>
      <c r="AU141" s="43" t="n"/>
      <c r="AV141" s="43" t="n"/>
      <c r="AW141" s="43" t="n"/>
      <c r="AX141" s="43" t="n"/>
      <c r="AY141" s="43" t="n"/>
      <c r="AZ141" s="43" t="n"/>
      <c r="BA141" s="43" t="n"/>
      <c r="BB141" s="43" t="n"/>
      <c r="BC141" s="43" t="n"/>
      <c r="BD141" s="43" t="n"/>
    </row>
    <row r="142" customFormat="1" s="9">
      <c r="B142" s="9" t="inlineStr">
        <is>
          <t>Target</t>
        </is>
      </c>
      <c r="D142" s="10" t="inlineStr">
        <is>
          <t>$k</t>
        </is>
      </c>
      <c r="E142" s="44" t="n">
        <v>371.427515208</v>
      </c>
      <c r="F142" s="44" t="n">
        <v>649.998151614</v>
      </c>
      <c r="G142" s="44" t="n">
        <v>649.998151614</v>
      </c>
      <c r="H142" s="44" t="n">
        <v>649.998151614</v>
      </c>
      <c r="I142" s="44" t="n">
        <v>593.715730214</v>
      </c>
      <c r="J142" s="44" t="n">
        <v>256.02325</v>
      </c>
      <c r="K142" s="44" t="n">
        <v>256.02325</v>
      </c>
      <c r="L142" s="44" t="n">
        <v>256.02325</v>
      </c>
      <c r="M142" s="44" t="n">
        <v>261.432611856</v>
      </c>
      <c r="N142" s="44" t="n">
        <v>293.886734806</v>
      </c>
      <c r="O142" s="44" t="n">
        <v>293.886734806</v>
      </c>
      <c r="P142" s="44" t="n">
        <v>293.886734806</v>
      </c>
      <c r="Q142" s="44" t="n">
        <v>293.886734806</v>
      </c>
      <c r="R142" s="44" t="n">
        <v>274.713186673</v>
      </c>
      <c r="S142" s="44" t="n">
        <v>267.042851843</v>
      </c>
      <c r="T142" s="44" t="n">
        <v>267.042851843</v>
      </c>
      <c r="U142" s="44" t="n">
        <v>267.042851843</v>
      </c>
      <c r="V142" s="44" t="n">
        <v>284.745874639</v>
      </c>
      <c r="W142" s="44" t="n">
        <v>308.350286524</v>
      </c>
      <c r="X142" s="44" t="n">
        <v>308.350286524</v>
      </c>
      <c r="Y142" s="44" t="n">
        <v>308.350286524</v>
      </c>
      <c r="Z142" s="44" t="n">
        <v>308.350286524</v>
      </c>
      <c r="AA142" s="44" t="n">
        <v>313.450685546</v>
      </c>
      <c r="AB142" s="44" t="n">
        <v>313.450685546</v>
      </c>
      <c r="AC142" s="44" t="n"/>
      <c r="AD142" s="44" t="n"/>
      <c r="AE142" s="44" t="n"/>
      <c r="AF142" s="44" t="n"/>
      <c r="AG142" s="44" t="n"/>
      <c r="AH142" s="44" t="n"/>
      <c r="AI142" s="44" t="n"/>
      <c r="AJ142" s="44" t="n"/>
      <c r="AK142" s="44" t="n"/>
      <c r="AL142" s="44" t="n"/>
      <c r="AM142" s="44" t="n"/>
      <c r="AN142" s="44" t="n"/>
      <c r="AO142" s="44" t="n"/>
      <c r="AP142" s="44" t="n"/>
      <c r="AQ142" s="44" t="n"/>
      <c r="AR142" s="44" t="n"/>
      <c r="AS142" s="44" t="n"/>
      <c r="AT142" s="44" t="n"/>
      <c r="AU142" s="44" t="n"/>
      <c r="AV142" s="44" t="n"/>
      <c r="AW142" s="44" t="n"/>
      <c r="AX142" s="44" t="n"/>
      <c r="AY142" s="44" t="n"/>
      <c r="AZ142" s="44" t="n"/>
      <c r="BA142" s="44" t="n"/>
      <c r="BB142" s="44" t="n"/>
      <c r="BC142" s="44" t="n"/>
      <c r="BD142" s="44" t="n"/>
    </row>
    <row r="143"/>
    <row r="144">
      <c r="A144" s="40" t="inlineStr">
        <is>
          <t xml:space="preserve">Sell-through units </t>
        </is>
      </c>
      <c r="D144" s="24" t="inlineStr">
        <is>
          <t>#</t>
        </is>
      </c>
      <c r="E144" s="42" t="n">
        <v>7925</v>
      </c>
      <c r="F144" s="42" t="n">
        <v>6591</v>
      </c>
      <c r="G144" s="42" t="n">
        <v>6586</v>
      </c>
      <c r="H144" s="42" t="n">
        <v>6032</v>
      </c>
      <c r="I144" s="42" t="n">
        <v>5612</v>
      </c>
      <c r="J144" s="42" t="n">
        <v>5652</v>
      </c>
      <c r="K144" s="42" t="n">
        <v>6200</v>
      </c>
      <c r="L144" s="42" t="n">
        <v>6980</v>
      </c>
      <c r="M144" s="42" t="n">
        <v>7594</v>
      </c>
      <c r="N144" s="42" t="n">
        <v>7368</v>
      </c>
      <c r="O144" s="42" t="n">
        <v>7153</v>
      </c>
      <c r="P144" s="42" t="n">
        <v>6180</v>
      </c>
      <c r="Q144" s="42" t="n">
        <v>6985</v>
      </c>
      <c r="R144" s="42" t="n">
        <v>6180</v>
      </c>
      <c r="S144" s="42" t="n">
        <v>6722</v>
      </c>
      <c r="T144" s="42" t="n">
        <v>6514</v>
      </c>
      <c r="U144" s="42" t="n">
        <v>5646</v>
      </c>
      <c r="V144" s="42" t="n">
        <v>5684</v>
      </c>
      <c r="W144" s="42" t="n">
        <v>5775</v>
      </c>
      <c r="X144" s="42" t="n">
        <v>5340</v>
      </c>
      <c r="Y144" s="42" t="n">
        <v>6157</v>
      </c>
      <c r="Z144" s="42" t="n">
        <v>6522</v>
      </c>
      <c r="AA144" s="42" t="n">
        <v>7764</v>
      </c>
      <c r="AB144" s="42" t="n">
        <v>8184</v>
      </c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</row>
    <row r="145" customFormat="1" s="4">
      <c r="A145" s="3" t="n"/>
      <c r="B145" s="4" t="inlineStr">
        <is>
          <t>% of Total - YTD</t>
        </is>
      </c>
      <c r="D145" s="33" t="inlineStr">
        <is>
          <t>%</t>
        </is>
      </c>
      <c r="E145" s="46">
        <f>IFERROR(SUM($E$144:E144)/SUM($E$4:E4),"")</f>
        <v/>
      </c>
      <c r="F145" s="46">
        <f>IFERROR(SUM($E$144:F144)/SUM($E$4:F4),"")</f>
        <v/>
      </c>
      <c r="G145" s="46">
        <f>IFERROR(SUM($E$144:G144)/SUM($E$4:G4),"")</f>
        <v/>
      </c>
      <c r="H145" s="46">
        <f>IFERROR(SUM($E$144:H144)/SUM($E$4:H4),"")</f>
        <v/>
      </c>
      <c r="I145" s="46">
        <f>IFERROR(SUM($E$144:I144)/SUM($E$4:I4),"")</f>
        <v/>
      </c>
      <c r="J145" s="46">
        <f>IFERROR(SUM($E$144:J144)/SUM($E$4:J4),"")</f>
        <v/>
      </c>
      <c r="K145" s="46">
        <f>IFERROR(SUM($E$144:K144)/SUM($E$4:K4),"")</f>
        <v/>
      </c>
      <c r="L145" s="46">
        <f>IFERROR(SUM($E$144:L144)/SUM($E$4:L4),"")</f>
        <v/>
      </c>
      <c r="M145" s="46">
        <f>IFERROR(SUM($E$144:M144)/SUM($E$4:M4),"")</f>
        <v/>
      </c>
      <c r="N145" s="46">
        <f>IFERROR(SUM($E$144:N144)/SUM($E$4:N4),"")</f>
        <v/>
      </c>
      <c r="O145" s="46">
        <f>IFERROR(SUM($E$144:O144)/SUM($E$4:O4),"")</f>
        <v/>
      </c>
      <c r="P145" s="46">
        <f>IFERROR(SUM($E$144:P144)/SUM($E$4:P4),"")</f>
        <v/>
      </c>
      <c r="Q145" s="46">
        <f>IFERROR(SUM($E$144:Q144)/SUM($E$4:Q4),"")</f>
        <v/>
      </c>
      <c r="R145" s="46">
        <f>IFERROR(SUM($E$144:R144)/SUM($E$4:R4),"")</f>
        <v/>
      </c>
      <c r="S145" s="46">
        <f>IFERROR(SUM($E$144:S144)/SUM($E$4:S4),"")</f>
        <v/>
      </c>
      <c r="T145" s="46">
        <f>IFERROR(SUM($E$144:T144)/SUM($E$4:T4),"")</f>
        <v/>
      </c>
      <c r="U145" s="46">
        <f>IFERROR(SUM($E$144:U144)/SUM($E$4:U4),"")</f>
        <v/>
      </c>
      <c r="V145" s="46">
        <f>IFERROR(SUM($E$144:V144)/SUM($E$4:V4),"")</f>
        <v/>
      </c>
      <c r="W145" s="46">
        <f>IFERROR(SUM($E$144:W144)/SUM($E$4:W4),"")</f>
        <v/>
      </c>
      <c r="X145" s="46">
        <f>IFERROR(SUM($E$144:X144)/SUM($E$4:X4),"")</f>
        <v/>
      </c>
      <c r="Y145" s="46">
        <f>IFERROR(SUM($E$144:Y144)/SUM($E$4:Y4),"")</f>
        <v/>
      </c>
      <c r="Z145" s="46">
        <f>IFERROR(SUM($E$144:Z144)/SUM($E$4:Z4),"")</f>
        <v/>
      </c>
      <c r="AA145" s="46">
        <f>IFERROR(SUM($E$144:AA144)/SUM($E$4:AA4),"")</f>
        <v/>
      </c>
      <c r="AB145" s="46">
        <f>IFERROR(SUM($E$144:AB144)/SUM($E$4:AB4),"")</f>
        <v/>
      </c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  <c r="AL145" s="46" t="n"/>
      <c r="AM145" s="46" t="n"/>
      <c r="AN145" s="46" t="n"/>
      <c r="AO145" s="46" t="n"/>
      <c r="AP145" s="46" t="n"/>
      <c r="AQ145" s="46" t="n"/>
      <c r="AR145" s="46" t="n"/>
      <c r="AS145" s="46" t="n"/>
      <c r="AT145" s="46" t="n"/>
      <c r="AU145" s="46" t="n"/>
      <c r="AV145" s="46" t="n"/>
      <c r="AW145" s="46" t="n"/>
      <c r="AX145" s="46" t="n"/>
      <c r="AY145" s="46" t="n"/>
      <c r="AZ145" s="46" t="n"/>
      <c r="BA145" s="46" t="n"/>
      <c r="BB145" s="46" t="n"/>
      <c r="BC145" s="46" t="n"/>
      <c r="BD145" s="46" t="n"/>
    </row>
    <row r="146" customFormat="1" s="16">
      <c r="A146" s="15" t="n"/>
      <c r="B146" s="16" t="inlineStr">
        <is>
          <t>% of Target</t>
        </is>
      </c>
      <c r="D146" s="17" t="inlineStr">
        <is>
          <t>%</t>
        </is>
      </c>
      <c r="E146" s="43">
        <f>IFERROR(E144/E148,"")</f>
        <v/>
      </c>
      <c r="F146" s="43">
        <f>IFERROR(F144/F148,"")</f>
        <v/>
      </c>
      <c r="G146" s="43">
        <f>IFERROR(G144/G148,"")</f>
        <v/>
      </c>
      <c r="H146" s="43">
        <f>IFERROR(H144/H148,"")</f>
        <v/>
      </c>
      <c r="I146" s="43">
        <f>IFERROR(I144/I148,"")</f>
        <v/>
      </c>
      <c r="J146" s="43">
        <f>IFERROR(J144/J148,"")</f>
        <v/>
      </c>
      <c r="K146" s="43">
        <f>IFERROR(K144/K148,"")</f>
        <v/>
      </c>
      <c r="L146" s="43">
        <f>IFERROR(L144/L148,"")</f>
        <v/>
      </c>
      <c r="M146" s="43">
        <f>IFERROR(M144/M148,"")</f>
        <v/>
      </c>
      <c r="N146" s="43">
        <f>IFERROR(N144/N148,"")</f>
        <v/>
      </c>
      <c r="O146" s="43">
        <f>IFERROR(O144/O148,"")</f>
        <v/>
      </c>
      <c r="P146" s="43">
        <f>IFERROR(P144/P148,"")</f>
        <v/>
      </c>
      <c r="Q146" s="43">
        <f>IFERROR(Q144/Q148,"")</f>
        <v/>
      </c>
      <c r="R146" s="43">
        <f>IFERROR(R144/R148,"")</f>
        <v/>
      </c>
      <c r="S146" s="43">
        <f>IFERROR(S144/S148,"")</f>
        <v/>
      </c>
      <c r="T146" s="43">
        <f>IFERROR(T144/T148,"")</f>
        <v/>
      </c>
      <c r="U146" s="43">
        <f>IFERROR(U144/U148,"")</f>
        <v/>
      </c>
      <c r="V146" s="43">
        <f>IFERROR(V144/V148,"")</f>
        <v/>
      </c>
      <c r="W146" s="43">
        <f>IFERROR(W144/W148,"")</f>
        <v/>
      </c>
      <c r="X146" s="43">
        <f>IFERROR(X144/X148,"")</f>
        <v/>
      </c>
      <c r="Y146" s="43">
        <f>IFERROR(Y144/Y148,"")</f>
        <v/>
      </c>
      <c r="Z146" s="43">
        <f>IFERROR(Z144/Z148,"")</f>
        <v/>
      </c>
      <c r="AA146" s="43">
        <f>IFERROR(AA144/AA148,"")</f>
        <v/>
      </c>
      <c r="AB146" s="43">
        <f>IFERROR(AB144/AB148,"")</f>
        <v/>
      </c>
      <c r="AC146" s="43" t="n"/>
      <c r="AD146" s="43" t="n"/>
      <c r="AE146" s="43" t="n"/>
      <c r="AF146" s="43" t="n"/>
      <c r="AG146" s="43" t="n"/>
      <c r="AH146" s="43" t="n"/>
      <c r="AI146" s="43" t="n"/>
      <c r="AJ146" s="43" t="n"/>
      <c r="AK146" s="43" t="n"/>
      <c r="AL146" s="43" t="n"/>
      <c r="AM146" s="43" t="n"/>
      <c r="AN146" s="43" t="n"/>
      <c r="AO146" s="43" t="n"/>
      <c r="AP146" s="43" t="n"/>
      <c r="AQ146" s="43" t="n"/>
      <c r="AR146" s="43" t="n"/>
      <c r="AS146" s="43" t="n"/>
      <c r="AT146" s="43" t="n"/>
      <c r="AU146" s="43" t="n"/>
      <c r="AV146" s="43" t="n"/>
      <c r="AW146" s="43" t="n"/>
      <c r="AX146" s="43" t="n"/>
      <c r="AY146" s="43" t="n"/>
      <c r="AZ146" s="43" t="n"/>
      <c r="BA146" s="43" t="n"/>
      <c r="BB146" s="43" t="n"/>
      <c r="BC146" s="43" t="n"/>
      <c r="BD146" s="43" t="n"/>
    </row>
    <row r="147" ht="15.75" customFormat="1" customHeight="1" s="16">
      <c r="A147" s="15" t="n"/>
      <c r="B147" s="7" t="inlineStr">
        <is>
          <t>% of Target - YTD</t>
        </is>
      </c>
      <c r="D147" s="17" t="inlineStr">
        <is>
          <t>%</t>
        </is>
      </c>
      <c r="E147" s="43">
        <f>IFERROR(SUMIF($E$148:E148,"&lt;&gt;",$E$144:E144)/SUM($E$148:E148),"")</f>
        <v/>
      </c>
      <c r="F147" s="43">
        <f>IFERROR(SUMIF($E$148:F148,"&lt;&gt;",$E$144:F144)/SUM($E$148:F148),"")</f>
        <v/>
      </c>
      <c r="G147" s="43">
        <f>IFERROR(SUMIF($E$148:G148,"&lt;&gt;",$E$144:G144)/SUM($E$148:G148),"")</f>
        <v/>
      </c>
      <c r="H147" s="43">
        <f>IFERROR(SUMIF($E$148:H148,"&lt;&gt;",$E$144:H144)/SUM($E$148:H148),"")</f>
        <v/>
      </c>
      <c r="I147" s="43">
        <f>IFERROR(SUMIF($E$148:I148,"&lt;&gt;",$E$144:I144)/SUM($E$148:I148),"")</f>
        <v/>
      </c>
      <c r="J147" s="43">
        <f>IFERROR(SUMIF($E$148:J148,"&lt;&gt;",$E$144:J144)/SUM($E$148:J148),"")</f>
        <v/>
      </c>
      <c r="K147" s="43">
        <f>IFERROR(SUMIF($E$148:K148,"&lt;&gt;",$E$144:K144)/SUM($E$148:K148),"")</f>
        <v/>
      </c>
      <c r="L147" s="43">
        <f>IFERROR(SUMIF($E$148:L148,"&lt;&gt;",$E$144:L144)/SUM($E$148:L148),"")</f>
        <v/>
      </c>
      <c r="M147" s="43">
        <f>IFERROR(SUMIF($E$148:M148,"&lt;&gt;",$E$144:M144)/SUM($E$148:M148),"")</f>
        <v/>
      </c>
      <c r="N147" s="43">
        <f>IFERROR(SUMIF($E$148:N148,"&lt;&gt;",$E$144:N144)/SUM($E$148:N148),"")</f>
        <v/>
      </c>
      <c r="O147" s="43">
        <f>IFERROR(SUMIF($E$148:O148,"&lt;&gt;",$E$144:O144)/SUM($E$148:O148),"")</f>
        <v/>
      </c>
      <c r="P147" s="43">
        <f>IFERROR(SUMIF($E$148:P148,"&lt;&gt;",$E$144:P144)/SUM($E$148:P148),"")</f>
        <v/>
      </c>
      <c r="Q147" s="43">
        <f>IFERROR(SUMIF($E$148:Q148,"&lt;&gt;",$E$144:Q144)/SUM($E$148:Q148),"")</f>
        <v/>
      </c>
      <c r="R147" s="43">
        <f>IFERROR(SUMIF($E$148:R148,"&lt;&gt;",$E$144:R144)/SUM($E$148:R148),"")</f>
        <v/>
      </c>
      <c r="S147" s="43">
        <f>IFERROR(SUMIF($E$148:S148,"&lt;&gt;",$E$144:S144)/SUM($E$148:S148),"")</f>
        <v/>
      </c>
      <c r="T147" s="43">
        <f>IFERROR(SUMIF($E$148:T148,"&lt;&gt;",$E$144:T144)/SUM($E$148:T148),"")</f>
        <v/>
      </c>
      <c r="U147" s="43">
        <f>IFERROR(SUMIF($E$148:U148,"&lt;&gt;",$E$144:U144)/SUM($E$148:U148),"")</f>
        <v/>
      </c>
      <c r="V147" s="43">
        <f>IFERROR(SUMIF($E$148:V148,"&lt;&gt;",$E$144:V144)/SUM($E$148:V148),"")</f>
        <v/>
      </c>
      <c r="W147" s="43">
        <f>IFERROR(SUMIF($E$148:W148,"&lt;&gt;",$E$144:W144)/SUM($E$148:W148),"")</f>
        <v/>
      </c>
      <c r="X147" s="43">
        <f>IFERROR(SUMIF($E$148:X148,"&lt;&gt;",$E$144:X144)/SUM($E$148:X148),"")</f>
        <v/>
      </c>
      <c r="Y147" s="43">
        <f>IFERROR(SUMIF($E$148:Y148,"&lt;&gt;",$E$144:Y144)/SUM($E$148:Y148),"")</f>
        <v/>
      </c>
      <c r="Z147" s="43">
        <f>IFERROR(SUMIF($E$148:Z148,"&lt;&gt;",$E$144:Z144)/SUM($E$148:Z148),"")</f>
        <v/>
      </c>
      <c r="AA147" s="43">
        <f>IFERROR(SUMIF($E$148:AA148,"&lt;&gt;",$E$144:AA144)/SUM($E$148:AA148),"")</f>
        <v/>
      </c>
      <c r="AB147" s="43">
        <f>IFERROR(SUMIF($E$148:AB148,"&lt;&gt;",$E$144:AB144)/SUM($E$148:AB148),"")</f>
        <v/>
      </c>
      <c r="AC147" s="43" t="n"/>
      <c r="AD147" s="43" t="n"/>
      <c r="AE147" s="43" t="n"/>
      <c r="AF147" s="43" t="n"/>
      <c r="AG147" s="43" t="n"/>
      <c r="AH147" s="43" t="n"/>
      <c r="AI147" s="43" t="n"/>
      <c r="AJ147" s="43" t="n"/>
      <c r="AK147" s="43" t="n"/>
      <c r="AL147" s="43" t="n"/>
      <c r="AM147" s="43" t="n"/>
      <c r="AN147" s="43" t="n"/>
      <c r="AO147" s="43" t="n"/>
      <c r="AP147" s="43" t="n"/>
      <c r="AQ147" s="43" t="n"/>
      <c r="AR147" s="43" t="n"/>
      <c r="AS147" s="43" t="n"/>
      <c r="AT147" s="43" t="n"/>
      <c r="AU147" s="43" t="n"/>
      <c r="AV147" s="43" t="n"/>
      <c r="AW147" s="43" t="n"/>
      <c r="AX147" s="43" t="n"/>
      <c r="AY147" s="43" t="n"/>
      <c r="AZ147" s="43" t="n"/>
      <c r="BA147" s="43" t="n"/>
      <c r="BB147" s="43" t="n"/>
      <c r="BC147" s="43" t="n"/>
      <c r="BD147" s="43" t="n"/>
    </row>
    <row r="148" customFormat="1" s="13">
      <c r="A148" s="12" t="n"/>
      <c r="B148" s="13" t="inlineStr">
        <is>
          <t>Target</t>
        </is>
      </c>
      <c r="D148" s="14" t="inlineStr">
        <is>
          <t>#</t>
        </is>
      </c>
      <c r="E148" s="44" t="n"/>
      <c r="F148" s="44" t="n">
        <v>20532</v>
      </c>
      <c r="G148" s="44" t="n">
        <v>9377</v>
      </c>
      <c r="H148" s="44" t="n">
        <v>9369</v>
      </c>
      <c r="I148" s="44" t="n">
        <v>9255</v>
      </c>
      <c r="J148" s="44" t="n">
        <v>6331</v>
      </c>
      <c r="K148" s="44" t="n">
        <v>6845</v>
      </c>
      <c r="L148" s="44" t="n">
        <v>5480</v>
      </c>
      <c r="M148" s="44" t="n">
        <v>5272</v>
      </c>
      <c r="N148" s="44" t="n">
        <v>5374</v>
      </c>
      <c r="O148" s="44" t="n">
        <v>5477</v>
      </c>
      <c r="P148" s="44" t="n">
        <v>7760</v>
      </c>
      <c r="Q148" s="44" t="n">
        <v>3420</v>
      </c>
      <c r="R148" s="44" t="n">
        <v>3449</v>
      </c>
      <c r="S148" s="44" t="n">
        <v>5226</v>
      </c>
      <c r="T148" s="44" t="n">
        <v>3809</v>
      </c>
      <c r="U148" s="44" t="n">
        <v>6205</v>
      </c>
      <c r="V148" s="44" t="n">
        <v>5652</v>
      </c>
      <c r="W148" s="44" t="n">
        <v>6138</v>
      </c>
      <c r="X148" s="44" t="n">
        <v>6138</v>
      </c>
      <c r="Y148" s="44" t="n">
        <v>6899</v>
      </c>
      <c r="Z148" s="44" t="n">
        <v>5738</v>
      </c>
      <c r="AA148" s="44" t="n">
        <v>7185</v>
      </c>
      <c r="AB148" s="44" t="n">
        <v>6514</v>
      </c>
      <c r="AC148" s="44" t="n"/>
      <c r="AD148" s="44" t="n"/>
      <c r="AE148" s="44" t="n"/>
      <c r="AF148" s="44" t="n"/>
      <c r="AG148" s="44" t="n"/>
      <c r="AH148" s="44" t="n"/>
      <c r="AI148" s="44" t="n"/>
      <c r="AJ148" s="44" t="n"/>
      <c r="AK148" s="44" t="n"/>
      <c r="AL148" s="44" t="n"/>
      <c r="AM148" s="44" t="n"/>
      <c r="AN148" s="44" t="n"/>
      <c r="AO148" s="44" t="n"/>
      <c r="AP148" s="44" t="n"/>
      <c r="AQ148" s="44" t="n"/>
      <c r="AR148" s="44" t="n"/>
      <c r="AS148" s="44" t="n"/>
      <c r="AT148" s="44" t="n"/>
      <c r="AU148" s="44" t="n"/>
      <c r="AV148" s="44" t="n"/>
      <c r="AW148" s="44" t="n"/>
      <c r="AX148" s="44" t="n"/>
      <c r="AY148" s="44" t="n"/>
      <c r="AZ148" s="44" t="n"/>
      <c r="BA148" s="44" t="n"/>
      <c r="BB148" s="44" t="n"/>
      <c r="BC148" s="44" t="n"/>
      <c r="BD148" s="44" t="n"/>
    </row>
    <row r="149">
      <c r="C149" s="11" t="inlineStr">
        <is>
          <t xml:space="preserve">Cam </t>
        </is>
      </c>
      <c r="D149" s="6" t="inlineStr">
        <is>
          <t>#</t>
        </is>
      </c>
      <c r="E149" s="41" t="n">
        <v>7567</v>
      </c>
      <c r="F149" s="41" t="n">
        <v>6230</v>
      </c>
      <c r="G149" s="41" t="n">
        <v>6106</v>
      </c>
      <c r="H149" s="41" t="n">
        <v>5546</v>
      </c>
      <c r="I149" s="41" t="n">
        <v>5218</v>
      </c>
      <c r="J149" s="41" t="n">
        <v>5345</v>
      </c>
      <c r="K149" s="41" t="n">
        <v>5868</v>
      </c>
      <c r="L149" s="41" t="n">
        <v>6619</v>
      </c>
      <c r="M149" s="41" t="n">
        <v>7170</v>
      </c>
      <c r="N149" s="41" t="n">
        <v>6880</v>
      </c>
      <c r="O149" s="41" t="n">
        <v>6805</v>
      </c>
      <c r="P149" s="41" t="n">
        <v>5849</v>
      </c>
      <c r="Q149" s="41" t="n">
        <v>6703</v>
      </c>
      <c r="R149" s="41" t="n">
        <v>5935</v>
      </c>
      <c r="S149" s="41" t="n">
        <v>6657</v>
      </c>
      <c r="T149" s="41" t="n">
        <v>6449</v>
      </c>
      <c r="U149" s="41" t="n">
        <v>5565</v>
      </c>
      <c r="V149" s="41" t="n">
        <v>5578</v>
      </c>
      <c r="W149" s="41" t="n">
        <v>5691</v>
      </c>
      <c r="X149" s="41" t="n">
        <v>5276</v>
      </c>
      <c r="Y149" s="41" t="n">
        <v>6060</v>
      </c>
      <c r="Z149" s="41" t="n">
        <v>6433</v>
      </c>
      <c r="AA149" s="41" t="n">
        <v>7688</v>
      </c>
      <c r="AB149" s="41" t="n">
        <v>8096</v>
      </c>
      <c r="AC149" s="41" t="n"/>
      <c r="AD149" s="41" t="n"/>
      <c r="AE149" s="41" t="n"/>
      <c r="AF149" s="41" t="n"/>
      <c r="AG149" s="41" t="n"/>
      <c r="AH149" s="41" t="n"/>
      <c r="AI149" s="41" t="n"/>
      <c r="AJ149" s="41" t="n"/>
      <c r="AK149" s="41" t="n"/>
      <c r="AL149" s="41" t="n"/>
      <c r="AM149" s="41" t="n"/>
      <c r="AN149" s="41" t="n"/>
      <c r="AO149" s="41" t="n"/>
      <c r="AP149" s="41" t="n"/>
      <c r="AQ149" s="41" t="n"/>
      <c r="AR149" s="41" t="n"/>
      <c r="AS149" s="41" t="n"/>
      <c r="AT149" s="41" t="n"/>
      <c r="AU149" s="41" t="n"/>
      <c r="AV149" s="41" t="n"/>
      <c r="AW149" s="41" t="n"/>
      <c r="AX149" s="41" t="n"/>
      <c r="AY149" s="41" t="n"/>
      <c r="AZ149" s="41" t="n"/>
      <c r="BA149" s="41" t="n"/>
      <c r="BB149" s="41" t="n"/>
      <c r="BC149" s="41" t="n"/>
      <c r="BD149" s="41" t="n"/>
    </row>
    <row r="150">
      <c r="C150" s="11" t="inlineStr">
        <is>
          <t>Non Cam</t>
        </is>
      </c>
      <c r="D150" s="6" t="inlineStr">
        <is>
          <t>#</t>
        </is>
      </c>
      <c r="E150" s="41" t="n">
        <v>358</v>
      </c>
      <c r="F150" s="41" t="n">
        <v>361</v>
      </c>
      <c r="G150" s="41" t="n">
        <v>479</v>
      </c>
      <c r="H150" s="41" t="n">
        <v>486</v>
      </c>
      <c r="I150" s="41" t="n">
        <v>394</v>
      </c>
      <c r="J150" s="41" t="n">
        <v>287</v>
      </c>
      <c r="K150" s="41" t="n">
        <v>263</v>
      </c>
      <c r="L150" s="41" t="n">
        <v>233</v>
      </c>
      <c r="M150" s="41" t="n">
        <v>236</v>
      </c>
      <c r="N150" s="41" t="n">
        <v>289</v>
      </c>
      <c r="O150" s="41" t="n">
        <v>146</v>
      </c>
      <c r="P150" s="41" t="n">
        <v>148</v>
      </c>
      <c r="Q150" s="41" t="n">
        <v>29</v>
      </c>
      <c r="R150" s="41" t="n">
        <v>69</v>
      </c>
      <c r="S150" s="41" t="n">
        <v>65</v>
      </c>
      <c r="T150" s="41" t="n">
        <v>65</v>
      </c>
      <c r="U150" s="41" t="n">
        <v>81</v>
      </c>
      <c r="V150" s="41" t="n">
        <v>106</v>
      </c>
      <c r="W150" s="41" t="n">
        <v>84</v>
      </c>
      <c r="X150" s="41" t="n">
        <v>64</v>
      </c>
      <c r="Y150" s="41" t="n">
        <v>97</v>
      </c>
      <c r="Z150" s="41" t="n">
        <v>89</v>
      </c>
      <c r="AA150" s="41" t="n">
        <v>76</v>
      </c>
      <c r="AB150" s="41" t="n">
        <v>88</v>
      </c>
      <c r="AC150" s="41" t="n"/>
      <c r="AD150" s="41" t="n"/>
      <c r="AE150" s="41" t="n"/>
      <c r="AF150" s="41" t="n"/>
      <c r="AG150" s="41" t="n"/>
      <c r="AH150" s="41" t="n"/>
      <c r="AI150" s="41" t="n"/>
      <c r="AJ150" s="41" t="n"/>
      <c r="AK150" s="41" t="n"/>
      <c r="AL150" s="41" t="n"/>
      <c r="AM150" s="41" t="n"/>
      <c r="AN150" s="41" t="n"/>
      <c r="AO150" s="41" t="n"/>
      <c r="AP150" s="41" t="n"/>
      <c r="AQ150" s="41" t="n"/>
      <c r="AR150" s="41" t="n"/>
      <c r="AS150" s="41" t="n"/>
      <c r="AT150" s="41" t="n"/>
      <c r="AU150" s="41" t="n"/>
      <c r="AV150" s="41" t="n"/>
      <c r="AW150" s="41" t="n"/>
      <c r="AX150" s="41" t="n"/>
      <c r="AY150" s="41" t="n"/>
      <c r="AZ150" s="41" t="n"/>
      <c r="BA150" s="41" t="n"/>
      <c r="BB150" s="41" t="n"/>
      <c r="BC150" s="41" t="n"/>
      <c r="BD150" s="41" t="n"/>
    </row>
    <row r="151">
      <c r="C151" s="6" t="n"/>
    </row>
    <row r="152" customFormat="1" s="40">
      <c r="A152" s="40" t="inlineStr">
        <is>
          <t xml:space="preserve">Promo </t>
        </is>
      </c>
      <c r="D152" s="24" t="inlineStr">
        <is>
          <t>$k</t>
        </is>
      </c>
      <c r="E152" s="42" t="n"/>
      <c r="F152" s="42" t="n"/>
      <c r="G152" s="42" t="n"/>
      <c r="H152" s="42" t="n"/>
      <c r="I152" s="42" t="n"/>
      <c r="J152" s="42" t="n">
        <v>11.86</v>
      </c>
      <c r="K152" s="42" t="n">
        <v>13.7</v>
      </c>
      <c r="L152" s="42" t="n">
        <v>16.17</v>
      </c>
      <c r="M152" s="42" t="n">
        <v>7.43</v>
      </c>
      <c r="N152" s="42" t="n"/>
      <c r="O152" s="42" t="n"/>
      <c r="P152" s="42" t="n"/>
      <c r="Q152" s="42" t="n">
        <v>37.574</v>
      </c>
      <c r="R152" s="42" t="n">
        <v>12.372</v>
      </c>
      <c r="S152" s="42" t="n">
        <v>28.236</v>
      </c>
      <c r="T152" s="42" t="n">
        <v>25.323</v>
      </c>
      <c r="U152" s="42" t="n">
        <v>4.6</v>
      </c>
      <c r="V152" s="42" t="n">
        <v>5.55</v>
      </c>
      <c r="W152" s="42" t="n">
        <v>2.25</v>
      </c>
      <c r="X152" s="42" t="n">
        <v>0.55</v>
      </c>
      <c r="Y152" s="42" t="n">
        <v>31.967</v>
      </c>
      <c r="Z152" s="42" t="n">
        <v>6.106</v>
      </c>
      <c r="AA152" s="42" t="n">
        <v>22.44</v>
      </c>
      <c r="AB152" s="42" t="n">
        <v>37.98</v>
      </c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</row>
    <row r="153" ht="15.75" customFormat="1" customHeight="1" s="40">
      <c r="B153" s="31" t="inlineStr">
        <is>
          <t>Finance Actuals (Monthly)</t>
        </is>
      </c>
      <c r="D153" s="32" t="inlineStr">
        <is>
          <t>$k</t>
        </is>
      </c>
      <c r="E153" s="41" t="n"/>
      <c r="F153" s="41" t="n"/>
      <c r="G153" s="41" t="n"/>
      <c r="H153" s="41" t="n">
        <v>1.30591</v>
      </c>
      <c r="I153" s="41" t="n"/>
      <c r="J153" s="41" t="n"/>
      <c r="K153" s="41" t="n"/>
      <c r="L153" s="41" t="n">
        <v>23.82729</v>
      </c>
      <c r="M153" s="41" t="n"/>
      <c r="N153" s="41" t="n"/>
      <c r="O153" s="41" t="n"/>
      <c r="P153" s="41" t="n"/>
      <c r="Q153" s="41" t="n">
        <v>14.7216</v>
      </c>
      <c r="R153" s="41" t="n"/>
      <c r="S153" s="41" t="n"/>
      <c r="T153" s="41" t="n"/>
      <c r="U153" s="41" t="n">
        <v>51.55344</v>
      </c>
      <c r="V153" s="41" t="n"/>
      <c r="W153" s="41" t="n"/>
      <c r="X153" s="41" t="n"/>
      <c r="Y153" s="41" t="n"/>
      <c r="Z153" s="41" t="n">
        <v>23.46755</v>
      </c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  <c r="AJ153" s="41" t="n"/>
      <c r="AK153" s="41" t="n"/>
      <c r="AL153" s="41" t="n"/>
      <c r="AM153" s="41" t="n"/>
      <c r="AN153" s="41" t="n"/>
      <c r="AO153" s="41" t="n"/>
      <c r="AP153" s="41" t="n"/>
      <c r="AQ153" s="41" t="n"/>
      <c r="AR153" s="41" t="n"/>
      <c r="AS153" s="41" t="n"/>
      <c r="AT153" s="41" t="n"/>
      <c r="AU153" s="41" t="n"/>
      <c r="AV153" s="41" t="n"/>
      <c r="AW153" s="41" t="n"/>
      <c r="AX153" s="41" t="n"/>
      <c r="AY153" s="41" t="n"/>
      <c r="AZ153" s="41" t="n"/>
      <c r="BA153" s="41" t="n"/>
      <c r="BB153" s="41" t="n"/>
      <c r="BC153" s="41" t="n"/>
      <c r="BD153" s="41" t="n"/>
    </row>
    <row r="154" customFormat="1" s="9">
      <c r="B154" s="9" t="inlineStr">
        <is>
          <t>Budgeted (Monthly)</t>
        </is>
      </c>
      <c r="D154" s="10" t="inlineStr">
        <is>
          <t>$k</t>
        </is>
      </c>
      <c r="E154" s="44" t="n"/>
      <c r="F154" s="44" t="n"/>
      <c r="G154" s="44" t="n"/>
      <c r="H154" s="44" t="n">
        <v>0</v>
      </c>
      <c r="I154" s="44" t="n"/>
      <c r="J154" s="44" t="n"/>
      <c r="K154" s="44" t="n"/>
      <c r="L154" s="44" t="n">
        <v>0</v>
      </c>
      <c r="M154" s="44" t="n"/>
      <c r="N154" s="44" t="n"/>
      <c r="O154" s="44" t="n"/>
      <c r="P154" s="44" t="n"/>
      <c r="Q154" s="44" t="n">
        <v>94.67994823348118</v>
      </c>
      <c r="R154" s="44" t="n"/>
      <c r="S154" s="44" t="n"/>
      <c r="T154" s="44" t="n"/>
      <c r="U154" s="44" t="n">
        <v>132.4050657554984</v>
      </c>
      <c r="V154" s="44" t="n"/>
      <c r="W154" s="44" t="n"/>
      <c r="X154" s="44" t="n"/>
      <c r="Y154" s="44" t="n"/>
      <c r="Z154" s="44" t="n">
        <v>72.67362967897114</v>
      </c>
      <c r="AA154" s="44" t="n"/>
      <c r="AB154" s="44" t="n"/>
      <c r="AC154" s="44" t="n"/>
      <c r="AD154" s="44" t="n">
        <v>84.21788279513686</v>
      </c>
      <c r="AE154" s="44" t="n"/>
      <c r="AF154" s="44" t="n"/>
      <c r="AG154" s="44" t="n"/>
      <c r="AH154" s="44" t="n">
        <v>80.78131734495601</v>
      </c>
      <c r="AI154" s="44" t="n"/>
      <c r="AJ154" s="44" t="n"/>
      <c r="AK154" s="44" t="n"/>
      <c r="AL154" s="44" t="n"/>
      <c r="AM154" s="44" t="n">
        <v>67.80817786925807</v>
      </c>
      <c r="AN154" s="44" t="n"/>
      <c r="AO154" s="44" t="n"/>
      <c r="AP154" s="44" t="n"/>
      <c r="AQ154" s="44" t="n">
        <v>89.95808003060374</v>
      </c>
      <c r="AR154" s="44" t="n"/>
      <c r="AS154" s="44" t="n"/>
      <c r="AT154" s="44" t="n"/>
      <c r="AU154" s="44" t="n">
        <v>0</v>
      </c>
      <c r="AV154" s="44" t="n"/>
      <c r="AW154" s="44" t="n"/>
      <c r="AX154" s="44" t="n"/>
      <c r="AY154" s="44" t="n"/>
      <c r="AZ154" s="44" t="n">
        <v>332.9907088719564</v>
      </c>
      <c r="BA154" s="44" t="n"/>
      <c r="BB154" s="44" t="n"/>
      <c r="BC154" s="44" t="n"/>
      <c r="BD154" s="44" t="n">
        <v>500.7711038074681</v>
      </c>
    </row>
    <row r="155" ht="15.75" customHeight="1">
      <c r="B155" s="7" t="inlineStr">
        <is>
          <t>As % of budget - this month</t>
        </is>
      </c>
      <c r="D155" s="17" t="inlineStr">
        <is>
          <t>%</t>
        </is>
      </c>
      <c r="E155" s="43" t="n"/>
      <c r="F155" s="43" t="n"/>
      <c r="G155" s="43" t="n"/>
      <c r="H155" s="43">
        <f>IFERROR(SUM(E152:H152)/H154,"")</f>
        <v/>
      </c>
      <c r="I155" s="43" t="n"/>
      <c r="J155" s="43" t="n"/>
      <c r="K155" s="43" t="n"/>
      <c r="L155" s="43">
        <f>IFERROR(SUM(I152:L152)/L154,"")</f>
        <v/>
      </c>
      <c r="M155" s="43" t="n"/>
      <c r="N155" s="43" t="n"/>
      <c r="O155" s="43" t="n"/>
      <c r="P155" s="43" t="n"/>
      <c r="Q155" s="43">
        <f>IFERROR(SUM(M152:Q152)/Q154,"")</f>
        <v/>
      </c>
      <c r="R155" s="43" t="n"/>
      <c r="S155" s="43" t="n"/>
      <c r="T155" s="43" t="n"/>
      <c r="U155" s="43">
        <f>IFERROR(SUM(R152:U152)/U154,"")</f>
        <v/>
      </c>
      <c r="V155" s="43" t="n"/>
      <c r="W155" s="43" t="n"/>
      <c r="X155" s="43" t="n"/>
      <c r="Y155" s="43" t="n"/>
      <c r="Z155" s="43">
        <f>IFERROR(SUM(V152:Z152)/Z154,"")</f>
        <v/>
      </c>
      <c r="AA155" s="43" t="n"/>
      <c r="AB155" s="43" t="n"/>
      <c r="AC155" s="43" t="n"/>
      <c r="AD155" s="43" t="n"/>
      <c r="AE155" s="43" t="n"/>
      <c r="AF155" s="43" t="n"/>
      <c r="AG155" s="43" t="n"/>
      <c r="AH155" s="43" t="n"/>
      <c r="AI155" s="43" t="n"/>
      <c r="AJ155" s="43" t="n"/>
      <c r="AK155" s="43" t="n"/>
      <c r="AL155" s="43" t="n"/>
      <c r="AM155" s="43" t="n"/>
      <c r="AN155" s="43" t="n"/>
      <c r="AO155" s="43" t="n"/>
      <c r="AP155" s="43" t="n"/>
      <c r="AQ155" s="43" t="n"/>
      <c r="AR155" s="43" t="n"/>
      <c r="AS155" s="43" t="n"/>
      <c r="AT155" s="43" t="n"/>
      <c r="AU155" s="43" t="n"/>
      <c r="AV155" s="43" t="n"/>
      <c r="AW155" s="43" t="n"/>
      <c r="AX155" s="43" t="n"/>
      <c r="AY155" s="43" t="n"/>
      <c r="AZ155" s="43" t="n"/>
      <c r="BA155" s="43" t="n"/>
      <c r="BB155" s="43" t="n"/>
      <c r="BC155" s="43" t="n"/>
      <c r="BD155" s="43" t="n"/>
    </row>
    <row r="156" ht="15.75" customHeight="1">
      <c r="B156" s="7" t="inlineStr">
        <is>
          <t>As % of quarterly budget (QTD)</t>
        </is>
      </c>
      <c r="D156" s="17" t="inlineStr">
        <is>
          <t>%</t>
        </is>
      </c>
      <c r="E156" s="43" t="n"/>
      <c r="F156" s="43" t="n"/>
      <c r="G156" s="43" t="n"/>
      <c r="H156" s="43">
        <f>IFERROR(SUM(E152:H152)/(H154+L154+Q154),"")</f>
        <v/>
      </c>
      <c r="I156" s="43" t="n"/>
      <c r="J156" s="43" t="n"/>
      <c r="K156" s="43" t="n"/>
      <c r="L156" s="43">
        <f>IFERROR(SUM(E152:L152)/(H154+L154+Q154),"")</f>
        <v/>
      </c>
      <c r="M156" s="43" t="n"/>
      <c r="N156" s="43" t="n"/>
      <c r="O156" s="43" t="n"/>
      <c r="P156" s="43" t="n"/>
      <c r="Q156" s="43">
        <f>IFERROR(SUM(E152:Q152)/(H154+L154+Q154),"")</f>
        <v/>
      </c>
      <c r="R156" s="43" t="n"/>
      <c r="S156" s="43" t="n"/>
      <c r="T156" s="43" t="n"/>
      <c r="U156" s="43">
        <f>IFERROR(SUM(R152:U152)/(U154+Z154+AD154),"")</f>
        <v/>
      </c>
      <c r="V156" s="43" t="n"/>
      <c r="W156" s="43" t="n"/>
      <c r="X156" s="43" t="n"/>
      <c r="Y156" s="43" t="n"/>
      <c r="Z156" s="43">
        <f>IFERROR(SUM(R152:Z152)/(U154+Z154+AD154),"")</f>
        <v/>
      </c>
      <c r="AA156" s="43" t="n"/>
      <c r="AB156" s="43" t="n"/>
      <c r="AC156" s="43" t="n"/>
      <c r="AD156" s="43" t="n"/>
      <c r="AE156" s="43" t="n"/>
      <c r="AF156" s="43" t="n"/>
      <c r="AG156" s="43" t="n"/>
      <c r="AH156" s="43" t="n"/>
      <c r="AI156" s="43" t="n"/>
      <c r="AJ156" s="43" t="n"/>
      <c r="AK156" s="43" t="n"/>
      <c r="AL156" s="43" t="n"/>
      <c r="AM156" s="43" t="n"/>
      <c r="AN156" s="43" t="n"/>
      <c r="AO156" s="43" t="n"/>
      <c r="AP156" s="43" t="n"/>
      <c r="AQ156" s="43" t="n"/>
      <c r="AR156" s="43" t="n"/>
      <c r="AS156" s="43" t="n"/>
      <c r="AT156" s="43" t="n"/>
      <c r="AU156" s="43" t="n"/>
      <c r="AV156" s="43" t="n"/>
      <c r="AW156" s="43" t="n"/>
      <c r="AX156" s="43" t="n"/>
      <c r="AY156" s="43" t="n"/>
      <c r="AZ156" s="43" t="n"/>
      <c r="BA156" s="43" t="n"/>
      <c r="BB156" s="43" t="n"/>
      <c r="BC156" s="43" t="n"/>
      <c r="BD156" s="43" t="n"/>
    </row>
    <row r="157" ht="15.75" customHeight="1">
      <c r="B157" s="7" t="inlineStr">
        <is>
          <t>As % of annual budget (YTD)</t>
        </is>
      </c>
      <c r="D157" s="17" t="inlineStr">
        <is>
          <t>%</t>
        </is>
      </c>
      <c r="E157" s="43" t="n"/>
      <c r="F157" s="43" t="n"/>
      <c r="G157" s="43" t="n"/>
      <c r="H157" s="43">
        <f>IFERROR(SUM($E$152:H152)/SUM($E$154:BD154),"")</f>
        <v/>
      </c>
      <c r="I157" s="43" t="n"/>
      <c r="J157" s="43" t="n"/>
      <c r="K157" s="43" t="n"/>
      <c r="L157" s="43">
        <f>IFERROR(SUM($E$152:L152)/SUM($E$154:BD154),"")</f>
        <v/>
      </c>
      <c r="M157" s="43" t="n"/>
      <c r="N157" s="43" t="n"/>
      <c r="O157" s="43" t="n"/>
      <c r="P157" s="43" t="n"/>
      <c r="Q157" s="43">
        <f>IFERROR(SUM($E$152:Q152)/SUM($E$154:BD154),"")</f>
        <v/>
      </c>
      <c r="R157" s="43" t="n"/>
      <c r="S157" s="43" t="n"/>
      <c r="T157" s="43" t="n"/>
      <c r="U157" s="43">
        <f>IFERROR(SUM($E$152:U152)/SUM($E$154:BD154),"")</f>
        <v/>
      </c>
      <c r="V157" s="43" t="n"/>
      <c r="W157" s="43" t="n"/>
      <c r="X157" s="43" t="n"/>
      <c r="Y157" s="43" t="n"/>
      <c r="Z157" s="43">
        <f>IFERROR(SUM($E$152:Z152)/SUM($E$154:BD154),"")</f>
        <v/>
      </c>
      <c r="AA157" s="43" t="n"/>
      <c r="AB157" s="43" t="n"/>
      <c r="AC157" s="43" t="n"/>
      <c r="AD157" s="43" t="n"/>
      <c r="AE157" s="43" t="n"/>
      <c r="AF157" s="43" t="n"/>
      <c r="AG157" s="43" t="n"/>
      <c r="AH157" s="43" t="n"/>
      <c r="AI157" s="43" t="n"/>
      <c r="AJ157" s="43" t="n"/>
      <c r="AK157" s="43" t="n"/>
      <c r="AL157" s="43" t="n"/>
      <c r="AM157" s="43" t="n"/>
      <c r="AN157" s="43" t="n"/>
      <c r="AO157" s="43" t="n"/>
      <c r="AP157" s="43" t="n"/>
      <c r="AQ157" s="43" t="n"/>
      <c r="AR157" s="43" t="n"/>
      <c r="AS157" s="43" t="n"/>
      <c r="AT157" s="43" t="n"/>
      <c r="AU157" s="43" t="n"/>
      <c r="AV157" s="43" t="n"/>
      <c r="AW157" s="43" t="n"/>
      <c r="AX157" s="43" t="n"/>
      <c r="AY157" s="43" t="n"/>
      <c r="AZ157" s="43" t="n"/>
      <c r="BA157" s="43" t="n"/>
      <c r="BB157" s="43" t="n"/>
      <c r="BC157" s="43" t="n"/>
      <c r="BD157" s="43" t="n"/>
    </row>
    <row r="158"/>
    <row r="159" ht="15.75" customHeight="1">
      <c r="A159" s="40" t="inlineStr">
        <is>
          <t>Total Marketing</t>
        </is>
      </c>
      <c r="B159" s="40" t="n"/>
      <c r="C159" s="40" t="n"/>
      <c r="D159" s="24" t="inlineStr">
        <is>
          <t>$k</t>
        </is>
      </c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</row>
    <row r="160" ht="15.75" customHeight="1">
      <c r="A160" s="40" t="n"/>
      <c r="B160" s="31" t="inlineStr">
        <is>
          <t>Finance Actuals (Monthly)</t>
        </is>
      </c>
      <c r="C160" s="40" t="n"/>
      <c r="D160" s="32" t="inlineStr">
        <is>
          <t>$k</t>
        </is>
      </c>
      <c r="E160" s="41" t="n"/>
      <c r="F160" s="41" t="n"/>
      <c r="G160" s="41" t="n"/>
      <c r="H160" s="41" t="n">
        <v>38.5359</v>
      </c>
      <c r="I160" s="41" t="n"/>
      <c r="J160" s="41" t="n"/>
      <c r="K160" s="41" t="n"/>
      <c r="L160" s="41" t="n">
        <v>97.55410999999998</v>
      </c>
      <c r="M160" s="41" t="n"/>
      <c r="N160" s="41" t="n"/>
      <c r="O160" s="41" t="n"/>
      <c r="P160" s="41" t="n"/>
      <c r="Q160" s="41" t="n">
        <v>181.99159</v>
      </c>
      <c r="R160" s="41" t="n"/>
      <c r="S160" s="41" t="n"/>
      <c r="T160" s="41" t="n"/>
      <c r="U160" s="41" t="n">
        <v>14.66632</v>
      </c>
      <c r="V160" s="41" t="n"/>
      <c r="W160" s="41" t="n"/>
      <c r="X160" s="41" t="n"/>
      <c r="Y160" s="41" t="n"/>
      <c r="Z160" s="41" t="n">
        <v>69.33326000000001</v>
      </c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  <c r="AJ160" s="41" t="n"/>
      <c r="AK160" s="41" t="n"/>
      <c r="AL160" s="41" t="n"/>
      <c r="AM160" s="41" t="n"/>
      <c r="AN160" s="41" t="n"/>
      <c r="AO160" s="41" t="n"/>
      <c r="AP160" s="41" t="n"/>
      <c r="AQ160" s="41" t="n"/>
      <c r="AR160" s="41" t="n"/>
      <c r="AS160" s="41" t="n"/>
      <c r="AT160" s="41" t="n"/>
      <c r="AU160" s="41" t="n"/>
      <c r="AV160" s="41" t="n"/>
      <c r="AW160" s="41" t="n"/>
      <c r="AX160" s="41" t="n"/>
      <c r="AY160" s="41" t="n"/>
      <c r="AZ160" s="41" t="n"/>
      <c r="BA160" s="41" t="n"/>
      <c r="BB160" s="41" t="n"/>
      <c r="BC160" s="41" t="n"/>
      <c r="BD160" s="41" t="n"/>
    </row>
    <row r="161" ht="15.75" customHeight="1">
      <c r="B161" s="9" t="inlineStr">
        <is>
          <t>Budgeted (Monthly)</t>
        </is>
      </c>
      <c r="D161" s="10" t="inlineStr">
        <is>
          <t>$k</t>
        </is>
      </c>
      <c r="E161" s="44" t="n"/>
      <c r="F161" s="44" t="n"/>
      <c r="G161" s="44" t="n"/>
      <c r="H161" s="44" t="n">
        <v>184.1666666666667</v>
      </c>
      <c r="I161" s="44" t="n"/>
      <c r="J161" s="44" t="n"/>
      <c r="K161" s="44" t="n"/>
      <c r="L161" s="44" t="n">
        <v>184.1666666666667</v>
      </c>
      <c r="M161" s="44" t="n"/>
      <c r="N161" s="44" t="n"/>
      <c r="O161" s="44" t="n"/>
      <c r="P161" s="44" t="n"/>
      <c r="Q161" s="44" t="n">
        <v>184.1666666666667</v>
      </c>
      <c r="R161" s="44" t="n"/>
      <c r="S161" s="44" t="n"/>
      <c r="T161" s="44" t="n"/>
      <c r="U161" s="44" t="n">
        <v>145.8333333333333</v>
      </c>
      <c r="V161" s="44" t="n"/>
      <c r="W161" s="44" t="n"/>
      <c r="X161" s="44" t="n"/>
      <c r="Y161" s="44" t="n"/>
      <c r="Z161" s="44" t="n">
        <v>145.8333333333333</v>
      </c>
      <c r="AA161" s="44" t="n"/>
      <c r="AB161" s="44" t="n"/>
      <c r="AC161" s="44" t="n"/>
      <c r="AD161" s="44" t="n">
        <v>145.8333333333333</v>
      </c>
      <c r="AE161" s="44" t="n"/>
      <c r="AF161" s="44" t="n"/>
      <c r="AG161" s="44" t="n"/>
      <c r="AH161" s="44" t="n">
        <v>145.8333333333333</v>
      </c>
      <c r="AI161" s="44" t="n"/>
      <c r="AJ161" s="44" t="n"/>
      <c r="AK161" s="44" t="n"/>
      <c r="AL161" s="44" t="n"/>
      <c r="AM161" s="44" t="n">
        <v>145.8333333333333</v>
      </c>
      <c r="AN161" s="44" t="n"/>
      <c r="AO161" s="44" t="n"/>
      <c r="AP161" s="44" t="n"/>
      <c r="AQ161" s="44" t="n">
        <v>145.8333333333333</v>
      </c>
      <c r="AR161" s="44" t="n"/>
      <c r="AS161" s="44" t="n"/>
      <c r="AT161" s="44" t="n"/>
      <c r="AU161" s="44" t="n">
        <v>145.8333333333333</v>
      </c>
      <c r="AV161" s="44" t="n"/>
      <c r="AW161" s="44" t="n"/>
      <c r="AX161" s="44" t="n"/>
      <c r="AY161" s="44" t="n"/>
      <c r="AZ161" s="44" t="n">
        <v>145.8333333333333</v>
      </c>
      <c r="BA161" s="44" t="n"/>
      <c r="BB161" s="44" t="n"/>
      <c r="BC161" s="44" t="n"/>
      <c r="BD161" s="44" t="n">
        <v>145.8333333333333</v>
      </c>
    </row>
    <row r="162" ht="15.75" customHeight="1">
      <c r="B162" s="7" t="inlineStr">
        <is>
          <t>As % of budget - this month</t>
        </is>
      </c>
      <c r="D162" s="17" t="inlineStr">
        <is>
          <t>%</t>
        </is>
      </c>
      <c r="E162" s="43" t="n"/>
      <c r="F162" s="43" t="n"/>
      <c r="G162" s="43" t="n"/>
      <c r="H162" s="43">
        <f>IFERROR(SUM(E160:H160)/H161,"")</f>
        <v/>
      </c>
      <c r="I162" s="43" t="n"/>
      <c r="J162" s="43" t="n"/>
      <c r="K162" s="43" t="n"/>
      <c r="L162" s="43">
        <f>IFERROR(SUM(I160:L160)/L161,"")</f>
        <v/>
      </c>
      <c r="M162" s="43" t="n"/>
      <c r="N162" s="43" t="n"/>
      <c r="O162" s="43" t="n"/>
      <c r="P162" s="43" t="n"/>
      <c r="Q162" s="43">
        <f>IFERROR(SUM(M160:Q160)/Q161,"")</f>
        <v/>
      </c>
      <c r="R162" s="43" t="n"/>
      <c r="S162" s="43" t="n"/>
      <c r="T162" s="43" t="n"/>
      <c r="U162" s="43">
        <f>IFERROR(SUM(R160:U160)/U161,"")</f>
        <v/>
      </c>
      <c r="V162" s="43" t="n"/>
      <c r="W162" s="43" t="n"/>
      <c r="X162" s="43" t="n"/>
      <c r="Y162" s="43" t="n"/>
      <c r="Z162" s="43">
        <f>IFERROR(SUM(V160:Z160)/Z161,"")</f>
        <v/>
      </c>
      <c r="AA162" s="43" t="n"/>
      <c r="AB162" s="43" t="n"/>
      <c r="AC162" s="43" t="n"/>
      <c r="AD162" s="43" t="n"/>
      <c r="AE162" s="43" t="n"/>
      <c r="AF162" s="43" t="n"/>
      <c r="AG162" s="43" t="n"/>
      <c r="AH162" s="43" t="n"/>
      <c r="AI162" s="43" t="n"/>
      <c r="AJ162" s="43" t="n"/>
      <c r="AK162" s="43" t="n"/>
      <c r="AL162" s="43" t="n"/>
      <c r="AM162" s="43" t="n"/>
      <c r="AN162" s="43" t="n"/>
      <c r="AO162" s="43" t="n"/>
      <c r="AP162" s="43" t="n"/>
      <c r="AQ162" s="43" t="n"/>
      <c r="AR162" s="43" t="n"/>
      <c r="AS162" s="43" t="n"/>
      <c r="AT162" s="43" t="n"/>
      <c r="AU162" s="43" t="n"/>
      <c r="AV162" s="43" t="n"/>
      <c r="AW162" s="43" t="n"/>
      <c r="AX162" s="43" t="n"/>
      <c r="AY162" s="43" t="n"/>
      <c r="AZ162" s="43" t="n"/>
      <c r="BA162" s="43" t="n"/>
      <c r="BB162" s="43" t="n"/>
      <c r="BC162" s="43" t="n"/>
      <c r="BD162" s="43" t="n"/>
    </row>
    <row r="163" ht="15.75" customHeight="1">
      <c r="B163" s="7" t="inlineStr">
        <is>
          <t>As % of quarterly budget (QTD)</t>
        </is>
      </c>
      <c r="D163" s="17" t="inlineStr">
        <is>
          <t>%</t>
        </is>
      </c>
      <c r="E163" s="43" t="n"/>
      <c r="F163" s="43" t="n"/>
      <c r="G163" s="43" t="n"/>
      <c r="H163" s="43">
        <f>IFERROR(SUM(E160:H160)/(H161+L161+Q161),"")</f>
        <v/>
      </c>
      <c r="I163" s="43" t="n"/>
      <c r="J163" s="43" t="n"/>
      <c r="K163" s="43" t="n"/>
      <c r="L163" s="43">
        <f>IFERROR(SUM(E160:L160)/(H161+L161+Q161),"")</f>
        <v/>
      </c>
      <c r="M163" s="43" t="n"/>
      <c r="N163" s="43" t="n"/>
      <c r="O163" s="43" t="n"/>
      <c r="P163" s="43" t="n"/>
      <c r="Q163" s="43">
        <f>IFERROR(SUM(E160:Q160)/(H161+L161+Q161),"")</f>
        <v/>
      </c>
      <c r="R163" s="43" t="n"/>
      <c r="S163" s="43" t="n"/>
      <c r="T163" s="43" t="n"/>
      <c r="U163" s="43">
        <f>IFERROR(SUM(R160:U160)/(U161+Z161+AD161),"")</f>
        <v/>
      </c>
      <c r="V163" s="43" t="n"/>
      <c r="W163" s="43" t="n"/>
      <c r="X163" s="43" t="n"/>
      <c r="Y163" s="43" t="n"/>
      <c r="Z163" s="43">
        <f>IFERROR(SUM(R160:Z160)/(U161+Z161+AD161),"")</f>
        <v/>
      </c>
      <c r="AA163" s="43" t="n"/>
      <c r="AB163" s="43" t="n"/>
      <c r="AC163" s="43" t="n"/>
      <c r="AD163" s="43" t="n"/>
      <c r="AE163" s="43" t="n"/>
      <c r="AF163" s="43" t="n"/>
      <c r="AG163" s="43" t="n"/>
      <c r="AH163" s="43" t="n"/>
      <c r="AI163" s="43" t="n"/>
      <c r="AJ163" s="43" t="n"/>
      <c r="AK163" s="43" t="n"/>
      <c r="AL163" s="43" t="n"/>
      <c r="AM163" s="43" t="n"/>
      <c r="AN163" s="43" t="n"/>
      <c r="AO163" s="43" t="n"/>
      <c r="AP163" s="43" t="n"/>
      <c r="AQ163" s="43" t="n"/>
      <c r="AR163" s="43" t="n"/>
      <c r="AS163" s="43" t="n"/>
      <c r="AT163" s="43" t="n"/>
      <c r="AU163" s="43" t="n"/>
      <c r="AV163" s="43" t="n"/>
      <c r="AW163" s="43" t="n"/>
      <c r="AX163" s="43" t="n"/>
      <c r="AY163" s="43" t="n"/>
      <c r="AZ163" s="43" t="n"/>
      <c r="BA163" s="43" t="n"/>
      <c r="BB163" s="43" t="n"/>
      <c r="BC163" s="43" t="n"/>
      <c r="BD163" s="43" t="n"/>
    </row>
    <row r="164" ht="15.75" customHeight="1">
      <c r="B164" s="7" t="inlineStr">
        <is>
          <t>As % of annual budget (YTD)</t>
        </is>
      </c>
      <c r="D164" s="17" t="inlineStr">
        <is>
          <t>%</t>
        </is>
      </c>
      <c r="E164" s="43" t="n"/>
      <c r="F164" s="43" t="n"/>
      <c r="G164" s="43" t="n"/>
      <c r="H164" s="43">
        <f>IFERROR(SUM($E$160:H160)/SUM($E$161:BD161),"")</f>
        <v/>
      </c>
      <c r="I164" s="43" t="n"/>
      <c r="J164" s="43" t="n"/>
      <c r="K164" s="43" t="n"/>
      <c r="L164" s="43">
        <f>IFERROR(SUM($E$160:L160)/SUM($E$161:BD161),"")</f>
        <v/>
      </c>
      <c r="M164" s="43" t="n"/>
      <c r="N164" s="43" t="n"/>
      <c r="O164" s="43" t="n"/>
      <c r="P164" s="43" t="n"/>
      <c r="Q164" s="43">
        <f>IFERROR(SUM($E$160:Q160)/SUM($E$161:BD161),"")</f>
        <v/>
      </c>
      <c r="R164" s="43" t="n"/>
      <c r="S164" s="43" t="n"/>
      <c r="T164" s="43" t="n"/>
      <c r="U164" s="43">
        <f>IFERROR(SUM($E$160:U160)/SUM($E$161:BD161),"")</f>
        <v/>
      </c>
      <c r="V164" s="43" t="n"/>
      <c r="W164" s="43" t="n"/>
      <c r="X164" s="43" t="n"/>
      <c r="Y164" s="43" t="n"/>
      <c r="Z164" s="43">
        <f>IFERROR(SUM($E$160:Z160)/SUM($E$161:BD161),"")</f>
        <v/>
      </c>
      <c r="AA164" s="43" t="n"/>
      <c r="AB164" s="43" t="n"/>
      <c r="AC164" s="43" t="n"/>
      <c r="AD164" s="43" t="n"/>
      <c r="AE164" s="43" t="n"/>
      <c r="AF164" s="43" t="n"/>
      <c r="AG164" s="43" t="n"/>
      <c r="AH164" s="43" t="n"/>
      <c r="AI164" s="43" t="n"/>
      <c r="AJ164" s="43" t="n"/>
      <c r="AK164" s="43" t="n"/>
      <c r="AL164" s="43" t="n"/>
      <c r="AM164" s="43" t="n"/>
      <c r="AN164" s="43" t="n"/>
      <c r="AO164" s="43" t="n"/>
      <c r="AP164" s="43" t="n"/>
      <c r="AQ164" s="43" t="n"/>
      <c r="AR164" s="43" t="n"/>
      <c r="AS164" s="43" t="n"/>
      <c r="AT164" s="43" t="n"/>
      <c r="AU164" s="43" t="n"/>
      <c r="AV164" s="43" t="n"/>
      <c r="AW164" s="43" t="n"/>
      <c r="AX164" s="43" t="n"/>
      <c r="AY164" s="43" t="n"/>
      <c r="AZ164" s="43" t="n"/>
      <c r="BA164" s="43" t="n"/>
      <c r="BB164" s="43" t="n"/>
      <c r="BC164" s="43" t="n"/>
      <c r="BD164" s="43" t="n"/>
    </row>
    <row r="165" ht="15.75" customHeight="1"/>
    <row r="166" customFormat="1" s="40">
      <c r="A166" s="40" t="inlineStr">
        <is>
          <t>Ads</t>
        </is>
      </c>
      <c r="D166" s="24" t="inlineStr">
        <is>
          <t>$k</t>
        </is>
      </c>
      <c r="E166" s="42" t="n">
        <v>16.23609</v>
      </c>
      <c r="F166" s="42" t="n">
        <v>16.29575</v>
      </c>
      <c r="G166" s="42" t="n">
        <v>17.36873</v>
      </c>
      <c r="H166" s="42" t="n">
        <v>17.24599</v>
      </c>
      <c r="I166" s="42" t="n">
        <v>11.54876</v>
      </c>
      <c r="J166" s="42" t="n">
        <v>4.87025</v>
      </c>
      <c r="K166" s="42" t="n">
        <v>7.70212</v>
      </c>
      <c r="L166" s="42" t="n">
        <v>9.360950000000001</v>
      </c>
      <c r="M166" s="42" t="n">
        <v>9.44035</v>
      </c>
      <c r="N166" s="42" t="n">
        <v>10.77068</v>
      </c>
      <c r="O166" s="42" t="n">
        <v>10.94465</v>
      </c>
      <c r="P166" s="42" t="n">
        <v>10.91692</v>
      </c>
      <c r="Q166" s="42" t="n">
        <v>11.13131</v>
      </c>
      <c r="R166" s="42" t="n">
        <v>10.89344</v>
      </c>
      <c r="S166" s="42" t="n">
        <v>8.21918</v>
      </c>
      <c r="T166" s="42" t="n">
        <v>7.19779</v>
      </c>
      <c r="U166" s="42" t="n">
        <v>8.07146</v>
      </c>
      <c r="V166" s="42" t="n">
        <v>8.092499999999999</v>
      </c>
      <c r="W166" s="42" t="n">
        <v>9.57883</v>
      </c>
      <c r="X166" s="42" t="n">
        <v>11.10504</v>
      </c>
      <c r="Y166" s="42" t="n">
        <v>13.59599</v>
      </c>
      <c r="Z166" s="42" t="n">
        <v>19.14241</v>
      </c>
      <c r="AA166" s="42" t="n">
        <v>11.79405</v>
      </c>
      <c r="AB166" s="42" t="n">
        <v>10.48128</v>
      </c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</row>
    <row r="167" ht="15.75" customFormat="1" customHeight="1" s="40">
      <c r="B167" s="31" t="inlineStr">
        <is>
          <t>Finance Actuals (Monthly)</t>
        </is>
      </c>
      <c r="D167" s="32" t="inlineStr">
        <is>
          <t>$k</t>
        </is>
      </c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  <c r="AJ167" s="41" t="n"/>
      <c r="AK167" s="41" t="n"/>
      <c r="AL167" s="41" t="n"/>
      <c r="AM167" s="41" t="n"/>
      <c r="AN167" s="41" t="n"/>
      <c r="AO167" s="41" t="n"/>
      <c r="AP167" s="41" t="n"/>
      <c r="AQ167" s="41" t="n"/>
      <c r="AR167" s="41" t="n"/>
      <c r="AS167" s="41" t="n"/>
      <c r="AT167" s="41" t="n"/>
      <c r="AU167" s="41" t="n"/>
      <c r="AV167" s="41" t="n"/>
      <c r="AW167" s="41" t="n"/>
      <c r="AX167" s="41" t="n"/>
      <c r="AY167" s="41" t="n"/>
      <c r="AZ167" s="41" t="n"/>
      <c r="BA167" s="41" t="n"/>
      <c r="BB167" s="41" t="n"/>
      <c r="BC167" s="41" t="n"/>
      <c r="BD167" s="41" t="n"/>
    </row>
    <row r="168" ht="15.75" customHeight="1">
      <c r="B168" s="9" t="inlineStr">
        <is>
          <t>Budgeted (Monthly)</t>
        </is>
      </c>
      <c r="C168" s="9" t="n"/>
      <c r="D168" s="10" t="inlineStr">
        <is>
          <t>$k</t>
        </is>
      </c>
      <c r="E168" s="44" t="n"/>
      <c r="F168" s="44" t="n"/>
      <c r="G168" s="44" t="n"/>
      <c r="H168" s="44" t="n">
        <v>64.58333333333334</v>
      </c>
      <c r="I168" s="44" t="n"/>
      <c r="J168" s="44" t="n"/>
      <c r="K168" s="44" t="n"/>
      <c r="L168" s="44" t="n">
        <v>64.58333333333334</v>
      </c>
      <c r="M168" s="44" t="n"/>
      <c r="N168" s="44" t="n"/>
      <c r="O168" s="44" t="n"/>
      <c r="P168" s="44" t="n"/>
      <c r="Q168" s="44" t="n">
        <v>64.58333333333334</v>
      </c>
      <c r="R168" s="44" t="n"/>
      <c r="S168" s="44" t="n"/>
      <c r="T168" s="44" t="n"/>
      <c r="U168" s="44" t="n">
        <v>64.58333333333334</v>
      </c>
      <c r="V168" s="44" t="n"/>
      <c r="W168" s="44" t="n"/>
      <c r="X168" s="44" t="n"/>
      <c r="Y168" s="44" t="n"/>
      <c r="Z168" s="44" t="n">
        <v>64.58333333333334</v>
      </c>
      <c r="AA168" s="44" t="n"/>
      <c r="AB168" s="44" t="n"/>
      <c r="AC168" s="44" t="n"/>
      <c r="AD168" s="44" t="n">
        <v>64.58333333333334</v>
      </c>
      <c r="AE168" s="44" t="n"/>
      <c r="AF168" s="44" t="n"/>
      <c r="AG168" s="44" t="n"/>
      <c r="AH168" s="44" t="n">
        <v>64.58333333333334</v>
      </c>
      <c r="AI168" s="44" t="n"/>
      <c r="AJ168" s="44" t="n"/>
      <c r="AK168" s="44" t="n"/>
      <c r="AL168" s="44" t="n"/>
      <c r="AM168" s="44" t="n">
        <v>64.58333333333334</v>
      </c>
      <c r="AN168" s="44" t="n"/>
      <c r="AO168" s="44" t="n"/>
      <c r="AP168" s="44" t="n"/>
      <c r="AQ168" s="44" t="n">
        <v>64.58333333333334</v>
      </c>
      <c r="AR168" s="44" t="n"/>
      <c r="AS168" s="44" t="n"/>
      <c r="AT168" s="44" t="n"/>
      <c r="AU168" s="44" t="n">
        <v>64.58333333333334</v>
      </c>
      <c r="AV168" s="44" t="n"/>
      <c r="AW168" s="44" t="n"/>
      <c r="AX168" s="44" t="n"/>
      <c r="AY168" s="44" t="n"/>
      <c r="AZ168" s="44" t="n">
        <v>64.58333333333334</v>
      </c>
      <c r="BA168" s="44" t="n"/>
      <c r="BB168" s="44" t="n"/>
      <c r="BC168" s="44" t="n"/>
      <c r="BD168" s="44" t="n">
        <v>64.58333333333334</v>
      </c>
    </row>
    <row r="169" ht="15.75" customHeight="1">
      <c r="B169" s="7" t="inlineStr">
        <is>
          <t>As % of budget - this month</t>
        </is>
      </c>
      <c r="D169" s="17" t="inlineStr">
        <is>
          <t>%</t>
        </is>
      </c>
      <c r="E169" s="43" t="n"/>
      <c r="F169" s="43" t="n"/>
      <c r="G169" s="43" t="n"/>
      <c r="H169" s="43">
        <f>IFERROR(SUM(E166:H166)/H168,"")</f>
        <v/>
      </c>
      <c r="I169" s="43" t="n"/>
      <c r="J169" s="43" t="n"/>
      <c r="K169" s="43" t="n"/>
      <c r="L169" s="43">
        <f>IFERROR(SUM(I166:L166)/L168,"")</f>
        <v/>
      </c>
      <c r="M169" s="43" t="n"/>
      <c r="N169" s="43" t="n"/>
      <c r="O169" s="43" t="n"/>
      <c r="P169" s="43" t="n"/>
      <c r="Q169" s="43">
        <f>IFERROR(SUM(M166:Q166)/Q168,"")</f>
        <v/>
      </c>
      <c r="R169" s="43" t="n"/>
      <c r="S169" s="43" t="n"/>
      <c r="T169" s="43" t="n"/>
      <c r="U169" s="43">
        <f>IFERROR(SUM(R166:U166)/U168,"")</f>
        <v/>
      </c>
      <c r="V169" s="43" t="n"/>
      <c r="W169" s="43" t="n"/>
      <c r="X169" s="43" t="n"/>
      <c r="Y169" s="43" t="n"/>
      <c r="Z169" s="43">
        <f>IFERROR(SUM(V166:Z166)/Z168,"")</f>
        <v/>
      </c>
      <c r="AA169" s="43" t="n"/>
      <c r="AB169" s="43" t="n"/>
      <c r="AC169" s="43" t="n"/>
      <c r="AD169" s="43" t="n"/>
      <c r="AE169" s="43" t="n"/>
      <c r="AF169" s="43" t="n"/>
      <c r="AG169" s="43" t="n"/>
      <c r="AH169" s="43" t="n"/>
      <c r="AI169" s="43" t="n"/>
      <c r="AJ169" s="43" t="n"/>
      <c r="AK169" s="43" t="n"/>
      <c r="AL169" s="43" t="n"/>
      <c r="AM169" s="43" t="n"/>
      <c r="AN169" s="43" t="n"/>
      <c r="AO169" s="43" t="n"/>
      <c r="AP169" s="43" t="n"/>
      <c r="AQ169" s="43" t="n"/>
      <c r="AR169" s="43" t="n"/>
      <c r="AS169" s="43" t="n"/>
      <c r="AT169" s="43" t="n"/>
      <c r="AU169" s="43" t="n"/>
      <c r="AV169" s="43" t="n"/>
      <c r="AW169" s="43" t="n"/>
      <c r="AX169" s="43" t="n"/>
      <c r="AY169" s="43" t="n"/>
      <c r="AZ169" s="43" t="n"/>
      <c r="BA169" s="43" t="n"/>
      <c r="BB169" s="43" t="n"/>
      <c r="BC169" s="43" t="n"/>
      <c r="BD169" s="43" t="n"/>
    </row>
    <row r="170" ht="15.75" customHeight="1">
      <c r="B170" s="7" t="inlineStr">
        <is>
          <t>As % of quarterly budget (QTD)</t>
        </is>
      </c>
      <c r="D170" s="17" t="inlineStr">
        <is>
          <t>%</t>
        </is>
      </c>
      <c r="E170" s="43" t="n"/>
      <c r="F170" s="43" t="n"/>
      <c r="G170" s="43" t="n"/>
      <c r="H170" s="43">
        <f>IFERROR(SUM(E166:H166)/(H168+L168+Q168),"")</f>
        <v/>
      </c>
      <c r="I170" s="43" t="n"/>
      <c r="J170" s="43" t="n"/>
      <c r="K170" s="43" t="n"/>
      <c r="L170" s="43">
        <f>IFERROR(SUM(E166:L166)/(H168+L168+Q168),"")</f>
        <v/>
      </c>
      <c r="M170" s="43" t="n"/>
      <c r="N170" s="43" t="n"/>
      <c r="O170" s="43" t="n"/>
      <c r="P170" s="43" t="n"/>
      <c r="Q170" s="43">
        <f>IFERROR(SUM(E166:Q166)/(H168+L168+Q168),"")</f>
        <v/>
      </c>
      <c r="R170" s="43" t="n"/>
      <c r="S170" s="43" t="n"/>
      <c r="T170" s="43" t="n"/>
      <c r="U170" s="43">
        <f>IFERROR(SUM(R166:U166)/(U168+Z168+AD168),"")</f>
        <v/>
      </c>
      <c r="V170" s="43" t="n"/>
      <c r="W170" s="43" t="n"/>
      <c r="X170" s="43" t="n"/>
      <c r="Y170" s="43" t="n"/>
      <c r="Z170" s="43">
        <f>IFERROR(SUM(R166:Z166)/(U168+Z168+AD168),"")</f>
        <v/>
      </c>
      <c r="AA170" s="43" t="n"/>
      <c r="AB170" s="43" t="n"/>
      <c r="AC170" s="43" t="n"/>
      <c r="AD170" s="43" t="n"/>
      <c r="AE170" s="43" t="n"/>
      <c r="AF170" s="43" t="n"/>
      <c r="AG170" s="43" t="n"/>
      <c r="AH170" s="43" t="n"/>
      <c r="AI170" s="43" t="n"/>
      <c r="AJ170" s="43" t="n"/>
      <c r="AK170" s="43" t="n"/>
      <c r="AL170" s="43" t="n"/>
      <c r="AM170" s="43" t="n"/>
      <c r="AN170" s="43" t="n"/>
      <c r="AO170" s="43" t="n"/>
      <c r="AP170" s="43" t="n"/>
      <c r="AQ170" s="43" t="n"/>
      <c r="AR170" s="43" t="n"/>
      <c r="AS170" s="43" t="n"/>
      <c r="AT170" s="43" t="n"/>
      <c r="AU170" s="43" t="n"/>
      <c r="AV170" s="43" t="n"/>
      <c r="AW170" s="43" t="n"/>
      <c r="AX170" s="43" t="n"/>
      <c r="AY170" s="43" t="n"/>
      <c r="AZ170" s="43" t="n"/>
      <c r="BA170" s="43" t="n"/>
      <c r="BB170" s="43" t="n"/>
      <c r="BC170" s="43" t="n"/>
      <c r="BD170" s="43" t="n"/>
    </row>
    <row r="171" ht="15.75" customHeight="1">
      <c r="B171" s="7" t="inlineStr">
        <is>
          <t>As % of annual budget (YTD)</t>
        </is>
      </c>
      <c r="D171" s="17" t="inlineStr">
        <is>
          <t>%</t>
        </is>
      </c>
      <c r="E171" s="43" t="n"/>
      <c r="F171" s="43" t="n"/>
      <c r="G171" s="43" t="n"/>
      <c r="H171" s="43">
        <f>IFERROR(SUM($E$166:H166)/SUM($E$168:BD168),"")</f>
        <v/>
      </c>
      <c r="I171" s="43" t="n"/>
      <c r="J171" s="43" t="n"/>
      <c r="K171" s="43" t="n"/>
      <c r="L171" s="43">
        <f>IFERROR(SUM($E$166:L166)/SUM($E$168:BD168),"")</f>
        <v/>
      </c>
      <c r="M171" s="43" t="n"/>
      <c r="N171" s="43" t="n"/>
      <c r="O171" s="43" t="n"/>
      <c r="P171" s="43" t="n"/>
      <c r="Q171" s="43">
        <f>IFERROR(SUM($E$166:Q166)/SUM($E$168:BD168),"")</f>
        <v/>
      </c>
      <c r="R171" s="43" t="n"/>
      <c r="S171" s="43" t="n"/>
      <c r="T171" s="43" t="n"/>
      <c r="U171" s="43">
        <f>IFERROR(SUM($E$166:U166)/SUM($E$168:BD168),"")</f>
        <v/>
      </c>
      <c r="V171" s="43" t="n"/>
      <c r="W171" s="43" t="n"/>
      <c r="X171" s="43" t="n"/>
      <c r="Y171" s="43" t="n"/>
      <c r="Z171" s="43">
        <f>IFERROR(SUM($E$166:Z166)/SUM($E$168:BD168),"")</f>
        <v/>
      </c>
      <c r="AA171" s="43" t="n"/>
      <c r="AB171" s="43" t="n"/>
      <c r="AC171" s="43" t="n"/>
      <c r="AD171" s="43" t="n"/>
      <c r="AE171" s="43" t="n"/>
      <c r="AF171" s="43" t="n"/>
      <c r="AG171" s="43" t="n"/>
      <c r="AH171" s="43" t="n"/>
      <c r="AI171" s="43" t="n"/>
      <c r="AJ171" s="43" t="n"/>
      <c r="AK171" s="43" t="n"/>
      <c r="AL171" s="43" t="n"/>
      <c r="AM171" s="43" t="n"/>
      <c r="AN171" s="43" t="n"/>
      <c r="AO171" s="43" t="n"/>
      <c r="AP171" s="43" t="n"/>
      <c r="AQ171" s="43" t="n"/>
      <c r="AR171" s="43" t="n"/>
      <c r="AS171" s="43" t="n"/>
      <c r="AT171" s="43" t="n"/>
      <c r="AU171" s="43" t="n"/>
      <c r="AV171" s="43" t="n"/>
      <c r="AW171" s="43" t="n"/>
      <c r="AX171" s="43" t="n"/>
      <c r="AY171" s="43" t="n"/>
      <c r="AZ171" s="43" t="n"/>
      <c r="BA171" s="43" t="n"/>
      <c r="BB171" s="43" t="n"/>
      <c r="BC171" s="43" t="n"/>
      <c r="BD171" s="43" t="n"/>
    </row>
    <row r="172"/>
    <row r="173" ht="15.75" customFormat="1" customHeight="1" s="40">
      <c r="A173" s="40" t="inlineStr">
        <is>
          <t>Other Marketing - Retail marketing, etc</t>
        </is>
      </c>
      <c r="D173" s="24" t="inlineStr">
        <is>
          <t>$k</t>
        </is>
      </c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</row>
    <row r="174" ht="15.75" customFormat="1" customHeight="1" s="40">
      <c r="B174" s="31" t="inlineStr">
        <is>
          <t>Finance Actuals (Monthly)</t>
        </is>
      </c>
      <c r="D174" s="32" t="inlineStr">
        <is>
          <t>$k</t>
        </is>
      </c>
      <c r="E174" s="41" t="n"/>
      <c r="F174" s="41" t="n"/>
      <c r="G174" s="41" t="n"/>
      <c r="H174" s="41" t="n"/>
      <c r="I174" s="41" t="n"/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  <c r="AJ174" s="41" t="n"/>
      <c r="AK174" s="41" t="n"/>
      <c r="AL174" s="41" t="n"/>
      <c r="AM174" s="41" t="n"/>
      <c r="AN174" s="41" t="n"/>
      <c r="AO174" s="41" t="n"/>
      <c r="AP174" s="41" t="n"/>
      <c r="AQ174" s="41" t="n"/>
      <c r="AR174" s="41" t="n"/>
      <c r="AS174" s="41" t="n"/>
      <c r="AT174" s="41" t="n"/>
      <c r="AU174" s="41" t="n"/>
      <c r="AV174" s="41" t="n"/>
      <c r="AW174" s="41" t="n"/>
      <c r="AX174" s="41" t="n"/>
      <c r="AY174" s="41" t="n"/>
      <c r="AZ174" s="41" t="n"/>
      <c r="BA174" s="41" t="n"/>
      <c r="BB174" s="41" t="n"/>
      <c r="BC174" s="41" t="n"/>
      <c r="BD174" s="41" t="n"/>
    </row>
    <row r="175" ht="15.75" customHeight="1">
      <c r="B175" s="9" t="inlineStr">
        <is>
          <t>Budgeted (Monthly)</t>
        </is>
      </c>
      <c r="C175" s="9" t="n"/>
      <c r="D175" s="10" t="inlineStr">
        <is>
          <t>$k</t>
        </is>
      </c>
      <c r="E175" s="44" t="n"/>
      <c r="F175" s="44" t="n"/>
      <c r="G175" s="44" t="n"/>
      <c r="H175" s="44" t="n">
        <v>119.5833333333333</v>
      </c>
      <c r="I175" s="44" t="n"/>
      <c r="J175" s="44" t="n"/>
      <c r="K175" s="44" t="n"/>
      <c r="L175" s="44" t="n">
        <v>119.5833333333333</v>
      </c>
      <c r="M175" s="44" t="n"/>
      <c r="N175" s="44" t="n"/>
      <c r="O175" s="44" t="n"/>
      <c r="P175" s="44" t="n"/>
      <c r="Q175" s="44" t="n">
        <v>119.5833333333333</v>
      </c>
      <c r="R175" s="44" t="n"/>
      <c r="S175" s="44" t="n"/>
      <c r="T175" s="44" t="n"/>
      <c r="U175" s="44" t="n">
        <v>81.25</v>
      </c>
      <c r="V175" s="44" t="n"/>
      <c r="W175" s="44" t="n"/>
      <c r="X175" s="44" t="n"/>
      <c r="Y175" s="44" t="n"/>
      <c r="Z175" s="44" t="n">
        <v>81.25</v>
      </c>
      <c r="AA175" s="44" t="n"/>
      <c r="AB175" s="44" t="n"/>
      <c r="AC175" s="44" t="n"/>
      <c r="AD175" s="44" t="n">
        <v>81.25</v>
      </c>
      <c r="AE175" s="44" t="n"/>
      <c r="AF175" s="44" t="n"/>
      <c r="AG175" s="44" t="n"/>
      <c r="AH175" s="44" t="n">
        <v>81.25</v>
      </c>
      <c r="AI175" s="44" t="n"/>
      <c r="AJ175" s="44" t="n"/>
      <c r="AK175" s="44" t="n"/>
      <c r="AL175" s="44" t="n"/>
      <c r="AM175" s="44" t="n">
        <v>81.25</v>
      </c>
      <c r="AN175" s="44" t="n"/>
      <c r="AO175" s="44" t="n"/>
      <c r="AP175" s="44" t="n"/>
      <c r="AQ175" s="44" t="n">
        <v>81.25</v>
      </c>
      <c r="AR175" s="44" t="n"/>
      <c r="AS175" s="44" t="n"/>
      <c r="AT175" s="44" t="n"/>
      <c r="AU175" s="44" t="n">
        <v>81.25</v>
      </c>
      <c r="AV175" s="44" t="n"/>
      <c r="AW175" s="44" t="n"/>
      <c r="AX175" s="44" t="n"/>
      <c r="AY175" s="44" t="n"/>
      <c r="AZ175" s="44" t="n">
        <v>81.25</v>
      </c>
      <c r="BA175" s="44" t="n"/>
      <c r="BB175" s="44" t="n"/>
      <c r="BC175" s="44" t="n"/>
      <c r="BD175" s="44" t="n">
        <v>81.25</v>
      </c>
    </row>
    <row r="176" ht="15.75" customHeight="1">
      <c r="B176" s="7" t="inlineStr">
        <is>
          <t>As % of budget - this month</t>
        </is>
      </c>
      <c r="D176" s="17" t="inlineStr">
        <is>
          <t>%</t>
        </is>
      </c>
      <c r="E176" s="43" t="n"/>
      <c r="F176" s="43" t="n"/>
      <c r="G176" s="43" t="n"/>
      <c r="H176" s="43" t="n"/>
      <c r="I176" s="43" t="n"/>
      <c r="J176" s="43" t="n"/>
      <c r="K176" s="43" t="n"/>
      <c r="L176" s="43" t="n"/>
      <c r="M176" s="43" t="n"/>
      <c r="N176" s="43" t="n"/>
      <c r="O176" s="43" t="n"/>
      <c r="P176" s="43" t="n"/>
      <c r="Q176" s="43" t="n"/>
      <c r="R176" s="43" t="n"/>
      <c r="S176" s="43" t="n"/>
      <c r="T176" s="43" t="n"/>
      <c r="U176" s="43" t="n"/>
      <c r="V176" s="43" t="n"/>
      <c r="W176" s="43" t="n"/>
      <c r="X176" s="43" t="n"/>
      <c r="Y176" s="43" t="n"/>
      <c r="Z176" s="43" t="n"/>
      <c r="AA176" s="43" t="n"/>
      <c r="AB176" s="43" t="n"/>
      <c r="AC176" s="43" t="n"/>
      <c r="AD176" s="43" t="n"/>
      <c r="AE176" s="43" t="n"/>
      <c r="AF176" s="43" t="n"/>
      <c r="AG176" s="43" t="n"/>
      <c r="AH176" s="43" t="n"/>
      <c r="AI176" s="43" t="n"/>
      <c r="AJ176" s="43" t="n"/>
      <c r="AK176" s="43" t="n"/>
      <c r="AL176" s="43" t="n"/>
      <c r="AM176" s="43" t="n"/>
      <c r="AN176" s="43" t="n"/>
      <c r="AO176" s="43" t="n"/>
      <c r="AP176" s="43" t="n"/>
      <c r="AQ176" s="43" t="n"/>
      <c r="AR176" s="43" t="n"/>
      <c r="AS176" s="43" t="n"/>
      <c r="AT176" s="43" t="n"/>
      <c r="AU176" s="43" t="n"/>
      <c r="AV176" s="43" t="n"/>
      <c r="AW176" s="43" t="n"/>
      <c r="AX176" s="43" t="n"/>
      <c r="AY176" s="43" t="n"/>
      <c r="AZ176" s="43" t="n"/>
      <c r="BA176" s="43" t="n"/>
      <c r="BB176" s="43" t="n"/>
      <c r="BC176" s="43" t="n"/>
      <c r="BD176" s="43" t="n"/>
    </row>
    <row r="177" ht="15.75" customHeight="1">
      <c r="B177" s="7" t="inlineStr">
        <is>
          <t>As % of quarterly budget (QTD)</t>
        </is>
      </c>
      <c r="D177" s="17" t="inlineStr">
        <is>
          <t>%</t>
        </is>
      </c>
      <c r="E177" s="43" t="n"/>
      <c r="F177" s="43" t="n"/>
      <c r="G177" s="43" t="n"/>
      <c r="H177" s="43" t="n"/>
      <c r="I177" s="43" t="n"/>
      <c r="J177" s="43" t="n"/>
      <c r="K177" s="43" t="n"/>
      <c r="L177" s="43" t="n"/>
      <c r="M177" s="43" t="n"/>
      <c r="N177" s="43" t="n"/>
      <c r="O177" s="43" t="n"/>
      <c r="P177" s="43" t="n"/>
      <c r="Q177" s="43" t="n"/>
      <c r="R177" s="43" t="n"/>
      <c r="S177" s="43" t="n"/>
      <c r="T177" s="43" t="n"/>
      <c r="U177" s="43" t="n"/>
      <c r="V177" s="43" t="n"/>
      <c r="W177" s="43" t="n"/>
      <c r="X177" s="43" t="n"/>
      <c r="Y177" s="43" t="n"/>
      <c r="Z177" s="43" t="n"/>
      <c r="AA177" s="43" t="n"/>
      <c r="AB177" s="43" t="n"/>
      <c r="AC177" s="43" t="n"/>
      <c r="AD177" s="43" t="n"/>
      <c r="AE177" s="43" t="n"/>
      <c r="AF177" s="43" t="n"/>
      <c r="AG177" s="43" t="n"/>
      <c r="AH177" s="43" t="n"/>
      <c r="AI177" s="43" t="n"/>
      <c r="AJ177" s="43" t="n"/>
      <c r="AK177" s="43" t="n"/>
      <c r="AL177" s="43" t="n"/>
      <c r="AM177" s="43" t="n"/>
      <c r="AN177" s="43" t="n"/>
      <c r="AO177" s="43" t="n"/>
      <c r="AP177" s="43" t="n"/>
      <c r="AQ177" s="43" t="n"/>
      <c r="AR177" s="43" t="n"/>
      <c r="AS177" s="43" t="n"/>
      <c r="AT177" s="43" t="n"/>
      <c r="AU177" s="43" t="n"/>
      <c r="AV177" s="43" t="n"/>
      <c r="AW177" s="43" t="n"/>
      <c r="AX177" s="43" t="n"/>
      <c r="AY177" s="43" t="n"/>
      <c r="AZ177" s="43" t="n"/>
      <c r="BA177" s="43" t="n"/>
      <c r="BB177" s="43" t="n"/>
      <c r="BC177" s="43" t="n"/>
      <c r="BD177" s="43" t="n"/>
    </row>
    <row r="178" ht="15.75" customHeight="1">
      <c r="B178" s="7" t="inlineStr">
        <is>
          <t>As % of annual budget (YTD)</t>
        </is>
      </c>
      <c r="D178" s="17" t="inlineStr">
        <is>
          <t>%</t>
        </is>
      </c>
      <c r="E178" s="43" t="n"/>
      <c r="F178" s="43" t="n"/>
      <c r="G178" s="43" t="n"/>
      <c r="H178" s="43" t="n"/>
      <c r="I178" s="43" t="n"/>
      <c r="J178" s="43" t="n"/>
      <c r="K178" s="43" t="n"/>
      <c r="L178" s="43" t="n"/>
      <c r="M178" s="43" t="n"/>
      <c r="N178" s="43" t="n"/>
      <c r="O178" s="43" t="n"/>
      <c r="P178" s="43" t="n"/>
      <c r="Q178" s="43" t="n"/>
      <c r="R178" s="43" t="n"/>
      <c r="S178" s="43" t="n"/>
      <c r="T178" s="43" t="n"/>
      <c r="U178" s="43" t="n"/>
      <c r="V178" s="43" t="n"/>
      <c r="W178" s="43" t="n"/>
      <c r="X178" s="43" t="n"/>
      <c r="Y178" s="43" t="n"/>
      <c r="Z178" s="43" t="n"/>
      <c r="AA178" s="43" t="n"/>
      <c r="AB178" s="43" t="n"/>
      <c r="AC178" s="43" t="n"/>
      <c r="AD178" s="43" t="n"/>
      <c r="AE178" s="43" t="n"/>
      <c r="AF178" s="43" t="n"/>
      <c r="AG178" s="43" t="n"/>
      <c r="AH178" s="43" t="n"/>
      <c r="AI178" s="43" t="n"/>
      <c r="AJ178" s="43" t="n"/>
      <c r="AK178" s="43" t="n"/>
      <c r="AL178" s="43" t="n"/>
      <c r="AM178" s="43" t="n"/>
      <c r="AN178" s="43" t="n"/>
      <c r="AO178" s="43" t="n"/>
      <c r="AP178" s="43" t="n"/>
      <c r="AQ178" s="43" t="n"/>
      <c r="AR178" s="43" t="n"/>
      <c r="AS178" s="43" t="n"/>
      <c r="AT178" s="43" t="n"/>
      <c r="AU178" s="43" t="n"/>
      <c r="AV178" s="43" t="n"/>
      <c r="AW178" s="43" t="n"/>
      <c r="AX178" s="43" t="n"/>
      <c r="AY178" s="43" t="n"/>
      <c r="AZ178" s="43" t="n"/>
      <c r="BA178" s="43" t="n"/>
      <c r="BB178" s="43" t="n"/>
      <c r="BC178" s="43" t="n"/>
      <c r="BD178" s="43" t="n"/>
    </row>
    <row r="179"/>
    <row r="180"/>
    <row r="181" customFormat="1" s="35">
      <c r="A181" s="34" t="inlineStr">
        <is>
          <t>Other Omni-channel Accounts</t>
        </is>
      </c>
      <c r="D181" s="36" t="n"/>
    </row>
    <row r="182">
      <c r="A182" s="40" t="inlineStr">
        <is>
          <t>Sell-in value</t>
        </is>
      </c>
      <c r="D182" s="24" t="inlineStr">
        <is>
          <t>$k</t>
        </is>
      </c>
      <c r="E182" s="42" t="n">
        <v>547.825</v>
      </c>
      <c r="F182" s="42" t="n">
        <v>40.265</v>
      </c>
      <c r="G182" s="42" t="n">
        <v>36.672</v>
      </c>
      <c r="H182" s="42" t="n">
        <v>69.074</v>
      </c>
      <c r="I182" s="42" t="n">
        <v>127.596</v>
      </c>
      <c r="J182" s="42" t="n">
        <v>86.351</v>
      </c>
      <c r="K182" s="42" t="n">
        <v>26.149</v>
      </c>
      <c r="L182" s="42" t="n">
        <v>44.528</v>
      </c>
      <c r="M182" s="42" t="n">
        <v>156.413</v>
      </c>
      <c r="N182" s="42" t="n">
        <v>40.758</v>
      </c>
      <c r="O182" s="42" t="n">
        <v>45.15</v>
      </c>
      <c r="P182" s="42" t="n">
        <v>48.79</v>
      </c>
      <c r="Q182" s="42" t="n">
        <v>47.999</v>
      </c>
      <c r="R182" s="42" t="n">
        <v>242.401</v>
      </c>
      <c r="S182" s="42" t="n">
        <v>45.439</v>
      </c>
      <c r="T182" s="42" t="n">
        <v>64.428</v>
      </c>
      <c r="U182" s="42" t="n">
        <v>15.019</v>
      </c>
      <c r="V182" s="42" t="n">
        <v>148.254</v>
      </c>
      <c r="W182" s="42" t="n">
        <v>28.287</v>
      </c>
      <c r="X182" s="42" t="n">
        <v>39.21</v>
      </c>
      <c r="Y182" s="42" t="n">
        <v>23.705</v>
      </c>
      <c r="Z182" s="42" t="n">
        <v>121.666</v>
      </c>
      <c r="AA182" s="42" t="n">
        <v>55.168</v>
      </c>
      <c r="AB182" s="42" t="n">
        <v>25.334</v>
      </c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</row>
    <row r="183" customFormat="1" s="4">
      <c r="A183" s="3" t="n"/>
      <c r="B183" s="4" t="inlineStr">
        <is>
          <t>% of Total - YTD</t>
        </is>
      </c>
      <c r="D183" s="33" t="inlineStr">
        <is>
          <t>%</t>
        </is>
      </c>
      <c r="E183" s="46">
        <f>IFERROR(SUM($E$182:E182)/SUM($E$3:E3),"")</f>
        <v/>
      </c>
      <c r="F183" s="46">
        <f>IFERROR(SUM($E$182:F182)/SUM($E$3:F3),"")</f>
        <v/>
      </c>
      <c r="G183" s="46">
        <f>IFERROR(SUM($E$182:G182)/SUM($E$3:G3),"")</f>
        <v/>
      </c>
      <c r="H183" s="46">
        <f>IFERROR(SUM($E$182:H182)/SUM($E$3:H3),"")</f>
        <v/>
      </c>
      <c r="I183" s="46">
        <f>IFERROR(SUM($E$182:I182)/SUM($E$3:I3),"")</f>
        <v/>
      </c>
      <c r="J183" s="46">
        <f>IFERROR(SUM($E$182:J182)/SUM($E$3:J3),"")</f>
        <v/>
      </c>
      <c r="K183" s="46">
        <f>IFERROR(SUM($E$182:K182)/SUM($E$3:K3),"")</f>
        <v/>
      </c>
      <c r="L183" s="46">
        <f>IFERROR(SUM($E$182:L182)/SUM($E$3:L3),"")</f>
        <v/>
      </c>
      <c r="M183" s="46">
        <f>IFERROR(SUM($E$182:M182)/SUM($E$3:M3),"")</f>
        <v/>
      </c>
      <c r="N183" s="46">
        <f>IFERROR(SUM($E$182:N182)/SUM($E$3:N3),"")</f>
        <v/>
      </c>
      <c r="O183" s="46">
        <f>IFERROR(SUM($E$182:O182)/SUM($E$3:O3),"")</f>
        <v/>
      </c>
      <c r="P183" s="46">
        <f>IFERROR(SUM($E$182:P182)/SUM($E$3:P3),"")</f>
        <v/>
      </c>
      <c r="Q183" s="46">
        <f>IFERROR(SUM($E$182:Q182)/SUM($E$3:Q3),"")</f>
        <v/>
      </c>
      <c r="R183" s="46">
        <f>IFERROR(SUM($E$182:R182)/SUM($E$3:R3),"")</f>
        <v/>
      </c>
      <c r="S183" s="46">
        <f>IFERROR(SUM($E$182:S182)/SUM($E$3:S3),"")</f>
        <v/>
      </c>
      <c r="T183" s="46">
        <f>IFERROR(SUM($E$182:T182)/SUM($E$3:T3),"")</f>
        <v/>
      </c>
      <c r="U183" s="46">
        <f>IFERROR(SUM($E$182:U182)/SUM($E$3:U3),"")</f>
        <v/>
      </c>
      <c r="V183" s="46">
        <f>IFERROR(SUM($E$182:V182)/SUM($E$3:V3),"")</f>
        <v/>
      </c>
      <c r="W183" s="46">
        <f>IFERROR(SUM($E$182:W182)/SUM($E$3:W3),"")</f>
        <v/>
      </c>
      <c r="X183" s="46">
        <f>IFERROR(SUM($E$182:X182)/SUM($E$3:X3),"")</f>
        <v/>
      </c>
      <c r="Y183" s="46">
        <f>IFERROR(SUM($E$182:Y182)/SUM($E$3:Y3),"")</f>
        <v/>
      </c>
      <c r="Z183" s="46">
        <f>IFERROR(SUM($E$182:Z182)/SUM($E$3:Z3),"")</f>
        <v/>
      </c>
      <c r="AA183" s="46">
        <f>IFERROR(SUM($E$182:AA182)/SUM($E$3:AA3),"")</f>
        <v/>
      </c>
      <c r="AB183" s="46">
        <f>IFERROR(SUM($E$182:AB182)/SUM($E$3:AB3),"")</f>
        <v/>
      </c>
      <c r="AC183" s="46" t="n"/>
      <c r="AD183" s="46" t="n"/>
      <c r="AE183" s="46" t="n"/>
      <c r="AF183" s="46" t="n"/>
      <c r="AG183" s="46" t="n"/>
      <c r="AH183" s="46" t="n"/>
      <c r="AI183" s="46" t="n"/>
      <c r="AJ183" s="46" t="n"/>
      <c r="AK183" s="46" t="n"/>
      <c r="AL183" s="46" t="n"/>
      <c r="AM183" s="46" t="n"/>
      <c r="AN183" s="46" t="n"/>
      <c r="AO183" s="46" t="n"/>
      <c r="AP183" s="46" t="n"/>
      <c r="AQ183" s="46" t="n"/>
      <c r="AR183" s="46" t="n"/>
      <c r="AS183" s="46" t="n"/>
      <c r="AT183" s="46" t="n"/>
      <c r="AU183" s="46" t="n"/>
      <c r="AV183" s="46" t="n"/>
      <c r="AW183" s="46" t="n"/>
      <c r="AX183" s="46" t="n"/>
      <c r="AY183" s="46" t="n"/>
      <c r="AZ183" s="46" t="n"/>
      <c r="BA183" s="46" t="n"/>
      <c r="BB183" s="46" t="n"/>
      <c r="BC183" s="46" t="n"/>
      <c r="BD183" s="46" t="n"/>
    </row>
    <row r="184" customFormat="1" s="7">
      <c r="B184" s="7" t="inlineStr">
        <is>
          <t>% of Target</t>
        </is>
      </c>
      <c r="D184" s="8" t="inlineStr">
        <is>
          <t>%</t>
        </is>
      </c>
      <c r="E184" s="43">
        <f>IFERROR(E182/E186,"")</f>
        <v/>
      </c>
      <c r="F184" s="43">
        <f>IFERROR(F182/F186,"")</f>
        <v/>
      </c>
      <c r="G184" s="43">
        <f>IFERROR(G182/G186,"")</f>
        <v/>
      </c>
      <c r="H184" s="43">
        <f>IFERROR(H182/H186,"")</f>
        <v/>
      </c>
      <c r="I184" s="43">
        <f>IFERROR(I182/I186,"")</f>
        <v/>
      </c>
      <c r="J184" s="43">
        <f>IFERROR(J182/J186,"")</f>
        <v/>
      </c>
      <c r="K184" s="43">
        <f>IFERROR(K182/K186,"")</f>
        <v/>
      </c>
      <c r="L184" s="43">
        <f>IFERROR(L182/L186,"")</f>
        <v/>
      </c>
      <c r="M184" s="43">
        <f>IFERROR(M182/M186,"")</f>
        <v/>
      </c>
      <c r="N184" s="43">
        <f>IFERROR(N182/N186,"")</f>
        <v/>
      </c>
      <c r="O184" s="43">
        <f>IFERROR(O182/O186,"")</f>
        <v/>
      </c>
      <c r="P184" s="43">
        <f>IFERROR(P182/P186,"")</f>
        <v/>
      </c>
      <c r="Q184" s="43">
        <f>IFERROR(Q182/Q186,"")</f>
        <v/>
      </c>
      <c r="R184" s="43">
        <f>IFERROR(R182/R186,"")</f>
        <v/>
      </c>
      <c r="S184" s="43">
        <f>IFERROR(S182/S186,"")</f>
        <v/>
      </c>
      <c r="T184" s="43">
        <f>IFERROR(T182/T186,"")</f>
        <v/>
      </c>
      <c r="U184" s="43">
        <f>IFERROR(U182/U186,"")</f>
        <v/>
      </c>
      <c r="V184" s="43">
        <f>IFERROR(V182/V186,"")</f>
        <v/>
      </c>
      <c r="W184" s="43">
        <f>IFERROR(W182/W186,"")</f>
        <v/>
      </c>
      <c r="X184" s="43">
        <f>IFERROR(X182/X186,"")</f>
        <v/>
      </c>
      <c r="Y184" s="43">
        <f>IFERROR(Y182/Y186,"")</f>
        <v/>
      </c>
      <c r="Z184" s="43">
        <f>IFERROR(Z182/Z186,"")</f>
        <v/>
      </c>
      <c r="AA184" s="43">
        <f>IFERROR(AA182/AA186,"")</f>
        <v/>
      </c>
      <c r="AB184" s="43">
        <f>IFERROR(AB182/AB186,"")</f>
        <v/>
      </c>
      <c r="AC184" s="43" t="n"/>
      <c r="AD184" s="43" t="n"/>
      <c r="AE184" s="43" t="n"/>
      <c r="AF184" s="43" t="n"/>
      <c r="AG184" s="43" t="n"/>
      <c r="AH184" s="43" t="n"/>
      <c r="AI184" s="43" t="n"/>
      <c r="AJ184" s="43" t="n"/>
      <c r="AK184" s="43" t="n"/>
      <c r="AL184" s="43" t="n"/>
      <c r="AM184" s="43" t="n"/>
      <c r="AN184" s="43" t="n"/>
      <c r="AO184" s="43" t="n"/>
      <c r="AP184" s="43" t="n"/>
      <c r="AQ184" s="43" t="n"/>
      <c r="AR184" s="43" t="n"/>
      <c r="AS184" s="43" t="n"/>
      <c r="AT184" s="43" t="n"/>
      <c r="AU184" s="43" t="n"/>
      <c r="AV184" s="43" t="n"/>
      <c r="AW184" s="43" t="n"/>
      <c r="AX184" s="43" t="n"/>
      <c r="AY184" s="43" t="n"/>
      <c r="AZ184" s="43" t="n"/>
      <c r="BA184" s="43" t="n"/>
      <c r="BB184" s="43" t="n"/>
      <c r="BC184" s="43" t="n"/>
      <c r="BD184" s="43" t="n"/>
    </row>
    <row r="185" ht="15.75" customFormat="1" customHeight="1" s="7">
      <c r="B185" s="7" t="inlineStr">
        <is>
          <t>% of Target - YTD</t>
        </is>
      </c>
      <c r="C185" s="16" t="n"/>
      <c r="D185" s="17" t="inlineStr">
        <is>
          <t>%</t>
        </is>
      </c>
      <c r="E185" s="43">
        <f>IFERROR(SUMIF($E$186:E186,"&lt;&gt;",$E$182:E182)/SUM($E$186:E186),"")</f>
        <v/>
      </c>
      <c r="F185" s="43">
        <f>IFERROR(SUMIF($E$186:F186,"&lt;&gt;",$E$182:F182)/SUM($E$186:F186),"")</f>
        <v/>
      </c>
      <c r="G185" s="43">
        <f>IFERROR(SUMIF($E$186:G186,"&lt;&gt;",$E$182:G182)/SUM($E$186:G186),"")</f>
        <v/>
      </c>
      <c r="H185" s="43">
        <f>IFERROR(SUMIF($E$186:H186,"&lt;&gt;",$E$182:H182)/SUM($E$186:H186),"")</f>
        <v/>
      </c>
      <c r="I185" s="43">
        <f>IFERROR(SUMIF($E$186:I186,"&lt;&gt;",$E$182:I182)/SUM($E$186:I186),"")</f>
        <v/>
      </c>
      <c r="J185" s="43">
        <f>IFERROR(SUMIF($E$186:J186,"&lt;&gt;",$E$182:J182)/SUM($E$186:J186),"")</f>
        <v/>
      </c>
      <c r="K185" s="43">
        <f>IFERROR(SUMIF($E$186:K186,"&lt;&gt;",$E$182:K182)/SUM($E$186:K186),"")</f>
        <v/>
      </c>
      <c r="L185" s="43">
        <f>IFERROR(SUMIF($E$186:L186,"&lt;&gt;",$E$182:L182)/SUM($E$186:L186),"")</f>
        <v/>
      </c>
      <c r="M185" s="43">
        <f>IFERROR(SUMIF($E$186:M186,"&lt;&gt;",$E$182:M182)/SUM($E$186:M186),"")</f>
        <v/>
      </c>
      <c r="N185" s="43">
        <f>IFERROR(SUMIF($E$186:N186,"&lt;&gt;",$E$182:N182)/SUM($E$186:N186),"")</f>
        <v/>
      </c>
      <c r="O185" s="43">
        <f>IFERROR(SUMIF($E$186:O186,"&lt;&gt;",$E$182:O182)/SUM($E$186:O186),"")</f>
        <v/>
      </c>
      <c r="P185" s="43">
        <f>IFERROR(SUMIF($E$186:P186,"&lt;&gt;",$E$182:P182)/SUM($E$186:P186),"")</f>
        <v/>
      </c>
      <c r="Q185" s="43">
        <f>IFERROR(SUMIF($E$186:Q186,"&lt;&gt;",$E$182:Q182)/SUM($E$186:Q186),"")</f>
        <v/>
      </c>
      <c r="R185" s="43">
        <f>IFERROR(SUMIF($E$186:R186,"&lt;&gt;",$E$182:R182)/SUM($E$186:R186),"")</f>
        <v/>
      </c>
      <c r="S185" s="43">
        <f>IFERROR(SUMIF($E$186:S186,"&lt;&gt;",$E$182:S182)/SUM($E$186:S186),"")</f>
        <v/>
      </c>
      <c r="T185" s="43">
        <f>IFERROR(SUMIF($E$186:T186,"&lt;&gt;",$E$182:T182)/SUM($E$186:T186),"")</f>
        <v/>
      </c>
      <c r="U185" s="43">
        <f>IFERROR(SUMIF($E$186:U186,"&lt;&gt;",$E$182:U182)/SUM($E$186:U186),"")</f>
        <v/>
      </c>
      <c r="V185" s="43">
        <f>IFERROR(SUMIF($E$186:V186,"&lt;&gt;",$E$182:V182)/SUM($E$186:V186),"")</f>
        <v/>
      </c>
      <c r="W185" s="43">
        <f>IFERROR(SUMIF($E$186:W186,"&lt;&gt;",$E$182:W182)/SUM($E$186:W186),"")</f>
        <v/>
      </c>
      <c r="X185" s="43">
        <f>IFERROR(SUMIF($E$186:X186,"&lt;&gt;",$E$182:X182)/SUM($E$186:X186),"")</f>
        <v/>
      </c>
      <c r="Y185" s="43">
        <f>IFERROR(SUMIF($E$186:Y186,"&lt;&gt;",$E$182:Y182)/SUM($E$186:Y186),"")</f>
        <v/>
      </c>
      <c r="Z185" s="43">
        <f>IFERROR(SUMIF($E$186:Z186,"&lt;&gt;",$E$182:Z182)/SUM($E$186:Z186),"")</f>
        <v/>
      </c>
      <c r="AA185" s="43">
        <f>IFERROR(SUMIF($E$186:AA186,"&lt;&gt;",$E$182:AA182)/SUM($E$186:AA186),"")</f>
        <v/>
      </c>
      <c r="AB185" s="43">
        <f>IFERROR(SUMIF($E$186:AB186,"&lt;&gt;",$E$182:AB182)/SUM($E$186:AB186),"")</f>
        <v/>
      </c>
      <c r="AC185" s="43" t="n"/>
      <c r="AD185" s="43" t="n"/>
      <c r="AE185" s="43" t="n"/>
      <c r="AF185" s="43" t="n"/>
      <c r="AG185" s="43" t="n"/>
      <c r="AH185" s="43" t="n"/>
      <c r="AI185" s="43" t="n"/>
      <c r="AJ185" s="43" t="n"/>
      <c r="AK185" s="43" t="n"/>
      <c r="AL185" s="43" t="n"/>
      <c r="AM185" s="43" t="n"/>
      <c r="AN185" s="43" t="n"/>
      <c r="AO185" s="43" t="n"/>
      <c r="AP185" s="43" t="n"/>
      <c r="AQ185" s="43" t="n"/>
      <c r="AR185" s="43" t="n"/>
      <c r="AS185" s="43" t="n"/>
      <c r="AT185" s="43" t="n"/>
      <c r="AU185" s="43" t="n"/>
      <c r="AV185" s="43" t="n"/>
      <c r="AW185" s="43" t="n"/>
      <c r="AX185" s="43" t="n"/>
      <c r="AY185" s="43" t="n"/>
      <c r="AZ185" s="43" t="n"/>
      <c r="BA185" s="43" t="n"/>
      <c r="BB185" s="43" t="n"/>
      <c r="BC185" s="43" t="n"/>
      <c r="BD185" s="43" t="n"/>
    </row>
    <row r="186" customFormat="1" s="9">
      <c r="B186" s="9" t="inlineStr">
        <is>
          <t>Target</t>
        </is>
      </c>
      <c r="D186" s="10" t="inlineStr">
        <is>
          <t>$k</t>
        </is>
      </c>
      <c r="E186" s="44" t="n">
        <v>41.219788528</v>
      </c>
      <c r="F186" s="44" t="n">
        <v>72.134629924</v>
      </c>
      <c r="G186" s="44" t="n">
        <v>72.134629924</v>
      </c>
      <c r="H186" s="44" t="n">
        <v>72.134629924</v>
      </c>
      <c r="I186" s="44" t="n">
        <v>75.09150526799999</v>
      </c>
      <c r="J186" s="44" t="n">
        <v>92.8335</v>
      </c>
      <c r="K186" s="44" t="n">
        <v>92.8335</v>
      </c>
      <c r="L186" s="44" t="n">
        <v>92.8335</v>
      </c>
      <c r="M186" s="44" t="n">
        <v>88.96398132</v>
      </c>
      <c r="N186" s="44" t="n">
        <v>65.74612657200001</v>
      </c>
      <c r="O186" s="44" t="n">
        <v>65.74612657200001</v>
      </c>
      <c r="P186" s="44" t="n">
        <v>65.74612657200001</v>
      </c>
      <c r="Q186" s="44" t="n">
        <v>65.74612657200001</v>
      </c>
      <c r="R186" s="44" t="n">
        <v>69.526709076</v>
      </c>
      <c r="S186" s="44" t="n">
        <v>71.03869851600001</v>
      </c>
      <c r="T186" s="44" t="n">
        <v>71.03869851600001</v>
      </c>
      <c r="U186" s="44" t="n">
        <v>71.03869851600001</v>
      </c>
      <c r="V186" s="44" t="n">
        <v>77.047780446</v>
      </c>
      <c r="W186" s="44" t="n">
        <v>85.05999116999999</v>
      </c>
      <c r="X186" s="44" t="n">
        <v>85.05999116999999</v>
      </c>
      <c r="Y186" s="44" t="n">
        <v>85.05999116999999</v>
      </c>
      <c r="Z186" s="44" t="n">
        <v>85.05999116999999</v>
      </c>
      <c r="AA186" s="44" t="n">
        <v>84.886778733</v>
      </c>
      <c r="AB186" s="44" t="n">
        <v>84.886778733</v>
      </c>
      <c r="AC186" s="44" t="n"/>
      <c r="AD186" s="44" t="n"/>
      <c r="AE186" s="44" t="n"/>
      <c r="AF186" s="44" t="n"/>
      <c r="AG186" s="44" t="n"/>
      <c r="AH186" s="44" t="n"/>
      <c r="AI186" s="44" t="n"/>
      <c r="AJ186" s="44" t="n"/>
      <c r="AK186" s="44" t="n"/>
      <c r="AL186" s="44" t="n"/>
      <c r="AM186" s="44" t="n"/>
      <c r="AN186" s="44" t="n"/>
      <c r="AO186" s="44" t="n"/>
      <c r="AP186" s="44" t="n"/>
      <c r="AQ186" s="44" t="n"/>
      <c r="AR186" s="44" t="n"/>
      <c r="AS186" s="44" t="n"/>
      <c r="AT186" s="44" t="n"/>
      <c r="AU186" s="44" t="n"/>
      <c r="AV186" s="44" t="n"/>
      <c r="AW186" s="44" t="n"/>
      <c r="AX186" s="44" t="n"/>
      <c r="AY186" s="44" t="n"/>
      <c r="AZ186" s="44" t="n"/>
      <c r="BA186" s="44" t="n"/>
      <c r="BB186" s="44" t="n"/>
      <c r="BC186" s="44" t="n"/>
      <c r="BD186" s="44" t="n"/>
    </row>
    <row r="187"/>
    <row r="188">
      <c r="A188" s="40" t="inlineStr">
        <is>
          <t xml:space="preserve">Sell-through units </t>
        </is>
      </c>
      <c r="D188" s="24" t="inlineStr">
        <is>
          <t>#</t>
        </is>
      </c>
      <c r="E188" s="42" t="n">
        <v>1183</v>
      </c>
      <c r="F188" s="42" t="n">
        <v>941</v>
      </c>
      <c r="G188" s="42" t="n">
        <v>1082</v>
      </c>
      <c r="H188" s="42" t="n">
        <v>924</v>
      </c>
      <c r="I188" s="42" t="n">
        <v>828</v>
      </c>
      <c r="J188" s="42" t="n">
        <v>946</v>
      </c>
      <c r="K188" s="42" t="n">
        <v>1005</v>
      </c>
      <c r="L188" s="42" t="n">
        <v>1083</v>
      </c>
      <c r="M188" s="42" t="n">
        <v>1343</v>
      </c>
      <c r="N188" s="42" t="n">
        <v>1605</v>
      </c>
      <c r="O188" s="42" t="n">
        <v>1505</v>
      </c>
      <c r="P188" s="42" t="n">
        <v>1481</v>
      </c>
      <c r="Q188" s="42" t="n">
        <v>1379</v>
      </c>
      <c r="R188" s="42" t="n">
        <v>1296</v>
      </c>
      <c r="S188" s="42" t="n">
        <v>1032</v>
      </c>
      <c r="T188" s="42" t="n">
        <v>1062</v>
      </c>
      <c r="U188" s="42" t="n">
        <v>899</v>
      </c>
      <c r="V188" s="42" t="n">
        <v>1103</v>
      </c>
      <c r="W188" s="42" t="n">
        <v>1160</v>
      </c>
      <c r="X188" s="42" t="n">
        <v>970</v>
      </c>
      <c r="Y188" s="42" t="n">
        <v>1093</v>
      </c>
      <c r="Z188" s="42" t="n">
        <v>1082</v>
      </c>
      <c r="AA188" s="42" t="n">
        <v>1088</v>
      </c>
      <c r="AB188" s="42" t="n">
        <v>942</v>
      </c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</row>
    <row r="189" customFormat="1" s="4">
      <c r="A189" s="3" t="n"/>
      <c r="B189" s="4" t="inlineStr">
        <is>
          <t>% of Total - YTD</t>
        </is>
      </c>
      <c r="D189" s="33" t="inlineStr">
        <is>
          <t>%</t>
        </is>
      </c>
      <c r="E189" s="46">
        <f>IFERROR(SUM($E$188:E188)/SUM($E$4:E4),"")</f>
        <v/>
      </c>
      <c r="F189" s="46">
        <f>IFERROR(SUM($E$188:F188)/SUM($E$4:F4),"")</f>
        <v/>
      </c>
      <c r="G189" s="46">
        <f>IFERROR(SUM($E$188:G188)/SUM($E$4:G4),"")</f>
        <v/>
      </c>
      <c r="H189" s="46">
        <f>IFERROR(SUM($E$188:H188)/SUM($E$4:H4),"")</f>
        <v/>
      </c>
      <c r="I189" s="46">
        <f>IFERROR(SUM($E$188:I188)/SUM($E$4:I4),"")</f>
        <v/>
      </c>
      <c r="J189" s="46">
        <f>IFERROR(SUM($E$188:J188)/SUM($E$4:J4),"")</f>
        <v/>
      </c>
      <c r="K189" s="46">
        <f>IFERROR(SUM($E$188:K188)/SUM($E$4:K4),"")</f>
        <v/>
      </c>
      <c r="L189" s="46">
        <f>IFERROR(SUM($E$188:L188)/SUM($E$4:L4),"")</f>
        <v/>
      </c>
      <c r="M189" s="46">
        <f>IFERROR(SUM($E$188:M188)/SUM($E$4:M4),"")</f>
        <v/>
      </c>
      <c r="N189" s="46">
        <f>IFERROR(SUM($E$188:N188)/SUM($E$4:N4),"")</f>
        <v/>
      </c>
      <c r="O189" s="46">
        <f>IFERROR(SUM($E$188:O188)/SUM($E$4:O4),"")</f>
        <v/>
      </c>
      <c r="P189" s="46">
        <f>IFERROR(SUM($E$188:P188)/SUM($E$4:P4),"")</f>
        <v/>
      </c>
      <c r="Q189" s="46">
        <f>IFERROR(SUM($E$188:Q188)/SUM($E$4:Q4),"")</f>
        <v/>
      </c>
      <c r="R189" s="46">
        <f>IFERROR(SUM($E$188:R188)/SUM($E$4:R4),"")</f>
        <v/>
      </c>
      <c r="S189" s="46">
        <f>IFERROR(SUM($E$188:S188)/SUM($E$4:S4),"")</f>
        <v/>
      </c>
      <c r="T189" s="46">
        <f>IFERROR(SUM($E$188:T188)/SUM($E$4:T4),"")</f>
        <v/>
      </c>
      <c r="U189" s="46">
        <f>IFERROR(SUM($E$188:U188)/SUM($E$4:U4),"")</f>
        <v/>
      </c>
      <c r="V189" s="46">
        <f>IFERROR(SUM($E$188:V188)/SUM($E$4:V4),"")</f>
        <v/>
      </c>
      <c r="W189" s="46">
        <f>IFERROR(SUM($E$188:W188)/SUM($E$4:W4),"")</f>
        <v/>
      </c>
      <c r="X189" s="46">
        <f>IFERROR(SUM($E$188:X188)/SUM($E$4:X4),"")</f>
        <v/>
      </c>
      <c r="Y189" s="46">
        <f>IFERROR(SUM($E$188:Y188)/SUM($E$4:Y4),"")</f>
        <v/>
      </c>
      <c r="Z189" s="46">
        <f>IFERROR(SUM($E$188:Z188)/SUM($E$4:Z4),"")</f>
        <v/>
      </c>
      <c r="AA189" s="46">
        <f>IFERROR(SUM($E$188:AA188)/SUM($E$4:AA4),"")</f>
        <v/>
      </c>
      <c r="AB189" s="46">
        <f>IFERROR(SUM($E$188:AB188)/SUM($E$4:AB4),"")</f>
        <v/>
      </c>
      <c r="AC189" s="46" t="n"/>
      <c r="AD189" s="46" t="n"/>
      <c r="AE189" s="46" t="n"/>
      <c r="AF189" s="46" t="n"/>
      <c r="AG189" s="46" t="n"/>
      <c r="AH189" s="46" t="n"/>
      <c r="AI189" s="46" t="n"/>
      <c r="AJ189" s="46" t="n"/>
      <c r="AK189" s="46" t="n"/>
      <c r="AL189" s="46" t="n"/>
      <c r="AM189" s="46" t="n"/>
      <c r="AN189" s="46" t="n"/>
      <c r="AO189" s="46" t="n"/>
      <c r="AP189" s="46" t="n"/>
      <c r="AQ189" s="46" t="n"/>
      <c r="AR189" s="46" t="n"/>
      <c r="AS189" s="46" t="n"/>
      <c r="AT189" s="46" t="n"/>
      <c r="AU189" s="46" t="n"/>
      <c r="AV189" s="46" t="n"/>
      <c r="AW189" s="46" t="n"/>
      <c r="AX189" s="46" t="n"/>
      <c r="AY189" s="46" t="n"/>
      <c r="AZ189" s="46" t="n"/>
      <c r="BA189" s="46" t="n"/>
      <c r="BB189" s="46" t="n"/>
      <c r="BC189" s="46" t="n"/>
      <c r="BD189" s="46" t="n"/>
    </row>
    <row r="190" customFormat="1" s="16">
      <c r="A190" s="15" t="n"/>
      <c r="B190" s="16" t="inlineStr">
        <is>
          <t>% of Target</t>
        </is>
      </c>
      <c r="D190" s="17" t="inlineStr">
        <is>
          <t>%</t>
        </is>
      </c>
      <c r="E190" s="43">
        <f>IFERROR(E188/E192,"")</f>
        <v/>
      </c>
      <c r="F190" s="43">
        <f>IFERROR(F188/F192,"")</f>
        <v/>
      </c>
      <c r="G190" s="43">
        <f>IFERROR(G188/G192,"")</f>
        <v/>
      </c>
      <c r="H190" s="43">
        <f>IFERROR(H188/H192,"")</f>
        <v/>
      </c>
      <c r="I190" s="43">
        <f>IFERROR(I188/I192,"")</f>
        <v/>
      </c>
      <c r="J190" s="43">
        <f>IFERROR(J188/J192,"")</f>
        <v/>
      </c>
      <c r="K190" s="43">
        <f>IFERROR(K188/K192,"")</f>
        <v/>
      </c>
      <c r="L190" s="43">
        <f>IFERROR(L188/L192,"")</f>
        <v/>
      </c>
      <c r="M190" s="43">
        <f>IFERROR(M188/M192,"")</f>
        <v/>
      </c>
      <c r="N190" s="43">
        <f>IFERROR(N188/N192,"")</f>
        <v/>
      </c>
      <c r="O190" s="43">
        <f>IFERROR(O188/O192,"")</f>
        <v/>
      </c>
      <c r="P190" s="43">
        <f>IFERROR(P188/P192,"")</f>
        <v/>
      </c>
      <c r="Q190" s="43">
        <f>IFERROR(Q188/Q192,"")</f>
        <v/>
      </c>
      <c r="R190" s="43">
        <f>IFERROR(R188/R192,"")</f>
        <v/>
      </c>
      <c r="S190" s="43">
        <f>IFERROR(S188/S192,"")</f>
        <v/>
      </c>
      <c r="T190" s="43">
        <f>IFERROR(T188/T192,"")</f>
        <v/>
      </c>
      <c r="U190" s="43">
        <f>IFERROR(U188/U192,"")</f>
        <v/>
      </c>
      <c r="V190" s="43">
        <f>IFERROR(V188/V192,"")</f>
        <v/>
      </c>
      <c r="W190" s="43">
        <f>IFERROR(W188/W192,"")</f>
        <v/>
      </c>
      <c r="X190" s="43">
        <f>IFERROR(X188/X192,"")</f>
        <v/>
      </c>
      <c r="Y190" s="43">
        <f>IFERROR(Y188/Y192,"")</f>
        <v/>
      </c>
      <c r="Z190" s="43">
        <f>IFERROR(Z188/Z192,"")</f>
        <v/>
      </c>
      <c r="AA190" s="43">
        <f>IFERROR(AA188/AA192,"")</f>
        <v/>
      </c>
      <c r="AB190" s="43">
        <f>IFERROR(AB188/AB192,"")</f>
        <v/>
      </c>
      <c r="AC190" s="43" t="n"/>
      <c r="AD190" s="43" t="n"/>
      <c r="AE190" s="43" t="n"/>
      <c r="AF190" s="43" t="n"/>
      <c r="AG190" s="43" t="n"/>
      <c r="AH190" s="43" t="n"/>
      <c r="AI190" s="43" t="n"/>
      <c r="AJ190" s="43" t="n"/>
      <c r="AK190" s="43" t="n"/>
      <c r="AL190" s="43" t="n"/>
      <c r="AM190" s="43" t="n"/>
      <c r="AN190" s="43" t="n"/>
      <c r="AO190" s="43" t="n"/>
      <c r="AP190" s="43" t="n"/>
      <c r="AQ190" s="43" t="n"/>
      <c r="AR190" s="43" t="n"/>
      <c r="AS190" s="43" t="n"/>
      <c r="AT190" s="43" t="n"/>
      <c r="AU190" s="43" t="n"/>
      <c r="AV190" s="43" t="n"/>
      <c r="AW190" s="43" t="n"/>
      <c r="AX190" s="43" t="n"/>
      <c r="AY190" s="43" t="n"/>
      <c r="AZ190" s="43" t="n"/>
      <c r="BA190" s="43" t="n"/>
      <c r="BB190" s="43" t="n"/>
      <c r="BC190" s="43" t="n"/>
      <c r="BD190" s="43" t="n"/>
    </row>
    <row r="191" ht="15.75" customFormat="1" customHeight="1" s="16">
      <c r="A191" s="15" t="n"/>
      <c r="B191" s="7" t="inlineStr">
        <is>
          <t>% of Target - YTD</t>
        </is>
      </c>
      <c r="D191" s="17" t="inlineStr">
        <is>
          <t>%</t>
        </is>
      </c>
      <c r="E191" s="43">
        <f>IFERROR(SUMIF($E$192:E192,"&lt;&gt;",$E$188:E188)/SUM($E$192:E192),"")</f>
        <v/>
      </c>
      <c r="F191" s="43">
        <f>IFERROR(SUMIF($E$192:F192,"&lt;&gt;",$E$188:F188)/SUM($E$192:F192),"")</f>
        <v/>
      </c>
      <c r="G191" s="43">
        <f>IFERROR(SUMIF($E$192:G192,"&lt;&gt;",$E$188:G188)/SUM($E$192:G192),"")</f>
        <v/>
      </c>
      <c r="H191" s="43">
        <f>IFERROR(SUMIF($E$192:H192,"&lt;&gt;",$E$188:H188)/SUM($E$192:H192),"")</f>
        <v/>
      </c>
      <c r="I191" s="43">
        <f>IFERROR(SUMIF($E$192:I192,"&lt;&gt;",$E$188:I188)/SUM($E$192:I192),"")</f>
        <v/>
      </c>
      <c r="J191" s="43">
        <f>IFERROR(SUMIF($E$192:J192,"&lt;&gt;",$E$188:J188)/SUM($E$192:J192),"")</f>
        <v/>
      </c>
      <c r="K191" s="43">
        <f>IFERROR(SUMIF($E$192:K192,"&lt;&gt;",$E$188:K188)/SUM($E$192:K192),"")</f>
        <v/>
      </c>
      <c r="L191" s="43">
        <f>IFERROR(SUMIF($E$192:L192,"&lt;&gt;",$E$188:L188)/SUM($E$192:L192),"")</f>
        <v/>
      </c>
      <c r="M191" s="43">
        <f>IFERROR(SUMIF($E$192:M192,"&lt;&gt;",$E$188:M188)/SUM($E$192:M192),"")</f>
        <v/>
      </c>
      <c r="N191" s="43">
        <f>IFERROR(SUMIF($E$192:N192,"&lt;&gt;",$E$188:N188)/SUM($E$192:N192),"")</f>
        <v/>
      </c>
      <c r="O191" s="43">
        <f>IFERROR(SUMIF($E$192:O192,"&lt;&gt;",$E$188:O188)/SUM($E$192:O192),"")</f>
        <v/>
      </c>
      <c r="P191" s="43">
        <f>IFERROR(SUMIF($E$192:P192,"&lt;&gt;",$E$188:P188)/SUM($E$192:P192),"")</f>
        <v/>
      </c>
      <c r="Q191" s="43">
        <f>IFERROR(SUMIF($E$192:Q192,"&lt;&gt;",$E$188:Q188)/SUM($E$192:Q192),"")</f>
        <v/>
      </c>
      <c r="R191" s="43">
        <f>IFERROR(SUMIF($E$192:R192,"&lt;&gt;",$E$188:R188)/SUM($E$192:R192),"")</f>
        <v/>
      </c>
      <c r="S191" s="43">
        <f>IFERROR(SUMIF($E$192:S192,"&lt;&gt;",$E$188:S188)/SUM($E$192:S192),"")</f>
        <v/>
      </c>
      <c r="T191" s="43">
        <f>IFERROR(SUMIF($E$192:T192,"&lt;&gt;",$E$188:T188)/SUM($E$192:T192),"")</f>
        <v/>
      </c>
      <c r="U191" s="43">
        <f>IFERROR(SUMIF($E$192:U192,"&lt;&gt;",$E$188:U188)/SUM($E$192:U192),"")</f>
        <v/>
      </c>
      <c r="V191" s="43">
        <f>IFERROR(SUMIF($E$192:V192,"&lt;&gt;",$E$188:V188)/SUM($E$192:V192),"")</f>
        <v/>
      </c>
      <c r="W191" s="43">
        <f>IFERROR(SUMIF($E$192:W192,"&lt;&gt;",$E$188:W188)/SUM($E$192:W192),"")</f>
        <v/>
      </c>
      <c r="X191" s="43">
        <f>IFERROR(SUMIF($E$192:X192,"&lt;&gt;",$E$188:X188)/SUM($E$192:X192),"")</f>
        <v/>
      </c>
      <c r="Y191" s="43">
        <f>IFERROR(SUMIF($E$192:Y192,"&lt;&gt;",$E$188:Y188)/SUM($E$192:Y192),"")</f>
        <v/>
      </c>
      <c r="Z191" s="43">
        <f>IFERROR(SUMIF($E$192:Z192,"&lt;&gt;",$E$188:Z188)/SUM($E$192:Z192),"")</f>
        <v/>
      </c>
      <c r="AA191" s="43">
        <f>IFERROR(SUMIF($E$192:AA192,"&lt;&gt;",$E$188:AA188)/SUM($E$192:AA192),"")</f>
        <v/>
      </c>
      <c r="AB191" s="43">
        <f>IFERROR(SUMIF($E$192:AB192,"&lt;&gt;",$E$188:AB188)/SUM($E$192:AB192),"")</f>
        <v/>
      </c>
      <c r="AC191" s="43" t="n"/>
      <c r="AD191" s="43" t="n"/>
      <c r="AE191" s="43" t="n"/>
      <c r="AF191" s="43" t="n"/>
      <c r="AG191" s="43" t="n"/>
      <c r="AH191" s="43" t="n"/>
      <c r="AI191" s="43" t="n"/>
      <c r="AJ191" s="43" t="n"/>
      <c r="AK191" s="43" t="n"/>
      <c r="AL191" s="43" t="n"/>
      <c r="AM191" s="43" t="n"/>
      <c r="AN191" s="43" t="n"/>
      <c r="AO191" s="43" t="n"/>
      <c r="AP191" s="43" t="n"/>
      <c r="AQ191" s="43" t="n"/>
      <c r="AR191" s="43" t="n"/>
      <c r="AS191" s="43" t="n"/>
      <c r="AT191" s="43" t="n"/>
      <c r="AU191" s="43" t="n"/>
      <c r="AV191" s="43" t="n"/>
      <c r="AW191" s="43" t="n"/>
      <c r="AX191" s="43" t="n"/>
      <c r="AY191" s="43" t="n"/>
      <c r="AZ191" s="43" t="n"/>
      <c r="BA191" s="43" t="n"/>
      <c r="BB191" s="43" t="n"/>
      <c r="BC191" s="43" t="n"/>
      <c r="BD191" s="43" t="n"/>
    </row>
    <row r="192" customFormat="1" s="13">
      <c r="A192" s="12" t="n"/>
      <c r="B192" s="13" t="inlineStr">
        <is>
          <t>Target</t>
        </is>
      </c>
      <c r="D192" s="14" t="inlineStr">
        <is>
          <t>#</t>
        </is>
      </c>
      <c r="E192" s="44" t="n"/>
      <c r="F192" s="44" t="n">
        <v>1085</v>
      </c>
      <c r="G192" s="44" t="n">
        <v>1056</v>
      </c>
      <c r="H192" s="44" t="n">
        <v>1056</v>
      </c>
      <c r="I192" s="44" t="n">
        <v>1033</v>
      </c>
      <c r="J192" s="44" t="n">
        <v>1935</v>
      </c>
      <c r="K192" s="44" t="n">
        <v>1162</v>
      </c>
      <c r="L192" s="44" t="n">
        <v>1248</v>
      </c>
      <c r="M192" s="44" t="n">
        <v>1452</v>
      </c>
      <c r="N192" s="44" t="n">
        <v>1133</v>
      </c>
      <c r="O192" s="44" t="n">
        <v>1056</v>
      </c>
      <c r="P192" s="44" t="n">
        <v>1083</v>
      </c>
      <c r="Q192" s="44" t="n">
        <v>975</v>
      </c>
      <c r="R192" s="44" t="n">
        <v>652</v>
      </c>
      <c r="S192" s="44" t="n">
        <v>1033</v>
      </c>
      <c r="T192" s="44" t="n">
        <v>1232</v>
      </c>
      <c r="U192" s="44" t="n">
        <v>1194</v>
      </c>
      <c r="V192" s="44" t="n">
        <v>1194</v>
      </c>
      <c r="W192" s="44" t="n">
        <v>1209</v>
      </c>
      <c r="X192" s="44" t="n">
        <v>1208</v>
      </c>
      <c r="Y192" s="44" t="n">
        <v>1561</v>
      </c>
      <c r="Z192" s="44" t="n">
        <v>1209</v>
      </c>
      <c r="AA192" s="44" t="n">
        <v>1526</v>
      </c>
      <c r="AB192" s="44" t="n">
        <v>1668</v>
      </c>
      <c r="AC192" s="44" t="n"/>
      <c r="AD192" s="44" t="n"/>
      <c r="AE192" s="44" t="n"/>
      <c r="AF192" s="44" t="n"/>
      <c r="AG192" s="44" t="n"/>
      <c r="AH192" s="44" t="n"/>
      <c r="AI192" s="44" t="n"/>
      <c r="AJ192" s="44" t="n"/>
      <c r="AK192" s="44" t="n"/>
      <c r="AL192" s="44" t="n"/>
      <c r="AM192" s="44" t="n"/>
      <c r="AN192" s="44" t="n"/>
      <c r="AO192" s="44" t="n"/>
      <c r="AP192" s="44" t="n"/>
      <c r="AQ192" s="44" t="n"/>
      <c r="AR192" s="44" t="n"/>
      <c r="AS192" s="44" t="n"/>
      <c r="AT192" s="44" t="n"/>
      <c r="AU192" s="44" t="n"/>
      <c r="AV192" s="44" t="n"/>
      <c r="AW192" s="44" t="n"/>
      <c r="AX192" s="44" t="n"/>
      <c r="AY192" s="44" t="n"/>
      <c r="AZ192" s="44" t="n"/>
      <c r="BA192" s="44" t="n"/>
      <c r="BB192" s="44" t="n"/>
      <c r="BC192" s="44" t="n"/>
      <c r="BD192" s="44" t="n"/>
    </row>
    <row r="193">
      <c r="C193" s="11" t="inlineStr">
        <is>
          <t xml:space="preserve">Cam </t>
        </is>
      </c>
      <c r="D193" s="6" t="inlineStr">
        <is>
          <t>#</t>
        </is>
      </c>
      <c r="E193" s="41" t="n">
        <v>1053</v>
      </c>
      <c r="F193" s="41" t="n">
        <v>849</v>
      </c>
      <c r="G193" s="41" t="n">
        <v>960</v>
      </c>
      <c r="H193" s="41" t="n">
        <v>858</v>
      </c>
      <c r="I193" s="41" t="n">
        <v>745</v>
      </c>
      <c r="J193" s="41" t="n">
        <v>859</v>
      </c>
      <c r="K193" s="41" t="n">
        <v>894</v>
      </c>
      <c r="L193" s="41" t="n">
        <v>979</v>
      </c>
      <c r="M193" s="41" t="n">
        <v>1206</v>
      </c>
      <c r="N193" s="41" t="n">
        <v>1434</v>
      </c>
      <c r="O193" s="41" t="n">
        <v>1305</v>
      </c>
      <c r="P193" s="41" t="n">
        <v>1313</v>
      </c>
      <c r="Q193" s="41" t="n">
        <v>1278</v>
      </c>
      <c r="R193" s="41" t="n">
        <v>1210</v>
      </c>
      <c r="S193" s="41" t="n">
        <v>988</v>
      </c>
      <c r="T193" s="41" t="n">
        <v>1002</v>
      </c>
      <c r="U193" s="41" t="n">
        <v>839</v>
      </c>
      <c r="V193" s="41" t="n">
        <v>1032</v>
      </c>
      <c r="W193" s="41" t="n">
        <v>1085</v>
      </c>
      <c r="X193" s="41" t="n">
        <v>906</v>
      </c>
      <c r="Y193" s="41" t="n">
        <v>1017</v>
      </c>
      <c r="Z193" s="41" t="n">
        <v>1001</v>
      </c>
      <c r="AA193" s="41" t="n">
        <v>989</v>
      </c>
      <c r="AB193" s="41" t="n">
        <v>882</v>
      </c>
      <c r="AC193" s="41" t="n"/>
      <c r="AD193" s="41" t="n"/>
      <c r="AE193" s="41" t="n"/>
      <c r="AF193" s="41" t="n"/>
      <c r="AG193" s="41" t="n"/>
      <c r="AH193" s="41" t="n"/>
      <c r="AI193" s="41" t="n"/>
      <c r="AJ193" s="41" t="n"/>
      <c r="AK193" s="41" t="n"/>
      <c r="AL193" s="41" t="n"/>
      <c r="AM193" s="41" t="n"/>
      <c r="AN193" s="41" t="n"/>
      <c r="AO193" s="41" t="n"/>
      <c r="AP193" s="41" t="n"/>
      <c r="AQ193" s="41" t="n"/>
      <c r="AR193" s="41" t="n"/>
      <c r="AS193" s="41" t="n"/>
      <c r="AT193" s="41" t="n"/>
      <c r="AU193" s="41" t="n"/>
      <c r="AV193" s="41" t="n"/>
      <c r="AW193" s="41" t="n"/>
      <c r="AX193" s="41" t="n"/>
      <c r="AY193" s="41" t="n"/>
      <c r="AZ193" s="41" t="n"/>
      <c r="BA193" s="41" t="n"/>
      <c r="BB193" s="41" t="n"/>
      <c r="BC193" s="41" t="n"/>
      <c r="BD193" s="41" t="n"/>
    </row>
    <row r="194">
      <c r="C194" s="11" t="inlineStr">
        <is>
          <t>Non Cam</t>
        </is>
      </c>
      <c r="D194" s="6" t="inlineStr">
        <is>
          <t>#</t>
        </is>
      </c>
      <c r="E194" s="41" t="n">
        <v>130</v>
      </c>
      <c r="F194" s="41" t="n">
        <v>92</v>
      </c>
      <c r="G194" s="41" t="n">
        <v>122</v>
      </c>
      <c r="H194" s="41" t="n">
        <v>66</v>
      </c>
      <c r="I194" s="41" t="n">
        <v>83</v>
      </c>
      <c r="J194" s="41" t="n">
        <v>87</v>
      </c>
      <c r="K194" s="41" t="n">
        <v>111</v>
      </c>
      <c r="L194" s="41" t="n">
        <v>104</v>
      </c>
      <c r="M194" s="41" t="n">
        <v>137</v>
      </c>
      <c r="N194" s="41" t="n">
        <v>171</v>
      </c>
      <c r="O194" s="41" t="n">
        <v>200</v>
      </c>
      <c r="P194" s="41" t="n">
        <v>168</v>
      </c>
      <c r="Q194" s="41" t="n">
        <v>101</v>
      </c>
      <c r="R194" s="41" t="n">
        <v>86</v>
      </c>
      <c r="S194" s="41" t="n">
        <v>44</v>
      </c>
      <c r="T194" s="41" t="n">
        <v>60</v>
      </c>
      <c r="U194" s="41" t="n">
        <v>60</v>
      </c>
      <c r="V194" s="41" t="n">
        <v>71</v>
      </c>
      <c r="W194" s="41" t="n">
        <v>75</v>
      </c>
      <c r="X194" s="41" t="n">
        <v>64</v>
      </c>
      <c r="Y194" s="41" t="n">
        <v>76</v>
      </c>
      <c r="Z194" s="41" t="n">
        <v>81</v>
      </c>
      <c r="AA194" s="41" t="n">
        <v>99</v>
      </c>
      <c r="AB194" s="41" t="n">
        <v>60</v>
      </c>
      <c r="AC194" s="41" t="n"/>
      <c r="AD194" s="41" t="n"/>
      <c r="AE194" s="41" t="n"/>
      <c r="AF194" s="41" t="n"/>
      <c r="AG194" s="41" t="n"/>
      <c r="AH194" s="41" t="n"/>
      <c r="AI194" s="41" t="n"/>
      <c r="AJ194" s="41" t="n"/>
      <c r="AK194" s="41" t="n"/>
      <c r="AL194" s="41" t="n"/>
      <c r="AM194" s="41" t="n"/>
      <c r="AN194" s="41" t="n"/>
      <c r="AO194" s="41" t="n"/>
      <c r="AP194" s="41" t="n"/>
      <c r="AQ194" s="41" t="n"/>
      <c r="AR194" s="41" t="n"/>
      <c r="AS194" s="41" t="n"/>
      <c r="AT194" s="41" t="n"/>
      <c r="AU194" s="41" t="n"/>
      <c r="AV194" s="41" t="n"/>
      <c r="AW194" s="41" t="n"/>
      <c r="AX194" s="41" t="n"/>
      <c r="AY194" s="41" t="n"/>
      <c r="AZ194" s="41" t="n"/>
      <c r="BA194" s="41" t="n"/>
      <c r="BB194" s="41" t="n"/>
      <c r="BC194" s="41" t="n"/>
      <c r="BD194" s="41" t="n"/>
    </row>
    <row r="195">
      <c r="C195" s="6" t="n"/>
    </row>
    <row r="196" customFormat="1" s="40">
      <c r="A196" s="40" t="inlineStr">
        <is>
          <t xml:space="preserve">Promo </t>
        </is>
      </c>
      <c r="D196" s="24" t="inlineStr">
        <is>
          <t>$k</t>
        </is>
      </c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>
        <v>2.57714</v>
      </c>
      <c r="R196" s="42" t="n">
        <v>0.9794299999999999</v>
      </c>
      <c r="S196" s="42" t="n">
        <v>1.91657</v>
      </c>
      <c r="T196" s="42" t="n">
        <v>2.78429</v>
      </c>
      <c r="U196" s="42" t="n">
        <v>0</v>
      </c>
      <c r="V196" s="42" t="n">
        <v>0.3</v>
      </c>
      <c r="W196" s="42" t="n">
        <v>0.17143</v>
      </c>
      <c r="X196" s="42" t="n">
        <v>0.15</v>
      </c>
      <c r="Y196" s="42" t="n">
        <v>2.365</v>
      </c>
      <c r="Z196" s="42" t="n">
        <v>1.44429</v>
      </c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</row>
    <row r="197" ht="15.75" customFormat="1" customHeight="1" s="40">
      <c r="B197" s="31" t="inlineStr">
        <is>
          <t>Finance Actuals (Monthly)</t>
        </is>
      </c>
      <c r="D197" s="32" t="inlineStr">
        <is>
          <t>$k</t>
        </is>
      </c>
      <c r="E197" s="41" t="n"/>
      <c r="F197" s="41" t="n"/>
      <c r="G197" s="41" t="n"/>
      <c r="H197" s="41" t="n">
        <v>0.1392</v>
      </c>
      <c r="I197" s="41" t="n"/>
      <c r="J197" s="41" t="n"/>
      <c r="K197" s="41" t="n"/>
      <c r="L197" s="41" t="n">
        <v>0.28357</v>
      </c>
      <c r="M197" s="41" t="n"/>
      <c r="N197" s="41" t="n"/>
      <c r="O197" s="41" t="n"/>
      <c r="P197" s="41" t="n"/>
      <c r="Q197" s="41" t="n">
        <v>28.59598</v>
      </c>
      <c r="R197" s="41" t="n"/>
      <c r="S197" s="41" t="n"/>
      <c r="T197" s="41" t="n"/>
      <c r="U197" s="41" t="n">
        <v>5.506729999999999</v>
      </c>
      <c r="V197" s="41" t="n"/>
      <c r="W197" s="41" t="n"/>
      <c r="X197" s="41" t="n"/>
      <c r="Y197" s="41" t="n"/>
      <c r="Z197" s="41" t="n">
        <v>9.53669</v>
      </c>
      <c r="AA197" s="41" t="n"/>
      <c r="AB197" s="41" t="n"/>
      <c r="AC197" s="41" t="n"/>
      <c r="AD197" s="41" t="n"/>
      <c r="AE197" s="41" t="n"/>
      <c r="AF197" s="41" t="n"/>
      <c r="AG197" s="41" t="n"/>
      <c r="AH197" s="41" t="n"/>
      <c r="AI197" s="41" t="n"/>
      <c r="AJ197" s="41" t="n"/>
      <c r="AK197" s="41" t="n"/>
      <c r="AL197" s="41" t="n"/>
      <c r="AM197" s="41" t="n"/>
      <c r="AN197" s="41" t="n"/>
      <c r="AO197" s="41" t="n"/>
      <c r="AP197" s="41" t="n"/>
      <c r="AQ197" s="41" t="n"/>
      <c r="AR197" s="41" t="n"/>
      <c r="AS197" s="41" t="n"/>
      <c r="AT197" s="41" t="n"/>
      <c r="AU197" s="41" t="n"/>
      <c r="AV197" s="41" t="n"/>
      <c r="AW197" s="41" t="n"/>
      <c r="AX197" s="41" t="n"/>
      <c r="AY197" s="41" t="n"/>
      <c r="AZ197" s="41" t="n"/>
      <c r="BA197" s="41" t="n"/>
      <c r="BB197" s="41" t="n"/>
      <c r="BC197" s="41" t="n"/>
      <c r="BD197" s="41" t="n"/>
    </row>
    <row r="198" customFormat="1" s="9">
      <c r="B198" s="9" t="inlineStr">
        <is>
          <t>Budgeted (Monthly)</t>
        </is>
      </c>
      <c r="D198" s="10" t="inlineStr">
        <is>
          <t>$k</t>
        </is>
      </c>
      <c r="E198" s="44" t="n"/>
      <c r="F198" s="44" t="n"/>
      <c r="G198" s="44" t="n"/>
      <c r="H198" s="44" t="n">
        <v>0</v>
      </c>
      <c r="I198" s="44" t="n"/>
      <c r="J198" s="44" t="n"/>
      <c r="K198" s="44" t="n"/>
      <c r="L198" s="44" t="n">
        <v>0</v>
      </c>
      <c r="M198" s="44" t="n"/>
      <c r="N198" s="44" t="n"/>
      <c r="O198" s="44" t="n"/>
      <c r="P198" s="44" t="n"/>
      <c r="Q198" s="44" t="n">
        <v>5.535</v>
      </c>
      <c r="R198" s="44" t="n"/>
      <c r="S198" s="44" t="n"/>
      <c r="T198" s="44" t="n"/>
      <c r="U198" s="44" t="n">
        <v>6.835</v>
      </c>
      <c r="V198" s="44" t="n"/>
      <c r="W198" s="44" t="n"/>
      <c r="X198" s="44" t="n"/>
      <c r="Y198" s="44" t="n"/>
      <c r="Z198" s="44" t="n">
        <v>3.705</v>
      </c>
      <c r="AA198" s="44" t="n"/>
      <c r="AB198" s="44" t="n"/>
      <c r="AC198" s="44" t="n"/>
      <c r="AD198" s="44" t="n">
        <v>6.835</v>
      </c>
      <c r="AE198" s="44" t="n"/>
      <c r="AF198" s="44" t="n"/>
      <c r="AG198" s="44" t="n"/>
      <c r="AH198" s="44" t="n">
        <v>7.964285714285714</v>
      </c>
      <c r="AI198" s="44" t="n"/>
      <c r="AJ198" s="44" t="n"/>
      <c r="AK198" s="44" t="n"/>
      <c r="AL198" s="44" t="n"/>
      <c r="AM198" s="44" t="n">
        <v>0.7785714285714286</v>
      </c>
      <c r="AN198" s="44" t="n"/>
      <c r="AO198" s="44" t="n"/>
      <c r="AP198" s="44" t="n"/>
      <c r="AQ198" s="44" t="n">
        <v>3.707142857142857</v>
      </c>
      <c r="AR198" s="44" t="n"/>
      <c r="AS198" s="44" t="n"/>
      <c r="AT198" s="44" t="n"/>
      <c r="AU198" s="44" t="n">
        <v>7.885</v>
      </c>
      <c r="AV198" s="44" t="n"/>
      <c r="AW198" s="44" t="n"/>
      <c r="AX198" s="44" t="n"/>
      <c r="AY198" s="44" t="n"/>
      <c r="AZ198" s="44" t="n">
        <v>14.848</v>
      </c>
      <c r="BA198" s="44" t="n"/>
      <c r="BB198" s="44" t="n"/>
      <c r="BC198" s="44" t="n"/>
      <c r="BD198" s="44" t="n">
        <v>22.272</v>
      </c>
    </row>
    <row r="199" ht="15.75" customHeight="1">
      <c r="B199" s="7" t="inlineStr">
        <is>
          <t>As % of budget - this month</t>
        </is>
      </c>
      <c r="D199" s="17" t="inlineStr">
        <is>
          <t>%</t>
        </is>
      </c>
      <c r="E199" s="43" t="n"/>
      <c r="F199" s="43" t="n"/>
      <c r="G199" s="43" t="n"/>
      <c r="H199" s="43">
        <f>IFERROR(SUM(E196:H196)/H198,"")</f>
        <v/>
      </c>
      <c r="I199" s="43" t="n"/>
      <c r="J199" s="43" t="n"/>
      <c r="K199" s="43" t="n"/>
      <c r="L199" s="43">
        <f>IFERROR(SUM(I196:L196)/L198,"")</f>
        <v/>
      </c>
      <c r="M199" s="43" t="n"/>
      <c r="N199" s="43" t="n"/>
      <c r="O199" s="43" t="n"/>
      <c r="P199" s="43" t="n"/>
      <c r="Q199" s="43">
        <f>IFERROR(SUM(M196:Q196)/Q198,"")</f>
        <v/>
      </c>
      <c r="R199" s="43" t="n"/>
      <c r="S199" s="43" t="n"/>
      <c r="T199" s="43" t="n"/>
      <c r="U199" s="43">
        <f>IFERROR(SUM(R196:U196)/U198,"")</f>
        <v/>
      </c>
      <c r="V199" s="43" t="n"/>
      <c r="W199" s="43" t="n"/>
      <c r="X199" s="43" t="n"/>
      <c r="Y199" s="43" t="n"/>
      <c r="Z199" s="43">
        <f>IFERROR(SUM(V196:Z196)/Z198,"")</f>
        <v/>
      </c>
      <c r="AA199" s="43" t="n"/>
      <c r="AB199" s="43" t="n"/>
      <c r="AC199" s="43" t="n"/>
      <c r="AD199" s="43" t="n"/>
      <c r="AE199" s="43" t="n"/>
      <c r="AF199" s="43" t="n"/>
      <c r="AG199" s="43" t="n"/>
      <c r="AH199" s="43" t="n"/>
      <c r="AI199" s="43" t="n"/>
      <c r="AJ199" s="43" t="n"/>
      <c r="AK199" s="43" t="n"/>
      <c r="AL199" s="43" t="n"/>
      <c r="AM199" s="43" t="n"/>
      <c r="AN199" s="43" t="n"/>
      <c r="AO199" s="43" t="n"/>
      <c r="AP199" s="43" t="n"/>
      <c r="AQ199" s="43" t="n"/>
      <c r="AR199" s="43" t="n"/>
      <c r="AS199" s="43" t="n"/>
      <c r="AT199" s="43" t="n"/>
      <c r="AU199" s="43" t="n"/>
      <c r="AV199" s="43" t="n"/>
      <c r="AW199" s="43" t="n"/>
      <c r="AX199" s="43" t="n"/>
      <c r="AY199" s="43" t="n"/>
      <c r="AZ199" s="43" t="n"/>
      <c r="BA199" s="43" t="n"/>
      <c r="BB199" s="43" t="n"/>
      <c r="BC199" s="43" t="n"/>
      <c r="BD199" s="43" t="n"/>
    </row>
    <row r="200" ht="15.75" customHeight="1">
      <c r="B200" s="7" t="inlineStr">
        <is>
          <t>As % of quarterly budget (QTD)</t>
        </is>
      </c>
      <c r="D200" s="17" t="inlineStr">
        <is>
          <t>%</t>
        </is>
      </c>
      <c r="E200" s="43" t="n"/>
      <c r="F200" s="43" t="n"/>
      <c r="G200" s="43" t="n"/>
      <c r="H200" s="43">
        <f>IFERROR(SUM(E196:H196)/(H198+L198+Q198),"")</f>
        <v/>
      </c>
      <c r="I200" s="43" t="n"/>
      <c r="J200" s="43" t="n"/>
      <c r="K200" s="43" t="n"/>
      <c r="L200" s="43">
        <f>IFERROR(SUM(E196:L196)/(H198+L198+Q198),"")</f>
        <v/>
      </c>
      <c r="M200" s="43" t="n"/>
      <c r="N200" s="43" t="n"/>
      <c r="O200" s="43" t="n"/>
      <c r="P200" s="43" t="n"/>
      <c r="Q200" s="43">
        <f>IFERROR(SUM(E196:Q196)/(H198+L198+Q198),"")</f>
        <v/>
      </c>
      <c r="R200" s="43" t="n"/>
      <c r="S200" s="43" t="n"/>
      <c r="T200" s="43" t="n"/>
      <c r="U200" s="43">
        <f>IFERROR(SUM(R196:U196)/(U198+Z198+AD198),"")</f>
        <v/>
      </c>
      <c r="V200" s="43" t="n"/>
      <c r="W200" s="43" t="n"/>
      <c r="X200" s="43" t="n"/>
      <c r="Y200" s="43" t="n"/>
      <c r="Z200" s="43">
        <f>IFERROR(SUM(R196:Z196)/(U198+Z198+AD198),"")</f>
        <v/>
      </c>
      <c r="AA200" s="43" t="n"/>
      <c r="AB200" s="43" t="n"/>
      <c r="AC200" s="43" t="n"/>
      <c r="AD200" s="43" t="n"/>
      <c r="AE200" s="43" t="n"/>
      <c r="AF200" s="43" t="n"/>
      <c r="AG200" s="43" t="n"/>
      <c r="AH200" s="43" t="n"/>
      <c r="AI200" s="43" t="n"/>
      <c r="AJ200" s="43" t="n"/>
      <c r="AK200" s="43" t="n"/>
      <c r="AL200" s="43" t="n"/>
      <c r="AM200" s="43" t="n"/>
      <c r="AN200" s="43" t="n"/>
      <c r="AO200" s="43" t="n"/>
      <c r="AP200" s="43" t="n"/>
      <c r="AQ200" s="43" t="n"/>
      <c r="AR200" s="43" t="n"/>
      <c r="AS200" s="43" t="n"/>
      <c r="AT200" s="43" t="n"/>
      <c r="AU200" s="43" t="n"/>
      <c r="AV200" s="43" t="n"/>
      <c r="AW200" s="43" t="n"/>
      <c r="AX200" s="43" t="n"/>
      <c r="AY200" s="43" t="n"/>
      <c r="AZ200" s="43" t="n"/>
      <c r="BA200" s="43" t="n"/>
      <c r="BB200" s="43" t="n"/>
      <c r="BC200" s="43" t="n"/>
      <c r="BD200" s="43" t="n"/>
    </row>
    <row r="201" ht="15.75" customHeight="1">
      <c r="B201" s="7" t="inlineStr">
        <is>
          <t>As % of annual budget (YTD)</t>
        </is>
      </c>
      <c r="D201" s="17" t="inlineStr">
        <is>
          <t>%</t>
        </is>
      </c>
      <c r="E201" s="43" t="n"/>
      <c r="F201" s="43" t="n"/>
      <c r="G201" s="43" t="n"/>
      <c r="H201" s="43">
        <f>IFERROR(SUM($E$196:H196)/SUM($E$198:BD198),"")</f>
        <v/>
      </c>
      <c r="I201" s="43" t="n"/>
      <c r="J201" s="43" t="n"/>
      <c r="K201" s="43" t="n"/>
      <c r="L201" s="43">
        <f>IFERROR(SUM($E$196:L196)/SUM($E$198:BD198),"")</f>
        <v/>
      </c>
      <c r="M201" s="43" t="n"/>
      <c r="N201" s="43" t="n"/>
      <c r="O201" s="43" t="n"/>
      <c r="P201" s="43" t="n"/>
      <c r="Q201" s="43">
        <f>IFERROR(SUM($E$196:Q196)/SUM($E$198:BD198),"")</f>
        <v/>
      </c>
      <c r="R201" s="43" t="n"/>
      <c r="S201" s="43" t="n"/>
      <c r="T201" s="43" t="n"/>
      <c r="U201" s="43">
        <f>IFERROR(SUM($E$196:U196)/SUM($E$198:BD198),"")</f>
        <v/>
      </c>
      <c r="V201" s="43" t="n"/>
      <c r="W201" s="43" t="n"/>
      <c r="X201" s="43" t="n"/>
      <c r="Y201" s="43" t="n"/>
      <c r="Z201" s="43">
        <f>IFERROR(SUM($E$196:Z196)/SUM($E$198:BD198),"")</f>
        <v/>
      </c>
      <c r="AA201" s="43" t="n"/>
      <c r="AB201" s="43" t="n"/>
      <c r="AC201" s="43" t="n"/>
      <c r="AD201" s="43" t="n"/>
      <c r="AE201" s="43" t="n"/>
      <c r="AF201" s="43" t="n"/>
      <c r="AG201" s="43" t="n"/>
      <c r="AH201" s="43" t="n"/>
      <c r="AI201" s="43" t="n"/>
      <c r="AJ201" s="43" t="n"/>
      <c r="AK201" s="43" t="n"/>
      <c r="AL201" s="43" t="n"/>
      <c r="AM201" s="43" t="n"/>
      <c r="AN201" s="43" t="n"/>
      <c r="AO201" s="43" t="n"/>
      <c r="AP201" s="43" t="n"/>
      <c r="AQ201" s="43" t="n"/>
      <c r="AR201" s="43" t="n"/>
      <c r="AS201" s="43" t="n"/>
      <c r="AT201" s="43" t="n"/>
      <c r="AU201" s="43" t="n"/>
      <c r="AV201" s="43" t="n"/>
      <c r="AW201" s="43" t="n"/>
      <c r="AX201" s="43" t="n"/>
      <c r="AY201" s="43" t="n"/>
      <c r="AZ201" s="43" t="n"/>
      <c r="BA201" s="43" t="n"/>
      <c r="BB201" s="43" t="n"/>
      <c r="BC201" s="43" t="n"/>
      <c r="BD201" s="43" t="n"/>
    </row>
    <row r="202"/>
    <row r="203" ht="15.75" customFormat="1" customHeight="1" s="40">
      <c r="A203" s="40" t="inlineStr">
        <is>
          <t>Total Marketing</t>
        </is>
      </c>
      <c r="D203" s="24" t="inlineStr">
        <is>
          <t>$k</t>
        </is>
      </c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</row>
    <row r="204" ht="15.75" customFormat="1" customHeight="1" s="40">
      <c r="B204" s="31" t="inlineStr">
        <is>
          <t>Finance Actuals (Monthly)</t>
        </is>
      </c>
      <c r="D204" s="32" t="inlineStr">
        <is>
          <t>$k</t>
        </is>
      </c>
      <c r="E204" s="41" t="n"/>
      <c r="F204" s="41" t="n"/>
      <c r="G204" s="41" t="n"/>
      <c r="H204" s="41" t="n">
        <v>62.20287</v>
      </c>
      <c r="I204" s="41" t="n"/>
      <c r="J204" s="41" t="n"/>
      <c r="K204" s="41" t="n"/>
      <c r="L204" s="41" t="n">
        <v>34.08836</v>
      </c>
      <c r="M204" s="41" t="n"/>
      <c r="N204" s="41" t="n"/>
      <c r="O204" s="41" t="n"/>
      <c r="P204" s="41" t="n"/>
      <c r="Q204" s="41" t="n">
        <v>52.23806</v>
      </c>
      <c r="R204" s="41" t="n"/>
      <c r="S204" s="41" t="n"/>
      <c r="T204" s="41" t="n"/>
      <c r="U204" s="41" t="n">
        <v>0.89917</v>
      </c>
      <c r="V204" s="41" t="n"/>
      <c r="W204" s="41" t="n"/>
      <c r="X204" s="41" t="n"/>
      <c r="Y204" s="41" t="n"/>
      <c r="Z204" s="41" t="n">
        <v>76.83179</v>
      </c>
      <c r="AA204" s="41" t="n"/>
      <c r="AB204" s="41" t="n"/>
      <c r="AC204" s="41" t="n"/>
      <c r="AD204" s="41" t="n"/>
      <c r="AE204" s="41" t="n"/>
      <c r="AF204" s="41" t="n"/>
      <c r="AG204" s="41" t="n"/>
      <c r="AH204" s="41" t="n"/>
      <c r="AI204" s="41" t="n"/>
      <c r="AJ204" s="41" t="n"/>
      <c r="AK204" s="41" t="n"/>
      <c r="AL204" s="41" t="n"/>
      <c r="AM204" s="41" t="n"/>
      <c r="AN204" s="41" t="n"/>
      <c r="AO204" s="41" t="n"/>
      <c r="AP204" s="41" t="n"/>
      <c r="AQ204" s="41" t="n"/>
      <c r="AR204" s="41" t="n"/>
      <c r="AS204" s="41" t="n"/>
      <c r="AT204" s="41" t="n"/>
      <c r="AU204" s="41" t="n"/>
      <c r="AV204" s="41" t="n"/>
      <c r="AW204" s="41" t="n"/>
      <c r="AX204" s="41" t="n"/>
      <c r="AY204" s="41" t="n"/>
      <c r="AZ204" s="41" t="n"/>
      <c r="BA204" s="41" t="n"/>
      <c r="BB204" s="41" t="n"/>
      <c r="BC204" s="41" t="n"/>
      <c r="BD204" s="41" t="n"/>
    </row>
    <row r="205" ht="15.75" customHeight="1">
      <c r="B205" s="9" t="inlineStr">
        <is>
          <t>Budgeted (Monthly)</t>
        </is>
      </c>
      <c r="C205" s="9" t="n"/>
      <c r="D205" s="10" t="inlineStr">
        <is>
          <t>$k</t>
        </is>
      </c>
      <c r="E205" s="44" t="n"/>
      <c r="F205" s="44" t="n"/>
      <c r="G205" s="44" t="n"/>
      <c r="H205" s="44" t="n">
        <v>56.66666666666667</v>
      </c>
      <c r="I205" s="44" t="n"/>
      <c r="J205" s="44" t="n"/>
      <c r="K205" s="44" t="n"/>
      <c r="L205" s="44" t="n">
        <v>56.66666666666667</v>
      </c>
      <c r="M205" s="44" t="n"/>
      <c r="N205" s="44" t="n"/>
      <c r="O205" s="44" t="n"/>
      <c r="P205" s="44" t="n"/>
      <c r="Q205" s="44" t="n">
        <v>56.66666666666667</v>
      </c>
      <c r="R205" s="44" t="n"/>
      <c r="S205" s="44" t="n"/>
      <c r="T205" s="44" t="n"/>
      <c r="U205" s="44" t="n">
        <v>56.66666666666667</v>
      </c>
      <c r="V205" s="44" t="n"/>
      <c r="W205" s="44" t="n"/>
      <c r="X205" s="44" t="n"/>
      <c r="Y205" s="44" t="n"/>
      <c r="Z205" s="44" t="n">
        <v>56.66666666666667</v>
      </c>
      <c r="AA205" s="44" t="n"/>
      <c r="AB205" s="44" t="n"/>
      <c r="AC205" s="44" t="n"/>
      <c r="AD205" s="44" t="n">
        <v>56.66666666666667</v>
      </c>
      <c r="AE205" s="44" t="n"/>
      <c r="AF205" s="44" t="n"/>
      <c r="AG205" s="44" t="n"/>
      <c r="AH205" s="44" t="n">
        <v>56.66666666666667</v>
      </c>
      <c r="AI205" s="44" t="n"/>
      <c r="AJ205" s="44" t="n"/>
      <c r="AK205" s="44" t="n"/>
      <c r="AL205" s="44" t="n"/>
      <c r="AM205" s="44" t="n">
        <v>56.66666666666667</v>
      </c>
      <c r="AN205" s="44" t="n"/>
      <c r="AO205" s="44" t="n"/>
      <c r="AP205" s="44" t="n"/>
      <c r="AQ205" s="44" t="n">
        <v>56.66666666666667</v>
      </c>
      <c r="AR205" s="44" t="n"/>
      <c r="AS205" s="44" t="n"/>
      <c r="AT205" s="44" t="n"/>
      <c r="AU205" s="44" t="n">
        <v>73.33333333333334</v>
      </c>
      <c r="AV205" s="44" t="n"/>
      <c r="AW205" s="44" t="n"/>
      <c r="AX205" s="44" t="n"/>
      <c r="AY205" s="44" t="n"/>
      <c r="AZ205" s="44" t="n">
        <v>73.33333333333334</v>
      </c>
      <c r="BA205" s="44" t="n"/>
      <c r="BB205" s="44" t="n"/>
      <c r="BC205" s="44" t="n"/>
      <c r="BD205" s="44" t="n">
        <v>73.33333333333334</v>
      </c>
    </row>
    <row r="206" ht="15.75" customHeight="1">
      <c r="B206" s="7" t="inlineStr">
        <is>
          <t>As % of budget - this month</t>
        </is>
      </c>
      <c r="D206" s="17" t="inlineStr">
        <is>
          <t>%</t>
        </is>
      </c>
      <c r="E206" s="43" t="n"/>
      <c r="F206" s="43" t="n"/>
      <c r="G206" s="43" t="n"/>
      <c r="H206" s="43">
        <f>IFERROR(SUM(E204:H204)/H205,"")</f>
        <v/>
      </c>
      <c r="I206" s="43" t="n"/>
      <c r="J206" s="43" t="n"/>
      <c r="K206" s="43" t="n"/>
      <c r="L206" s="43">
        <f>IFERROR(SUM(I204:L204)/L205,"")</f>
        <v/>
      </c>
      <c r="M206" s="43" t="n"/>
      <c r="N206" s="43" t="n"/>
      <c r="O206" s="43" t="n"/>
      <c r="P206" s="43" t="n"/>
      <c r="Q206" s="43">
        <f>IFERROR(SUM(M204:Q204)/Q205,"")</f>
        <v/>
      </c>
      <c r="R206" s="43" t="n"/>
      <c r="S206" s="43" t="n"/>
      <c r="T206" s="43" t="n"/>
      <c r="U206" s="43">
        <f>IFERROR(SUM(R204:U204)/U205,"")</f>
        <v/>
      </c>
      <c r="V206" s="43" t="n"/>
      <c r="W206" s="43" t="n"/>
      <c r="X206" s="43" t="n"/>
      <c r="Y206" s="43" t="n"/>
      <c r="Z206" s="43">
        <f>IFERROR(SUM(V204:Z204)/Z205,"")</f>
        <v/>
      </c>
      <c r="AA206" s="43" t="n"/>
      <c r="AB206" s="43" t="n"/>
      <c r="AC206" s="43" t="n"/>
      <c r="AD206" s="43" t="n"/>
      <c r="AE206" s="43" t="n"/>
      <c r="AF206" s="43" t="n"/>
      <c r="AG206" s="43" t="n"/>
      <c r="AH206" s="43" t="n"/>
      <c r="AI206" s="43" t="n"/>
      <c r="AJ206" s="43" t="n"/>
      <c r="AK206" s="43" t="n"/>
      <c r="AL206" s="43" t="n"/>
      <c r="AM206" s="43" t="n"/>
      <c r="AN206" s="43" t="n"/>
      <c r="AO206" s="43" t="n"/>
      <c r="AP206" s="43" t="n"/>
      <c r="AQ206" s="43" t="n"/>
      <c r="AR206" s="43" t="n"/>
      <c r="AS206" s="43" t="n"/>
      <c r="AT206" s="43" t="n"/>
      <c r="AU206" s="43" t="n"/>
      <c r="AV206" s="43" t="n"/>
      <c r="AW206" s="43" t="n"/>
      <c r="AX206" s="43" t="n"/>
      <c r="AY206" s="43" t="n"/>
      <c r="AZ206" s="43" t="n"/>
      <c r="BA206" s="43" t="n"/>
      <c r="BB206" s="43" t="n"/>
      <c r="BC206" s="43" t="n"/>
      <c r="BD206" s="43" t="n"/>
    </row>
    <row r="207" ht="15.75" customHeight="1">
      <c r="B207" s="7" t="inlineStr">
        <is>
          <t>As % of quarterly budget (QTD)</t>
        </is>
      </c>
      <c r="D207" s="17" t="inlineStr">
        <is>
          <t>%</t>
        </is>
      </c>
      <c r="E207" s="43" t="n"/>
      <c r="F207" s="43" t="n"/>
      <c r="G207" s="43" t="n"/>
      <c r="H207" s="43">
        <f>IFERROR(SUM(E204:H204)/(H205+L205+Q205),"")</f>
        <v/>
      </c>
      <c r="I207" s="43" t="n"/>
      <c r="J207" s="43" t="n"/>
      <c r="K207" s="43" t="n"/>
      <c r="L207" s="43">
        <f>IFERROR(SUM(E204:L204)/(H205+L205+Q205),"")</f>
        <v/>
      </c>
      <c r="M207" s="43" t="n"/>
      <c r="N207" s="43" t="n"/>
      <c r="O207" s="43" t="n"/>
      <c r="P207" s="43" t="n"/>
      <c r="Q207" s="43">
        <f>IFERROR(SUM(E204:Q204)/(H205+L205+Q205),"")</f>
        <v/>
      </c>
      <c r="R207" s="43" t="n"/>
      <c r="S207" s="43" t="n"/>
      <c r="T207" s="43" t="n"/>
      <c r="U207" s="43">
        <f>IFERROR(SUM(R204:U204)/(U205+Z205+AD205),"")</f>
        <v/>
      </c>
      <c r="V207" s="43" t="n"/>
      <c r="W207" s="43" t="n"/>
      <c r="X207" s="43" t="n"/>
      <c r="Y207" s="43" t="n"/>
      <c r="Z207" s="43">
        <f>IFERROR(SUM(R204:Z204)/(U205+Z205+AD205),"")</f>
        <v/>
      </c>
      <c r="AA207" s="43" t="n"/>
      <c r="AB207" s="43" t="n"/>
      <c r="AC207" s="43" t="n"/>
      <c r="AD207" s="43" t="n"/>
      <c r="AE207" s="43" t="n"/>
      <c r="AF207" s="43" t="n"/>
      <c r="AG207" s="43" t="n"/>
      <c r="AH207" s="43" t="n"/>
      <c r="AI207" s="43" t="n"/>
      <c r="AJ207" s="43" t="n"/>
      <c r="AK207" s="43" t="n"/>
      <c r="AL207" s="43" t="n"/>
      <c r="AM207" s="43" t="n"/>
      <c r="AN207" s="43" t="n"/>
      <c r="AO207" s="43" t="n"/>
      <c r="AP207" s="43" t="n"/>
      <c r="AQ207" s="43" t="n"/>
      <c r="AR207" s="43" t="n"/>
      <c r="AS207" s="43" t="n"/>
      <c r="AT207" s="43" t="n"/>
      <c r="AU207" s="43" t="n"/>
      <c r="AV207" s="43" t="n"/>
      <c r="AW207" s="43" t="n"/>
      <c r="AX207" s="43" t="n"/>
      <c r="AY207" s="43" t="n"/>
      <c r="AZ207" s="43" t="n"/>
      <c r="BA207" s="43" t="n"/>
      <c r="BB207" s="43" t="n"/>
      <c r="BC207" s="43" t="n"/>
      <c r="BD207" s="43" t="n"/>
    </row>
    <row r="208" ht="15.75" customHeight="1">
      <c r="B208" s="7" t="inlineStr">
        <is>
          <t>As % of annual budget (YTD)</t>
        </is>
      </c>
      <c r="D208" s="17" t="inlineStr">
        <is>
          <t>%</t>
        </is>
      </c>
      <c r="E208" s="43" t="n"/>
      <c r="F208" s="43" t="n"/>
      <c r="G208" s="43" t="n"/>
      <c r="H208" s="43">
        <f>IFERROR(SUM($E$204:H204)/SUM($E$205:BD205),"")</f>
        <v/>
      </c>
      <c r="I208" s="43" t="n"/>
      <c r="J208" s="43" t="n"/>
      <c r="K208" s="43" t="n"/>
      <c r="L208" s="43">
        <f>IFERROR(SUM($E$204:L204)/SUM($E$205:BD205),"")</f>
        <v/>
      </c>
      <c r="M208" s="43" t="n"/>
      <c r="N208" s="43" t="n"/>
      <c r="O208" s="43" t="n"/>
      <c r="P208" s="43" t="n"/>
      <c r="Q208" s="43">
        <f>IFERROR(SUM($E$204:Q204)/SUM($E$205:BD205),"")</f>
        <v/>
      </c>
      <c r="R208" s="43" t="n"/>
      <c r="S208" s="43" t="n"/>
      <c r="T208" s="43" t="n"/>
      <c r="U208" s="43">
        <f>IFERROR(SUM($E$204:U204)/SUM($E$205:BD205),"")</f>
        <v/>
      </c>
      <c r="V208" s="43" t="n"/>
      <c r="W208" s="43" t="n"/>
      <c r="X208" s="43" t="n"/>
      <c r="Y208" s="43" t="n"/>
      <c r="Z208" s="43">
        <f>IFERROR(SUM($E$204:Z204)/SUM($E$205:BD205),"")</f>
        <v/>
      </c>
      <c r="AA208" s="43" t="n"/>
      <c r="AB208" s="43" t="n"/>
      <c r="AC208" s="43" t="n"/>
      <c r="AD208" s="43" t="n"/>
      <c r="AE208" s="43" t="n"/>
      <c r="AF208" s="43" t="n"/>
      <c r="AG208" s="43" t="n"/>
      <c r="AH208" s="43" t="n"/>
      <c r="AI208" s="43" t="n"/>
      <c r="AJ208" s="43" t="n"/>
      <c r="AK208" s="43" t="n"/>
      <c r="AL208" s="43" t="n"/>
      <c r="AM208" s="43" t="n"/>
      <c r="AN208" s="43" t="n"/>
      <c r="AO208" s="43" t="n"/>
      <c r="AP208" s="43" t="n"/>
      <c r="AQ208" s="43" t="n"/>
      <c r="AR208" s="43" t="n"/>
      <c r="AS208" s="43" t="n"/>
      <c r="AT208" s="43" t="n"/>
      <c r="AU208" s="43" t="n"/>
      <c r="AV208" s="43" t="n"/>
      <c r="AW208" s="43" t="n"/>
      <c r="AX208" s="43" t="n"/>
      <c r="AY208" s="43" t="n"/>
      <c r="AZ208" s="43" t="n"/>
      <c r="BA208" s="43" t="n"/>
      <c r="BB208" s="43" t="n"/>
      <c r="BC208" s="43" t="n"/>
      <c r="BD208" s="43" t="n"/>
    </row>
    <row r="209"/>
    <row r="210"/>
    <row r="211" customFormat="1" s="38">
      <c r="A211" s="37" t="inlineStr">
        <is>
          <t>TikTok Shop</t>
        </is>
      </c>
      <c r="D211" s="39" t="n"/>
    </row>
    <row r="212">
      <c r="A212" s="40" t="inlineStr">
        <is>
          <t>Sell-in value</t>
        </is>
      </c>
      <c r="D212" s="24" t="inlineStr">
        <is>
          <t>$k</t>
        </is>
      </c>
      <c r="E212" s="42" t="n">
        <v>328.4168911862</v>
      </c>
      <c r="F212" s="42" t="n">
        <v>209.989</v>
      </c>
      <c r="G212" s="42" t="n">
        <v>189.466</v>
      </c>
      <c r="H212" s="42" t="n">
        <v>190.482</v>
      </c>
      <c r="I212" s="42" t="n">
        <v>269.9673460942</v>
      </c>
      <c r="J212" s="42" t="n">
        <v>114.952</v>
      </c>
      <c r="K212" s="42" t="n">
        <v>200.984</v>
      </c>
      <c r="L212" s="42" t="n">
        <v>312.18</v>
      </c>
      <c r="M212" s="42" t="n">
        <v>416.6206320925</v>
      </c>
      <c r="N212" s="42" t="n">
        <v>185.849</v>
      </c>
      <c r="O212" s="42" t="n">
        <v>161.798</v>
      </c>
      <c r="P212" s="42" t="n">
        <v>264.673</v>
      </c>
      <c r="Q212" s="42" t="n">
        <v>301.588</v>
      </c>
      <c r="R212" s="42" t="n">
        <v>243.9297069575</v>
      </c>
      <c r="S212" s="42" t="n">
        <v>118.327</v>
      </c>
      <c r="T212" s="42" t="n">
        <v>207.45</v>
      </c>
      <c r="U212" s="42" t="n">
        <v>222.691</v>
      </c>
      <c r="V212" s="42" t="n">
        <v>273.13858402</v>
      </c>
      <c r="W212" s="42" t="n">
        <v>97.93000000000001</v>
      </c>
      <c r="X212" s="42" t="n">
        <v>96.291</v>
      </c>
      <c r="Y212" s="42" t="n">
        <v>199.012</v>
      </c>
      <c r="Z212" s="42" t="n">
        <v>262.069097147</v>
      </c>
      <c r="AA212" s="42" t="n">
        <v>126.1374</v>
      </c>
      <c r="AB212" s="42" t="n">
        <v>98.78398</v>
      </c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</row>
    <row r="213" customFormat="1" s="4">
      <c r="A213" s="3" t="n"/>
      <c r="B213" s="4" t="inlineStr">
        <is>
          <t>% of Total - YTD</t>
        </is>
      </c>
      <c r="D213" s="33" t="inlineStr">
        <is>
          <t>%</t>
        </is>
      </c>
      <c r="E213" s="46">
        <f>IFERROR(SUM($E$212:E212)/SUM($E$3:E3),"")</f>
        <v/>
      </c>
      <c r="F213" s="46">
        <f>IFERROR(SUM($E$212:F212)/SUM($E$3:F3),"")</f>
        <v/>
      </c>
      <c r="G213" s="46">
        <f>IFERROR(SUM($E$212:G212)/SUM($E$3:G3),"")</f>
        <v/>
      </c>
      <c r="H213" s="46">
        <f>IFERROR(SUM($E$212:H212)/SUM($E$3:H3),"")</f>
        <v/>
      </c>
      <c r="I213" s="46">
        <f>IFERROR(SUM($E$212:I212)/SUM($E$3:I3),"")</f>
        <v/>
      </c>
      <c r="J213" s="46">
        <f>IFERROR(SUM($E$212:J212)/SUM($E$3:J3),"")</f>
        <v/>
      </c>
      <c r="K213" s="46">
        <f>IFERROR(SUM($E$212:K212)/SUM($E$3:K3),"")</f>
        <v/>
      </c>
      <c r="L213" s="46">
        <f>IFERROR(SUM($E$212:L212)/SUM($E$3:L3),"")</f>
        <v/>
      </c>
      <c r="M213" s="46">
        <f>IFERROR(SUM($E$212:M212)/SUM($E$3:M3),"")</f>
        <v/>
      </c>
      <c r="N213" s="46">
        <f>IFERROR(SUM($E$212:N212)/SUM($E$3:N3),"")</f>
        <v/>
      </c>
      <c r="O213" s="46">
        <f>IFERROR(SUM($E$212:O212)/SUM($E$3:O3),"")</f>
        <v/>
      </c>
      <c r="P213" s="46">
        <f>IFERROR(SUM($E$212:P212)/SUM($E$3:P3),"")</f>
        <v/>
      </c>
      <c r="Q213" s="46">
        <f>IFERROR(SUM($E$212:Q212)/SUM($E$3:Q3),"")</f>
        <v/>
      </c>
      <c r="R213" s="46">
        <f>IFERROR(SUM($E$212:R212)/SUM($E$3:R3),"")</f>
        <v/>
      </c>
      <c r="S213" s="46">
        <f>IFERROR(SUM($E$212:S212)/SUM($E$3:S3),"")</f>
        <v/>
      </c>
      <c r="T213" s="46">
        <f>IFERROR(SUM($E$212:T212)/SUM($E$3:T3),"")</f>
        <v/>
      </c>
      <c r="U213" s="46">
        <f>IFERROR(SUM($E$212:U212)/SUM($E$3:U3),"")</f>
        <v/>
      </c>
      <c r="V213" s="46">
        <f>IFERROR(SUM($E$212:V212)/SUM($E$3:V3),"")</f>
        <v/>
      </c>
      <c r="W213" s="46">
        <f>IFERROR(SUM($E$212:W212)/SUM($E$3:W3),"")</f>
        <v/>
      </c>
      <c r="X213" s="46">
        <f>IFERROR(SUM($E$212:X212)/SUM($E$3:X3),"")</f>
        <v/>
      </c>
      <c r="Y213" s="46">
        <f>IFERROR(SUM($E$212:Y212)/SUM($E$3:Y3),"")</f>
        <v/>
      </c>
      <c r="Z213" s="46">
        <f>IFERROR(SUM($E$212:Z212)/SUM($E$3:Z3),"")</f>
        <v/>
      </c>
      <c r="AA213" s="46">
        <f>IFERROR(SUM($E$212:AA212)/SUM($E$3:AA3),"")</f>
        <v/>
      </c>
      <c r="AB213" s="46">
        <f>IFERROR(SUM($E$212:AB212)/SUM($E$3:AB3),"")</f>
        <v/>
      </c>
      <c r="AC213" s="46" t="n"/>
      <c r="AD213" s="46" t="n"/>
      <c r="AE213" s="46" t="n"/>
      <c r="AF213" s="46" t="n"/>
      <c r="AG213" s="46" t="n"/>
      <c r="AH213" s="46" t="n"/>
      <c r="AI213" s="46" t="n"/>
      <c r="AJ213" s="46" t="n"/>
      <c r="AK213" s="46" t="n"/>
      <c r="AL213" s="46" t="n"/>
      <c r="AM213" s="46" t="n"/>
      <c r="AN213" s="46" t="n"/>
      <c r="AO213" s="46" t="n"/>
      <c r="AP213" s="46" t="n"/>
      <c r="AQ213" s="46" t="n"/>
      <c r="AR213" s="46" t="n"/>
      <c r="AS213" s="46" t="n"/>
      <c r="AT213" s="46" t="n"/>
      <c r="AU213" s="46" t="n"/>
      <c r="AV213" s="46" t="n"/>
      <c r="AW213" s="46" t="n"/>
      <c r="AX213" s="46" t="n"/>
      <c r="AY213" s="46" t="n"/>
      <c r="AZ213" s="46" t="n"/>
      <c r="BA213" s="46" t="n"/>
      <c r="BB213" s="46" t="n"/>
      <c r="BC213" s="46" t="n"/>
      <c r="BD213" s="46" t="n"/>
    </row>
    <row r="214" customFormat="1" s="7">
      <c r="B214" s="7" t="inlineStr">
        <is>
          <t>% of Target</t>
        </is>
      </c>
      <c r="D214" s="8" t="inlineStr">
        <is>
          <t>%</t>
        </is>
      </c>
      <c r="E214" s="43">
        <f>IFERROR(E212/E216,"")</f>
        <v/>
      </c>
      <c r="F214" s="43">
        <f>IFERROR(F212/F216,"")</f>
        <v/>
      </c>
      <c r="G214" s="43">
        <f>IFERROR(G212/G216,"")</f>
        <v/>
      </c>
      <c r="H214" s="43">
        <f>IFERROR(H212/H216,"")</f>
        <v/>
      </c>
      <c r="I214" s="43">
        <f>IFERROR(I212/I216,"")</f>
        <v/>
      </c>
      <c r="J214" s="43">
        <f>IFERROR(J212/J216,"")</f>
        <v/>
      </c>
      <c r="K214" s="43">
        <f>IFERROR(K212/K216,"")</f>
        <v/>
      </c>
      <c r="L214" s="43">
        <f>IFERROR(L212/L216,"")</f>
        <v/>
      </c>
      <c r="M214" s="43">
        <f>IFERROR(M212/M216,"")</f>
        <v/>
      </c>
      <c r="N214" s="43">
        <f>IFERROR(N212/N216,"")</f>
        <v/>
      </c>
      <c r="O214" s="43">
        <f>IFERROR(O212/O216,"")</f>
        <v/>
      </c>
      <c r="P214" s="43">
        <f>IFERROR(P212/P216,"")</f>
        <v/>
      </c>
      <c r="Q214" s="43">
        <f>IFERROR(Q212/Q216,"")</f>
        <v/>
      </c>
      <c r="R214" s="43">
        <f>IFERROR(R212/R216,"")</f>
        <v/>
      </c>
      <c r="S214" s="43">
        <f>IFERROR(S212/S216,"")</f>
        <v/>
      </c>
      <c r="T214" s="43">
        <f>IFERROR(T212/T216,"")</f>
        <v/>
      </c>
      <c r="U214" s="43">
        <f>IFERROR(U212/U216,"")</f>
        <v/>
      </c>
      <c r="V214" s="43">
        <f>IFERROR(V212/V216,"")</f>
        <v/>
      </c>
      <c r="W214" s="43">
        <f>IFERROR(W212/W216,"")</f>
        <v/>
      </c>
      <c r="X214" s="43">
        <f>IFERROR(X212/X216,"")</f>
        <v/>
      </c>
      <c r="Y214" s="43">
        <f>IFERROR(Y212/Y216,"")</f>
        <v/>
      </c>
      <c r="Z214" s="43">
        <f>IFERROR(Z212/Z216,"")</f>
        <v/>
      </c>
      <c r="AA214" s="43">
        <f>IFERROR(AA212/AA216,"")</f>
        <v/>
      </c>
      <c r="AB214" s="43">
        <f>IFERROR(AB212/AB216,"")</f>
        <v/>
      </c>
      <c r="AC214" s="43" t="n"/>
      <c r="AD214" s="43" t="n"/>
      <c r="AE214" s="43" t="n"/>
      <c r="AF214" s="43" t="n"/>
      <c r="AG214" s="43" t="n"/>
      <c r="AH214" s="43" t="n"/>
      <c r="AI214" s="43" t="n"/>
      <c r="AJ214" s="43" t="n"/>
      <c r="AK214" s="43" t="n"/>
      <c r="AL214" s="43" t="n"/>
      <c r="AM214" s="43" t="n"/>
      <c r="AN214" s="43" t="n"/>
      <c r="AO214" s="43" t="n"/>
      <c r="AP214" s="43" t="n"/>
      <c r="AQ214" s="43" t="n"/>
      <c r="AR214" s="43" t="n"/>
      <c r="AS214" s="43" t="n"/>
      <c r="AT214" s="43" t="n"/>
      <c r="AU214" s="43" t="n"/>
      <c r="AV214" s="43" t="n"/>
      <c r="AW214" s="43" t="n"/>
      <c r="AX214" s="43" t="n"/>
      <c r="AY214" s="43" t="n"/>
      <c r="AZ214" s="43" t="n"/>
      <c r="BA214" s="43" t="n"/>
      <c r="BB214" s="43" t="n"/>
      <c r="BC214" s="43" t="n"/>
      <c r="BD214" s="43" t="n"/>
    </row>
    <row r="215" ht="15.75" customFormat="1" customHeight="1" s="7">
      <c r="B215" s="7" t="inlineStr">
        <is>
          <t>% of Target - YTD</t>
        </is>
      </c>
      <c r="C215" s="16" t="n"/>
      <c r="D215" s="17" t="inlineStr">
        <is>
          <t>%</t>
        </is>
      </c>
      <c r="E215" s="43">
        <f>IFERROR(SUMIF($E$216:E216,"&lt;&gt;",$E$212:E212)/SUM($E$216:E216),"")</f>
        <v/>
      </c>
      <c r="F215" s="43">
        <f>IFERROR(SUMIF($E$216:F216,"&lt;&gt;",$E$212:F212)/SUM($E$216:F216),"")</f>
        <v/>
      </c>
      <c r="G215" s="43">
        <f>IFERROR(SUMIF($E$216:G216,"&lt;&gt;",$E$212:G212)/SUM($E$216:G216),"")</f>
        <v/>
      </c>
      <c r="H215" s="43">
        <f>IFERROR(SUMIF($E$216:H216,"&lt;&gt;",$E$212:H212)/SUM($E$216:H216),"")</f>
        <v/>
      </c>
      <c r="I215" s="43">
        <f>IFERROR(SUMIF($E$216:I216,"&lt;&gt;",$E$212:I212)/SUM($E$216:I216),"")</f>
        <v/>
      </c>
      <c r="J215" s="43">
        <f>IFERROR(SUMIF($E$216:J216,"&lt;&gt;",$E$212:J212)/SUM($E$216:J216),"")</f>
        <v/>
      </c>
      <c r="K215" s="43">
        <f>IFERROR(SUMIF($E$216:K216,"&lt;&gt;",$E$212:K212)/SUM($E$216:K216),"")</f>
        <v/>
      </c>
      <c r="L215" s="43">
        <f>IFERROR(SUMIF($E$216:L216,"&lt;&gt;",$E$212:L212)/SUM($E$216:L216),"")</f>
        <v/>
      </c>
      <c r="M215" s="43">
        <f>IFERROR(SUMIF($E$216:M216,"&lt;&gt;",$E$212:M212)/SUM($E$216:M216),"")</f>
        <v/>
      </c>
      <c r="N215" s="43">
        <f>IFERROR(SUMIF($E$216:N216,"&lt;&gt;",$E$212:N212)/SUM($E$216:N216),"")</f>
        <v/>
      </c>
      <c r="O215" s="43">
        <f>IFERROR(SUMIF($E$216:O216,"&lt;&gt;",$E$212:O212)/SUM($E$216:O216),"")</f>
        <v/>
      </c>
      <c r="P215" s="43">
        <f>IFERROR(SUMIF($E$216:P216,"&lt;&gt;",$E$212:P212)/SUM($E$216:P216),"")</f>
        <v/>
      </c>
      <c r="Q215" s="43">
        <f>IFERROR(SUMIF($E$216:Q216,"&lt;&gt;",$E$212:Q212)/SUM($E$216:Q216),"")</f>
        <v/>
      </c>
      <c r="R215" s="43">
        <f>IFERROR(SUMIF($E$216:R216,"&lt;&gt;",$E$212:R212)/SUM($E$216:R216),"")</f>
        <v/>
      </c>
      <c r="S215" s="43">
        <f>IFERROR(SUMIF($E$216:S216,"&lt;&gt;",$E$212:S212)/SUM($E$216:S216),"")</f>
        <v/>
      </c>
      <c r="T215" s="43">
        <f>IFERROR(SUMIF($E$216:T216,"&lt;&gt;",$E$212:T212)/SUM($E$216:T216),"")</f>
        <v/>
      </c>
      <c r="U215" s="43">
        <f>IFERROR(SUMIF($E$216:U216,"&lt;&gt;",$E$212:U212)/SUM($E$216:U216),"")</f>
        <v/>
      </c>
      <c r="V215" s="43">
        <f>IFERROR(SUMIF($E$216:V216,"&lt;&gt;",$E$212:V212)/SUM($E$216:V216),"")</f>
        <v/>
      </c>
      <c r="W215" s="43">
        <f>IFERROR(SUMIF($E$216:W216,"&lt;&gt;",$E$212:W212)/SUM($E$216:W216),"")</f>
        <v/>
      </c>
      <c r="X215" s="43">
        <f>IFERROR(SUMIF($E$216:X216,"&lt;&gt;",$E$212:X212)/SUM($E$216:X216),"")</f>
        <v/>
      </c>
      <c r="Y215" s="43">
        <f>IFERROR(SUMIF($E$216:Y216,"&lt;&gt;",$E$212:Y212)/SUM($E$216:Y216),"")</f>
        <v/>
      </c>
      <c r="Z215" s="43">
        <f>IFERROR(SUMIF($E$216:Z216,"&lt;&gt;",$E$212:Z212)/SUM($E$216:Z216),"")</f>
        <v/>
      </c>
      <c r="AA215" s="43">
        <f>IFERROR(SUMIF($E$216:AA216,"&lt;&gt;",$E$212:AA212)/SUM($E$216:AA216),"")</f>
        <v/>
      </c>
      <c r="AB215" s="43">
        <f>IFERROR(SUMIF($E$216:AB216,"&lt;&gt;",$E$212:AB212)/SUM($E$216:AB216),"")</f>
        <v/>
      </c>
      <c r="AC215" s="43" t="n"/>
      <c r="AD215" s="43" t="n"/>
      <c r="AE215" s="43" t="n"/>
      <c r="AF215" s="43" t="n"/>
      <c r="AG215" s="43" t="n"/>
      <c r="AH215" s="43" t="n"/>
      <c r="AI215" s="43" t="n"/>
      <c r="AJ215" s="43" t="n"/>
      <c r="AK215" s="43" t="n"/>
      <c r="AL215" s="43" t="n"/>
      <c r="AM215" s="43" t="n"/>
      <c r="AN215" s="43" t="n"/>
      <c r="AO215" s="43" t="n"/>
      <c r="AP215" s="43" t="n"/>
      <c r="AQ215" s="43" t="n"/>
      <c r="AR215" s="43" t="n"/>
      <c r="AS215" s="43" t="n"/>
      <c r="AT215" s="43" t="n"/>
      <c r="AU215" s="43" t="n"/>
      <c r="AV215" s="43" t="n"/>
      <c r="AW215" s="43" t="n"/>
      <c r="AX215" s="43" t="n"/>
      <c r="AY215" s="43" t="n"/>
      <c r="AZ215" s="43" t="n"/>
      <c r="BA215" s="43" t="n"/>
      <c r="BB215" s="43" t="n"/>
      <c r="BC215" s="43" t="n"/>
      <c r="BD215" s="43" t="n"/>
    </row>
    <row r="216" customFormat="1" s="9">
      <c r="B216" s="9" t="inlineStr">
        <is>
          <t>Target</t>
        </is>
      </c>
      <c r="D216" s="10" t="inlineStr">
        <is>
          <t>$k</t>
        </is>
      </c>
      <c r="E216" s="44" t="n">
        <v>121.107370688</v>
      </c>
      <c r="F216" s="44" t="n">
        <v>211.937898704</v>
      </c>
      <c r="G216" s="44" t="n">
        <v>211.937898704</v>
      </c>
      <c r="H216" s="44" t="n">
        <v>211.937898704</v>
      </c>
      <c r="I216" s="44" t="n">
        <v>207.298172362</v>
      </c>
      <c r="J216" s="44" t="n">
        <v>179.46125</v>
      </c>
      <c r="K216" s="44" t="n">
        <v>179.46125</v>
      </c>
      <c r="L216" s="44" t="n">
        <v>179.46125</v>
      </c>
      <c r="M216" s="44" t="n">
        <v>179.133470148</v>
      </c>
      <c r="N216" s="44" t="n">
        <v>177.165355346</v>
      </c>
      <c r="O216" s="44" t="n">
        <v>177.165355346</v>
      </c>
      <c r="P216" s="44" t="n">
        <v>177.165355346</v>
      </c>
      <c r="Q216" s="44" t="n">
        <v>177.165355346</v>
      </c>
      <c r="R216" s="44" t="n">
        <v>156.164717381</v>
      </c>
      <c r="S216" s="44" t="n">
        <v>147.763955575</v>
      </c>
      <c r="T216" s="44" t="n">
        <v>147.763955575</v>
      </c>
      <c r="U216" s="44" t="n">
        <v>147.763955575</v>
      </c>
      <c r="V216" s="44" t="n">
        <v>168.270997583</v>
      </c>
      <c r="W216" s="44" t="n">
        <v>195.613931352</v>
      </c>
      <c r="X216" s="44" t="n">
        <v>195.613931352</v>
      </c>
      <c r="Y216" s="44" t="n">
        <v>195.613931352</v>
      </c>
      <c r="Z216" s="44" t="n">
        <v>195.613931352</v>
      </c>
      <c r="AA216" s="44" t="n">
        <v>187.862231625</v>
      </c>
      <c r="AB216" s="44" t="n">
        <v>187.862231625</v>
      </c>
      <c r="AC216" s="44" t="n"/>
      <c r="AD216" s="44" t="n"/>
      <c r="AE216" s="44" t="n"/>
      <c r="AF216" s="44" t="n"/>
      <c r="AG216" s="44" t="n"/>
      <c r="AH216" s="44" t="n"/>
      <c r="AI216" s="44" t="n"/>
      <c r="AJ216" s="44" t="n"/>
      <c r="AK216" s="44" t="n"/>
      <c r="AL216" s="44" t="n"/>
      <c r="AM216" s="44" t="n"/>
      <c r="AN216" s="44" t="n"/>
      <c r="AO216" s="44" t="n"/>
      <c r="AP216" s="44" t="n"/>
      <c r="AQ216" s="44" t="n"/>
      <c r="AR216" s="44" t="n"/>
      <c r="AS216" s="44" t="n"/>
      <c r="AT216" s="44" t="n"/>
      <c r="AU216" s="44" t="n"/>
      <c r="AV216" s="44" t="n"/>
      <c r="AW216" s="44" t="n"/>
      <c r="AX216" s="44" t="n"/>
      <c r="AY216" s="44" t="n"/>
      <c r="AZ216" s="44" t="n"/>
      <c r="BA216" s="44" t="n"/>
      <c r="BB216" s="44" t="n"/>
      <c r="BC216" s="44" t="n"/>
      <c r="BD216" s="44" t="n"/>
    </row>
    <row r="217"/>
    <row r="218">
      <c r="A218" s="40" t="inlineStr">
        <is>
          <t xml:space="preserve">Sell-through units </t>
        </is>
      </c>
      <c r="D218" s="24" t="inlineStr">
        <is>
          <t>#</t>
        </is>
      </c>
      <c r="E218" s="42" t="n">
        <v>5901</v>
      </c>
      <c r="F218" s="42" t="n">
        <v>4405</v>
      </c>
      <c r="G218" s="42" t="n">
        <v>4553</v>
      </c>
      <c r="H218" s="42" t="n">
        <v>4473</v>
      </c>
      <c r="I218" s="42" t="n">
        <v>4702</v>
      </c>
      <c r="J218" s="42" t="n">
        <v>3447</v>
      </c>
      <c r="K218" s="42" t="n">
        <v>3964</v>
      </c>
      <c r="L218" s="42" t="n">
        <v>6882</v>
      </c>
      <c r="M218" s="42" t="n">
        <v>8157</v>
      </c>
      <c r="N218" s="42" t="n">
        <v>4407</v>
      </c>
      <c r="O218" s="42" t="n">
        <v>3800</v>
      </c>
      <c r="P218" s="42" t="n">
        <v>5747</v>
      </c>
      <c r="Q218" s="42" t="n">
        <v>6181</v>
      </c>
      <c r="R218" s="42" t="n">
        <v>4242</v>
      </c>
      <c r="S218" s="42" t="n">
        <v>3153</v>
      </c>
      <c r="T218" s="42" t="n">
        <v>4865</v>
      </c>
      <c r="U218" s="42" t="n">
        <v>4766</v>
      </c>
      <c r="V218" s="42" t="n">
        <v>5137</v>
      </c>
      <c r="W218" s="42" t="n">
        <v>2243</v>
      </c>
      <c r="X218" s="42" t="n">
        <v>2469</v>
      </c>
      <c r="Y218" s="42" t="n">
        <v>3796</v>
      </c>
      <c r="Z218" s="42" t="n">
        <v>4862</v>
      </c>
      <c r="AA218" s="42" t="n">
        <v>2747</v>
      </c>
      <c r="AB218" s="42" t="n">
        <v>2150</v>
      </c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</row>
    <row r="219" customFormat="1" s="4">
      <c r="A219" s="3" t="n"/>
      <c r="B219" s="4" t="inlineStr">
        <is>
          <t>% of Total - YTD</t>
        </is>
      </c>
      <c r="D219" s="33" t="inlineStr">
        <is>
          <t>%</t>
        </is>
      </c>
      <c r="E219" s="46">
        <f>IFERROR(SUM($E$218:E218)/SUM($E$4:E4),"")</f>
        <v/>
      </c>
      <c r="F219" s="46">
        <f>IFERROR(SUM($E$218:F218)/SUM($E$4:F4),"")</f>
        <v/>
      </c>
      <c r="G219" s="46">
        <f>IFERROR(SUM($E$218:G218)/SUM($E$4:G4),"")</f>
        <v/>
      </c>
      <c r="H219" s="46">
        <f>IFERROR(SUM($E$218:H218)/SUM($E$4:H4),"")</f>
        <v/>
      </c>
      <c r="I219" s="46">
        <f>IFERROR(SUM($E$218:I218)/SUM($E$4:I4),"")</f>
        <v/>
      </c>
      <c r="J219" s="46">
        <f>IFERROR(SUM($E$218:J218)/SUM($E$4:J4),"")</f>
        <v/>
      </c>
      <c r="K219" s="46">
        <f>IFERROR(SUM($E$218:K218)/SUM($E$4:K4),"")</f>
        <v/>
      </c>
      <c r="L219" s="46">
        <f>IFERROR(SUM($E$218:L218)/SUM($E$4:L4),"")</f>
        <v/>
      </c>
      <c r="M219" s="46">
        <f>IFERROR(SUM($E$218:M218)/SUM($E$4:M4),"")</f>
        <v/>
      </c>
      <c r="N219" s="46">
        <f>IFERROR(SUM($E$218:N218)/SUM($E$4:N4),"")</f>
        <v/>
      </c>
      <c r="O219" s="46">
        <f>IFERROR(SUM($E$218:O218)/SUM($E$4:O4),"")</f>
        <v/>
      </c>
      <c r="P219" s="46">
        <f>IFERROR(SUM($E$218:P218)/SUM($E$4:P4),"")</f>
        <v/>
      </c>
      <c r="Q219" s="46">
        <f>IFERROR(SUM($E$218:Q218)/SUM($E$4:Q4),"")</f>
        <v/>
      </c>
      <c r="R219" s="46">
        <f>IFERROR(SUM($E$218:R218)/SUM($E$4:R4),"")</f>
        <v/>
      </c>
      <c r="S219" s="46">
        <f>IFERROR(SUM($E$218:S218)/SUM($E$4:S4),"")</f>
        <v/>
      </c>
      <c r="T219" s="46">
        <f>IFERROR(SUM($E$218:T218)/SUM($E$4:T4),"")</f>
        <v/>
      </c>
      <c r="U219" s="46">
        <f>IFERROR(SUM($E$218:U218)/SUM($E$4:U4),"")</f>
        <v/>
      </c>
      <c r="V219" s="46">
        <f>IFERROR(SUM($E$218:V218)/SUM($E$4:V4),"")</f>
        <v/>
      </c>
      <c r="W219" s="46">
        <f>IFERROR(SUM($E$218:W218)/SUM($E$4:W4),"")</f>
        <v/>
      </c>
      <c r="X219" s="46">
        <f>IFERROR(SUM($E$218:X218)/SUM($E$4:X4),"")</f>
        <v/>
      </c>
      <c r="Y219" s="46">
        <f>IFERROR(SUM($E$218:Y218)/SUM($E$4:Y4),"")</f>
        <v/>
      </c>
      <c r="Z219" s="46">
        <f>IFERROR(SUM($E$218:Z218)/SUM($E$4:Z4),"")</f>
        <v/>
      </c>
      <c r="AA219" s="46">
        <f>IFERROR(SUM($E$218:AA218)/SUM($E$4:AA4),"")</f>
        <v/>
      </c>
      <c r="AB219" s="46">
        <f>IFERROR(SUM($E$218:AB218)/SUM($E$4:AB4),"")</f>
        <v/>
      </c>
      <c r="AC219" s="46" t="n"/>
      <c r="AD219" s="46" t="n"/>
      <c r="AE219" s="46" t="n"/>
      <c r="AF219" s="46" t="n"/>
      <c r="AG219" s="46" t="n"/>
      <c r="AH219" s="46" t="n"/>
      <c r="AI219" s="46" t="n"/>
      <c r="AJ219" s="46" t="n"/>
      <c r="AK219" s="46" t="n"/>
      <c r="AL219" s="46" t="n"/>
      <c r="AM219" s="46" t="n"/>
      <c r="AN219" s="46" t="n"/>
      <c r="AO219" s="46" t="n"/>
      <c r="AP219" s="46" t="n"/>
      <c r="AQ219" s="46" t="n"/>
      <c r="AR219" s="46" t="n"/>
      <c r="AS219" s="46" t="n"/>
      <c r="AT219" s="46" t="n"/>
      <c r="AU219" s="46" t="n"/>
      <c r="AV219" s="46" t="n"/>
      <c r="AW219" s="46" t="n"/>
      <c r="AX219" s="46" t="n"/>
      <c r="AY219" s="46" t="n"/>
      <c r="AZ219" s="46" t="n"/>
      <c r="BA219" s="46" t="n"/>
      <c r="BB219" s="46" t="n"/>
      <c r="BC219" s="46" t="n"/>
      <c r="BD219" s="46" t="n"/>
    </row>
    <row r="220" customFormat="1" s="16">
      <c r="A220" s="15" t="n"/>
      <c r="B220" s="16" t="inlineStr">
        <is>
          <t>% of Target</t>
        </is>
      </c>
      <c r="D220" s="17" t="inlineStr">
        <is>
          <t>%</t>
        </is>
      </c>
      <c r="E220" s="43">
        <f>IFERROR(E218/E222,"")</f>
        <v/>
      </c>
      <c r="F220" s="43">
        <f>IFERROR(F218/F222,"")</f>
        <v/>
      </c>
      <c r="G220" s="43">
        <f>IFERROR(G218/G222,"")</f>
        <v/>
      </c>
      <c r="H220" s="43">
        <f>IFERROR(H218/H222,"")</f>
        <v/>
      </c>
      <c r="I220" s="43">
        <f>IFERROR(I218/I222,"")</f>
        <v/>
      </c>
      <c r="J220" s="43">
        <f>IFERROR(J218/J222,"")</f>
        <v/>
      </c>
      <c r="K220" s="43">
        <f>IFERROR(K218/K222,"")</f>
        <v/>
      </c>
      <c r="L220" s="43">
        <f>IFERROR(L218/L222,"")</f>
        <v/>
      </c>
      <c r="M220" s="43">
        <f>IFERROR(M218/M222,"")</f>
        <v/>
      </c>
      <c r="N220" s="43">
        <f>IFERROR(N218/N222,"")</f>
        <v/>
      </c>
      <c r="O220" s="43">
        <f>IFERROR(O218/O222,"")</f>
        <v/>
      </c>
      <c r="P220" s="43">
        <f>IFERROR(P218/P222,"")</f>
        <v/>
      </c>
      <c r="Q220" s="43">
        <f>IFERROR(Q218/Q222,"")</f>
        <v/>
      </c>
      <c r="R220" s="43">
        <f>IFERROR(R218/R222,"")</f>
        <v/>
      </c>
      <c r="S220" s="43">
        <f>IFERROR(S218/S222,"")</f>
        <v/>
      </c>
      <c r="T220" s="43">
        <f>IFERROR(T218/T222,"")</f>
        <v/>
      </c>
      <c r="U220" s="43">
        <f>IFERROR(U218/U222,"")</f>
        <v/>
      </c>
      <c r="V220" s="43">
        <f>IFERROR(V218/V222,"")</f>
        <v/>
      </c>
      <c r="W220" s="43">
        <f>IFERROR(W218/W222,"")</f>
        <v/>
      </c>
      <c r="X220" s="43">
        <f>IFERROR(X218/X222,"")</f>
        <v/>
      </c>
      <c r="Y220" s="43">
        <f>IFERROR(Y218/Y222,"")</f>
        <v/>
      </c>
      <c r="Z220" s="43">
        <f>IFERROR(Z218/Z222,"")</f>
        <v/>
      </c>
      <c r="AA220" s="43">
        <f>IFERROR(AA218/AA222,"")</f>
        <v/>
      </c>
      <c r="AB220" s="43">
        <f>IFERROR(AB218/AB222,"")</f>
        <v/>
      </c>
      <c r="AC220" s="43" t="n"/>
      <c r="AD220" s="43" t="n"/>
      <c r="AE220" s="43" t="n"/>
      <c r="AF220" s="43" t="n"/>
      <c r="AG220" s="43" t="n"/>
      <c r="AH220" s="43" t="n"/>
      <c r="AI220" s="43" t="n"/>
      <c r="AJ220" s="43" t="n"/>
      <c r="AK220" s="43" t="n"/>
      <c r="AL220" s="43" t="n"/>
      <c r="AM220" s="43" t="n"/>
      <c r="AN220" s="43" t="n"/>
      <c r="AO220" s="43" t="n"/>
      <c r="AP220" s="43" t="n"/>
      <c r="AQ220" s="43" t="n"/>
      <c r="AR220" s="43" t="n"/>
      <c r="AS220" s="43" t="n"/>
      <c r="AT220" s="43" t="n"/>
      <c r="AU220" s="43" t="n"/>
      <c r="AV220" s="43" t="n"/>
      <c r="AW220" s="43" t="n"/>
      <c r="AX220" s="43" t="n"/>
      <c r="AY220" s="43" t="n"/>
      <c r="AZ220" s="43" t="n"/>
      <c r="BA220" s="43" t="n"/>
      <c r="BB220" s="43" t="n"/>
      <c r="BC220" s="43" t="n"/>
      <c r="BD220" s="43" t="n"/>
    </row>
    <row r="221" ht="15.75" customFormat="1" customHeight="1" s="16">
      <c r="A221" s="15" t="n"/>
      <c r="B221" s="7" t="inlineStr">
        <is>
          <t>% of Target - YTD</t>
        </is>
      </c>
      <c r="D221" s="17" t="inlineStr">
        <is>
          <t>%</t>
        </is>
      </c>
      <c r="E221" s="43">
        <f>IFERROR(SUMIF($E$222:E222,"&lt;&gt;",$E$218:E218)/SUM($E$222:E222),"")</f>
        <v/>
      </c>
      <c r="F221" s="43">
        <f>IFERROR(SUMIF($E$222:F222,"&lt;&gt;",$E$218:F218)/SUM($E$222:F222),"")</f>
        <v/>
      </c>
      <c r="G221" s="43">
        <f>IFERROR(SUMIF($E$222:G222,"&lt;&gt;",$E$218:G218)/SUM($E$222:G222),"")</f>
        <v/>
      </c>
      <c r="H221" s="43">
        <f>IFERROR(SUMIF($E$222:H222,"&lt;&gt;",$E$218:H218)/SUM($E$222:H222),"")</f>
        <v/>
      </c>
      <c r="I221" s="43">
        <f>IFERROR(SUMIF($E$222:I222,"&lt;&gt;",$E$218:I218)/SUM($E$222:I222),"")</f>
        <v/>
      </c>
      <c r="J221" s="43">
        <f>IFERROR(SUMIF($E$222:J222,"&lt;&gt;",$E$218:J218)/SUM($E$222:J222),"")</f>
        <v/>
      </c>
      <c r="K221" s="43">
        <f>IFERROR(SUMIF($E$222:K222,"&lt;&gt;",$E$218:K218)/SUM($E$222:K222),"")</f>
        <v/>
      </c>
      <c r="L221" s="43">
        <f>IFERROR(SUMIF($E$222:L222,"&lt;&gt;",$E$218:L218)/SUM($E$222:L222),"")</f>
        <v/>
      </c>
      <c r="M221" s="43">
        <f>IFERROR(SUMIF($E$222:M222,"&lt;&gt;",$E$218:M218)/SUM($E$222:M222),"")</f>
        <v/>
      </c>
      <c r="N221" s="43">
        <f>IFERROR(SUMIF($E$222:N222,"&lt;&gt;",$E$218:N218)/SUM($E$222:N222),"")</f>
        <v/>
      </c>
      <c r="O221" s="43">
        <f>IFERROR(SUMIF($E$222:O222,"&lt;&gt;",$E$218:O218)/SUM($E$222:O222),"")</f>
        <v/>
      </c>
      <c r="P221" s="43">
        <f>IFERROR(SUMIF($E$222:P222,"&lt;&gt;",$E$218:P218)/SUM($E$222:P222),"")</f>
        <v/>
      </c>
      <c r="Q221" s="43">
        <f>IFERROR(SUMIF($E$222:Q222,"&lt;&gt;",$E$218:Q218)/SUM($E$222:Q222),"")</f>
        <v/>
      </c>
      <c r="R221" s="43">
        <f>IFERROR(SUMIF($E$222:R222,"&lt;&gt;",$E$218:R218)/SUM($E$222:R222),"")</f>
        <v/>
      </c>
      <c r="S221" s="43">
        <f>IFERROR(SUMIF($E$222:S222,"&lt;&gt;",$E$218:S218)/SUM($E$222:S222),"")</f>
        <v/>
      </c>
      <c r="T221" s="43">
        <f>IFERROR(SUMIF($E$222:T222,"&lt;&gt;",$E$218:T218)/SUM($E$222:T222),"")</f>
        <v/>
      </c>
      <c r="U221" s="43">
        <f>IFERROR(SUMIF($E$222:U222,"&lt;&gt;",$E$218:U218)/SUM($E$222:U222),"")</f>
        <v/>
      </c>
      <c r="V221" s="43">
        <f>IFERROR(SUMIF($E$222:V222,"&lt;&gt;",$E$218:V218)/SUM($E$222:V222),"")</f>
        <v/>
      </c>
      <c r="W221" s="43">
        <f>IFERROR(SUMIF($E$222:W222,"&lt;&gt;",$E$218:W218)/SUM($E$222:W222),"")</f>
        <v/>
      </c>
      <c r="X221" s="43">
        <f>IFERROR(SUMIF($E$222:X222,"&lt;&gt;",$E$218:X218)/SUM($E$222:X222),"")</f>
        <v/>
      </c>
      <c r="Y221" s="43">
        <f>IFERROR(SUMIF($E$222:Y222,"&lt;&gt;",$E$218:Y218)/SUM($E$222:Y222),"")</f>
        <v/>
      </c>
      <c r="Z221" s="43">
        <f>IFERROR(SUMIF($E$222:Z222,"&lt;&gt;",$E$218:Z218)/SUM($E$222:Z222),"")</f>
        <v/>
      </c>
      <c r="AA221" s="43">
        <f>IFERROR(SUMIF($E$222:AA222,"&lt;&gt;",$E$218:AA218)/SUM($E$222:AA222),"")</f>
        <v/>
      </c>
      <c r="AB221" s="43">
        <f>IFERROR(SUMIF($E$222:AB222,"&lt;&gt;",$E$218:AB218)/SUM($E$222:AB222),"")</f>
        <v/>
      </c>
      <c r="AC221" s="43" t="n"/>
      <c r="AD221" s="43" t="n"/>
      <c r="AE221" s="43" t="n"/>
      <c r="AF221" s="43" t="n"/>
      <c r="AG221" s="43" t="n"/>
      <c r="AH221" s="43" t="n"/>
      <c r="AI221" s="43" t="n"/>
      <c r="AJ221" s="43" t="n"/>
      <c r="AK221" s="43" t="n"/>
      <c r="AL221" s="43" t="n"/>
      <c r="AM221" s="43" t="n"/>
      <c r="AN221" s="43" t="n"/>
      <c r="AO221" s="43" t="n"/>
      <c r="AP221" s="43" t="n"/>
      <c r="AQ221" s="43" t="n"/>
      <c r="AR221" s="43" t="n"/>
      <c r="AS221" s="43" t="n"/>
      <c r="AT221" s="43" t="n"/>
      <c r="AU221" s="43" t="n"/>
      <c r="AV221" s="43" t="n"/>
      <c r="AW221" s="43" t="n"/>
      <c r="AX221" s="43" t="n"/>
      <c r="AY221" s="43" t="n"/>
      <c r="AZ221" s="43" t="n"/>
      <c r="BA221" s="43" t="n"/>
      <c r="BB221" s="43" t="n"/>
      <c r="BC221" s="43" t="n"/>
      <c r="BD221" s="43" t="n"/>
    </row>
    <row r="222" customFormat="1" s="13">
      <c r="A222" s="12" t="n"/>
      <c r="B222" s="13" t="inlineStr">
        <is>
          <t>Target</t>
        </is>
      </c>
      <c r="D222" s="14" t="inlineStr">
        <is>
          <t>#</t>
        </is>
      </c>
      <c r="E222" s="44" t="n"/>
      <c r="F222" s="44" t="n">
        <v>6299</v>
      </c>
      <c r="G222" s="44" t="n">
        <v>3542</v>
      </c>
      <c r="H222" s="44" t="n">
        <v>3136</v>
      </c>
      <c r="I222" s="44" t="n">
        <v>2995</v>
      </c>
      <c r="J222" s="44" t="n">
        <v>3429</v>
      </c>
      <c r="K222" s="44" t="n">
        <v>3278</v>
      </c>
      <c r="L222" s="44" t="n">
        <v>3175</v>
      </c>
      <c r="M222" s="44" t="n">
        <v>3265</v>
      </c>
      <c r="N222" s="44" t="n">
        <v>2659</v>
      </c>
      <c r="O222" s="44" t="n">
        <v>2692</v>
      </c>
      <c r="P222" s="44" t="n">
        <v>2582</v>
      </c>
      <c r="Q222" s="44" t="n">
        <v>6251</v>
      </c>
      <c r="R222" s="44" t="n">
        <v>2516</v>
      </c>
      <c r="S222" s="44" t="n">
        <v>3264</v>
      </c>
      <c r="T222" s="44" t="n">
        <v>2846</v>
      </c>
      <c r="U222" s="44" t="n">
        <v>2850</v>
      </c>
      <c r="V222" s="44" t="n">
        <v>2780</v>
      </c>
      <c r="W222" s="44" t="n">
        <v>1866</v>
      </c>
      <c r="X222" s="44" t="n">
        <v>5691</v>
      </c>
      <c r="Y222" s="44" t="n">
        <v>5701</v>
      </c>
      <c r="Z222" s="44" t="n">
        <v>2372</v>
      </c>
      <c r="AA222" s="44" t="n">
        <v>2364</v>
      </c>
      <c r="AB222" s="44" t="n">
        <v>2343</v>
      </c>
      <c r="AC222" s="44" t="n"/>
      <c r="AD222" s="44" t="n"/>
      <c r="AE222" s="44" t="n"/>
      <c r="AF222" s="44" t="n"/>
      <c r="AG222" s="44" t="n"/>
      <c r="AH222" s="44" t="n"/>
      <c r="AI222" s="44" t="n"/>
      <c r="AJ222" s="44" t="n"/>
      <c r="AK222" s="44" t="n"/>
      <c r="AL222" s="44" t="n"/>
      <c r="AM222" s="44" t="n"/>
      <c r="AN222" s="44" t="n"/>
      <c r="AO222" s="44" t="n"/>
      <c r="AP222" s="44" t="n"/>
      <c r="AQ222" s="44" t="n"/>
      <c r="AR222" s="44" t="n"/>
      <c r="AS222" s="44" t="n"/>
      <c r="AT222" s="44" t="n"/>
      <c r="AU222" s="44" t="n"/>
      <c r="AV222" s="44" t="n"/>
      <c r="AW222" s="44" t="n"/>
      <c r="AX222" s="44" t="n"/>
      <c r="AY222" s="44" t="n"/>
      <c r="AZ222" s="44" t="n"/>
      <c r="BA222" s="44" t="n"/>
      <c r="BB222" s="44" t="n"/>
      <c r="BC222" s="44" t="n"/>
      <c r="BD222" s="44" t="n"/>
    </row>
    <row r="223">
      <c r="C223" s="11" t="inlineStr">
        <is>
          <t xml:space="preserve">Cam </t>
        </is>
      </c>
      <c r="D223" s="6" t="inlineStr">
        <is>
          <t>#</t>
        </is>
      </c>
      <c r="E223" s="41" t="n">
        <v>2914</v>
      </c>
      <c r="F223" s="41" t="n">
        <v>2338</v>
      </c>
      <c r="G223" s="41" t="n">
        <v>2777</v>
      </c>
      <c r="H223" s="41" t="n">
        <v>2627</v>
      </c>
      <c r="I223" s="41" t="n">
        <v>2722</v>
      </c>
      <c r="J223" s="41" t="n">
        <v>1940</v>
      </c>
      <c r="K223" s="41" t="n">
        <v>2448</v>
      </c>
      <c r="L223" s="41" t="n">
        <v>4336</v>
      </c>
      <c r="M223" s="41" t="n">
        <v>5136</v>
      </c>
      <c r="N223" s="41" t="n">
        <v>2395</v>
      </c>
      <c r="O223" s="41" t="n">
        <v>2079</v>
      </c>
      <c r="P223" s="41" t="n">
        <v>3265</v>
      </c>
      <c r="Q223" s="41" t="n">
        <v>3463</v>
      </c>
      <c r="R223" s="41" t="n">
        <v>2135</v>
      </c>
      <c r="S223" s="41" t="n">
        <v>1398</v>
      </c>
      <c r="T223" s="41" t="n">
        <v>3130</v>
      </c>
      <c r="U223" s="41" t="n">
        <v>2591</v>
      </c>
      <c r="V223" s="41" t="n">
        <v>2255</v>
      </c>
      <c r="W223" s="41" t="n">
        <v>1183</v>
      </c>
      <c r="X223" s="41" t="n">
        <v>1244</v>
      </c>
      <c r="Y223" s="41" t="n">
        <v>1931</v>
      </c>
      <c r="Z223" s="41" t="n">
        <v>2519</v>
      </c>
      <c r="AA223" s="41" t="n">
        <v>1235</v>
      </c>
      <c r="AB223" s="41" t="n">
        <v>1040</v>
      </c>
      <c r="AC223" s="41" t="n"/>
      <c r="AD223" s="41" t="n"/>
      <c r="AE223" s="41" t="n"/>
      <c r="AF223" s="41" t="n"/>
      <c r="AG223" s="41" t="n"/>
      <c r="AH223" s="41" t="n"/>
      <c r="AI223" s="41" t="n"/>
      <c r="AJ223" s="41" t="n"/>
      <c r="AK223" s="41" t="n"/>
      <c r="AL223" s="41" t="n"/>
      <c r="AM223" s="41" t="n"/>
      <c r="AN223" s="41" t="n"/>
      <c r="AO223" s="41" t="n"/>
      <c r="AP223" s="41" t="n"/>
      <c r="AQ223" s="41" t="n"/>
      <c r="AR223" s="41" t="n"/>
      <c r="AS223" s="41" t="n"/>
      <c r="AT223" s="41" t="n"/>
      <c r="AU223" s="41" t="n"/>
      <c r="AV223" s="41" t="n"/>
      <c r="AW223" s="41" t="n"/>
      <c r="AX223" s="41" t="n"/>
      <c r="AY223" s="41" t="n"/>
      <c r="AZ223" s="41" t="n"/>
      <c r="BA223" s="41" t="n"/>
      <c r="BB223" s="41" t="n"/>
      <c r="BC223" s="41" t="n"/>
      <c r="BD223" s="41" t="n"/>
    </row>
    <row r="224">
      <c r="C224" s="11" t="inlineStr">
        <is>
          <t>Non Cam</t>
        </is>
      </c>
      <c r="D224" s="6" t="inlineStr">
        <is>
          <t>#</t>
        </is>
      </c>
      <c r="E224" s="41" t="n">
        <v>2987</v>
      </c>
      <c r="F224" s="41" t="n">
        <v>2067</v>
      </c>
      <c r="G224" s="41" t="n">
        <v>1776</v>
      </c>
      <c r="H224" s="41" t="n">
        <v>1846</v>
      </c>
      <c r="I224" s="41" t="n">
        <v>1980</v>
      </c>
      <c r="J224" s="41" t="n">
        <v>1507</v>
      </c>
      <c r="K224" s="41" t="n">
        <v>1516</v>
      </c>
      <c r="L224" s="41" t="n">
        <v>2546</v>
      </c>
      <c r="M224" s="41" t="n">
        <v>3021</v>
      </c>
      <c r="N224" s="41" t="n">
        <v>2012</v>
      </c>
      <c r="O224" s="41" t="n">
        <v>1721</v>
      </c>
      <c r="P224" s="41" t="n">
        <v>2482</v>
      </c>
      <c r="Q224" s="41" t="n">
        <v>2718</v>
      </c>
      <c r="R224" s="41" t="n">
        <v>2107</v>
      </c>
      <c r="S224" s="41" t="n">
        <v>1755</v>
      </c>
      <c r="T224" s="41" t="n">
        <v>1735</v>
      </c>
      <c r="U224" s="41" t="n">
        <v>2175</v>
      </c>
      <c r="V224" s="41" t="n">
        <v>2882</v>
      </c>
      <c r="W224" s="41" t="n">
        <v>1060</v>
      </c>
      <c r="X224" s="41" t="n">
        <v>1225</v>
      </c>
      <c r="Y224" s="41" t="n">
        <v>1865</v>
      </c>
      <c r="Z224" s="41" t="n">
        <v>2343</v>
      </c>
      <c r="AA224" s="41" t="n">
        <v>1512</v>
      </c>
      <c r="AB224" s="41" t="n">
        <v>1110</v>
      </c>
      <c r="AC224" s="41" t="n"/>
      <c r="AD224" s="41" t="n"/>
      <c r="AE224" s="41" t="n"/>
      <c r="AF224" s="41" t="n"/>
      <c r="AG224" s="41" t="n"/>
      <c r="AH224" s="41" t="n"/>
      <c r="AI224" s="41" t="n"/>
      <c r="AJ224" s="41" t="n"/>
      <c r="AK224" s="41" t="n"/>
      <c r="AL224" s="41" t="n"/>
      <c r="AM224" s="41" t="n"/>
      <c r="AN224" s="41" t="n"/>
      <c r="AO224" s="41" t="n"/>
      <c r="AP224" s="41" t="n"/>
      <c r="AQ224" s="41" t="n"/>
      <c r="AR224" s="41" t="n"/>
      <c r="AS224" s="41" t="n"/>
      <c r="AT224" s="41" t="n"/>
      <c r="AU224" s="41" t="n"/>
      <c r="AV224" s="41" t="n"/>
      <c r="AW224" s="41" t="n"/>
      <c r="AX224" s="41" t="n"/>
      <c r="AY224" s="41" t="n"/>
      <c r="AZ224" s="41" t="n"/>
      <c r="BA224" s="41" t="n"/>
      <c r="BB224" s="41" t="n"/>
      <c r="BC224" s="41" t="n"/>
      <c r="BD224" s="41" t="n"/>
    </row>
    <row r="225">
      <c r="C225" s="6" t="n"/>
    </row>
    <row r="226" customFormat="1" s="40">
      <c r="A226" s="40" t="inlineStr">
        <is>
          <t xml:space="preserve">Promo </t>
        </is>
      </c>
      <c r="D226" s="24" t="inlineStr">
        <is>
          <t>$k</t>
        </is>
      </c>
      <c r="E226" s="42" t="n">
        <v>44.67041</v>
      </c>
      <c r="F226" s="42" t="n">
        <v>22.18212</v>
      </c>
      <c r="G226" s="42" t="n">
        <v>29.00855</v>
      </c>
      <c r="H226" s="42" t="n">
        <v>29.42086</v>
      </c>
      <c r="I226" s="42" t="n">
        <v>35.08533</v>
      </c>
      <c r="J226" s="42" t="n">
        <v>8.85036</v>
      </c>
      <c r="K226" s="42" t="n">
        <v>17.51459</v>
      </c>
      <c r="L226" s="42" t="n">
        <v>48.73032</v>
      </c>
      <c r="M226" s="42" t="n">
        <v>57.54705000000001</v>
      </c>
      <c r="N226" s="42" t="n">
        <v>16.11398</v>
      </c>
      <c r="O226" s="42" t="n">
        <v>7.36188</v>
      </c>
      <c r="P226" s="42" t="n">
        <v>34.55707</v>
      </c>
      <c r="Q226" s="42" t="n">
        <v>48.75215</v>
      </c>
      <c r="R226" s="42" t="n">
        <v>18.90543</v>
      </c>
      <c r="S226" s="42" t="n">
        <v>4.91811</v>
      </c>
      <c r="T226" s="42" t="n">
        <v>15.30413</v>
      </c>
      <c r="U226" s="42" t="n">
        <v>32.61127</v>
      </c>
      <c r="V226" s="42" t="n">
        <v>42.59935</v>
      </c>
      <c r="W226" s="42" t="n">
        <v>4.751390000000001</v>
      </c>
      <c r="X226" s="42" t="n">
        <v>4.0914</v>
      </c>
      <c r="Y226" s="42" t="n">
        <v>29.69274</v>
      </c>
      <c r="Z226" s="42" t="n">
        <v>39.31711</v>
      </c>
      <c r="AA226" s="42" t="n">
        <v>5.78569</v>
      </c>
      <c r="AB226" s="42" t="n">
        <v>1.12982</v>
      </c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</row>
    <row r="227" ht="15.75" customFormat="1" customHeight="1" s="40">
      <c r="B227" s="31" t="inlineStr">
        <is>
          <t>Finance Actuals (Monthly)</t>
        </is>
      </c>
      <c r="D227" s="32" t="inlineStr">
        <is>
          <t>$k</t>
        </is>
      </c>
      <c r="E227" s="41" t="n"/>
      <c r="F227" s="41" t="n"/>
      <c r="G227" s="41" t="n"/>
      <c r="H227" s="41" t="n">
        <v>131.2552</v>
      </c>
      <c r="I227" s="41" t="n"/>
      <c r="J227" s="41" t="n"/>
      <c r="K227" s="41" t="n"/>
      <c r="L227" s="41" t="n">
        <v>109.74642</v>
      </c>
      <c r="M227" s="41" t="n"/>
      <c r="N227" s="41" t="n"/>
      <c r="O227" s="41" t="n"/>
      <c r="P227" s="41" t="n"/>
      <c r="Q227" s="41" t="n">
        <v>156.62207</v>
      </c>
      <c r="R227" s="41" t="n"/>
      <c r="S227" s="41" t="n"/>
      <c r="T227" s="41" t="n"/>
      <c r="U227" s="41" t="n">
        <v>101.05282</v>
      </c>
      <c r="V227" s="41" t="n"/>
      <c r="W227" s="41" t="n"/>
      <c r="X227" s="41" t="n"/>
      <c r="Y227" s="41" t="n"/>
      <c r="Z227" s="41" t="n">
        <v>112.06002</v>
      </c>
      <c r="AA227" s="41" t="n"/>
      <c r="AB227" s="41" t="n"/>
      <c r="AC227" s="41" t="n"/>
      <c r="AD227" s="41" t="n"/>
      <c r="AE227" s="41" t="n"/>
      <c r="AF227" s="41" t="n"/>
      <c r="AG227" s="41" t="n"/>
      <c r="AH227" s="41" t="n"/>
      <c r="AI227" s="41" t="n"/>
      <c r="AJ227" s="41" t="n"/>
      <c r="AK227" s="41" t="n"/>
      <c r="AL227" s="41" t="n"/>
      <c r="AM227" s="41" t="n"/>
      <c r="AN227" s="41" t="n"/>
      <c r="AO227" s="41" t="n"/>
      <c r="AP227" s="41" t="n"/>
      <c r="AQ227" s="41" t="n"/>
      <c r="AR227" s="41" t="n"/>
      <c r="AS227" s="41" t="n"/>
      <c r="AT227" s="41" t="n"/>
      <c r="AU227" s="41" t="n"/>
      <c r="AV227" s="41" t="n"/>
      <c r="AW227" s="41" t="n"/>
      <c r="AX227" s="41" t="n"/>
      <c r="AY227" s="41" t="n"/>
      <c r="AZ227" s="41" t="n"/>
      <c r="BA227" s="41" t="n"/>
      <c r="BB227" s="41" t="n"/>
      <c r="BC227" s="41" t="n"/>
      <c r="BD227" s="41" t="n"/>
    </row>
    <row r="228" customFormat="1" s="9">
      <c r="B228" s="9" t="inlineStr">
        <is>
          <t>Budgeted (Monthly)</t>
        </is>
      </c>
      <c r="D228" s="10" t="inlineStr">
        <is>
          <t>$k</t>
        </is>
      </c>
      <c r="E228" s="44" t="n"/>
      <c r="F228" s="44" t="n"/>
      <c r="G228" s="44" t="n"/>
      <c r="H228" s="44" t="n">
        <v>66.67209603489979</v>
      </c>
      <c r="I228" s="44" t="n"/>
      <c r="J228" s="44" t="n"/>
      <c r="K228" s="44" t="n"/>
      <c r="L228" s="44" t="n">
        <v>51.59123322641948</v>
      </c>
      <c r="M228" s="44" t="n"/>
      <c r="N228" s="44" t="n"/>
      <c r="O228" s="44" t="n"/>
      <c r="P228" s="44" t="n"/>
      <c r="Q228" s="44" t="n">
        <v>52.69869839668941</v>
      </c>
      <c r="R228" s="44" t="n"/>
      <c r="S228" s="44" t="n"/>
      <c r="T228" s="44" t="n"/>
      <c r="U228" s="44" t="n">
        <v>41.65774272207034</v>
      </c>
      <c r="V228" s="44" t="n"/>
      <c r="W228" s="44" t="n"/>
      <c r="X228" s="44" t="n"/>
      <c r="Y228" s="44" t="n"/>
      <c r="Z228" s="44" t="n">
        <v>58.97775773556774</v>
      </c>
      <c r="AA228" s="44" t="n"/>
      <c r="AB228" s="44" t="n"/>
      <c r="AC228" s="44" t="n"/>
      <c r="AD228" s="44" t="n">
        <v>54.02665873645324</v>
      </c>
      <c r="AE228" s="44" t="n"/>
      <c r="AF228" s="44" t="n"/>
      <c r="AG228" s="44" t="n"/>
      <c r="AH228" s="44" t="n">
        <v>100.7972372036713</v>
      </c>
      <c r="AI228" s="44" t="n"/>
      <c r="AJ228" s="44" t="n"/>
      <c r="AK228" s="44" t="n"/>
      <c r="AL228" s="44" t="n"/>
      <c r="AM228" s="44" t="n">
        <v>45.90416509779239</v>
      </c>
      <c r="AN228" s="44" t="n"/>
      <c r="AO228" s="44" t="n"/>
      <c r="AP228" s="44" t="n"/>
      <c r="AQ228" s="44" t="n">
        <v>68.32736876380628</v>
      </c>
      <c r="AR228" s="44" t="n"/>
      <c r="AS228" s="44" t="n"/>
      <c r="AT228" s="44" t="n"/>
      <c r="AU228" s="44" t="n">
        <v>170.7816230303037</v>
      </c>
      <c r="AV228" s="44" t="n"/>
      <c r="AW228" s="44" t="n"/>
      <c r="AX228" s="44" t="n"/>
      <c r="AY228" s="44" t="n"/>
      <c r="AZ228" s="44" t="n">
        <v>196.0246219502299</v>
      </c>
      <c r="BA228" s="44" t="n"/>
      <c r="BB228" s="44" t="n"/>
      <c r="BC228" s="44" t="n"/>
      <c r="BD228" s="44" t="n">
        <v>77.67697508665465</v>
      </c>
    </row>
    <row r="229" ht="15.75" customHeight="1">
      <c r="B229" s="7" t="inlineStr">
        <is>
          <t>As % of budget - this month</t>
        </is>
      </c>
      <c r="D229" s="17" t="inlineStr">
        <is>
          <t>%</t>
        </is>
      </c>
      <c r="E229" s="43" t="n"/>
      <c r="F229" s="43" t="n"/>
      <c r="G229" s="43" t="n"/>
      <c r="H229" s="43">
        <f>IFERROR(SUM(E226:H226)/H228,"")</f>
        <v/>
      </c>
      <c r="I229" s="43" t="n"/>
      <c r="J229" s="43" t="n"/>
      <c r="K229" s="43" t="n"/>
      <c r="L229" s="43">
        <f>IFERROR(SUM(I226:L226)/L228,"")</f>
        <v/>
      </c>
      <c r="M229" s="43" t="n"/>
      <c r="N229" s="43" t="n"/>
      <c r="O229" s="43" t="n"/>
      <c r="P229" s="43" t="n"/>
      <c r="Q229" s="43">
        <f>IFERROR(SUM(M226:Q226)/Q228,"")</f>
        <v/>
      </c>
      <c r="R229" s="43" t="n"/>
      <c r="S229" s="43" t="n"/>
      <c r="T229" s="43" t="n"/>
      <c r="U229" s="43">
        <f>IFERROR(SUM(R226:U226)/U228,"")</f>
        <v/>
      </c>
      <c r="V229" s="43" t="n"/>
      <c r="W229" s="43" t="n"/>
      <c r="X229" s="43" t="n"/>
      <c r="Y229" s="43" t="n"/>
      <c r="Z229" s="43">
        <f>IFERROR(SUM(V226:Z226)/Z228,"")</f>
        <v/>
      </c>
      <c r="AA229" s="43" t="n"/>
      <c r="AB229" s="43" t="n"/>
      <c r="AC229" s="43" t="n"/>
      <c r="AD229" s="43" t="n"/>
      <c r="AE229" s="43" t="n"/>
      <c r="AF229" s="43" t="n"/>
      <c r="AG229" s="43" t="n"/>
      <c r="AH229" s="43" t="n"/>
      <c r="AI229" s="43" t="n"/>
      <c r="AJ229" s="43" t="n"/>
      <c r="AK229" s="43" t="n"/>
      <c r="AL229" s="43" t="n"/>
      <c r="AM229" s="43" t="n"/>
      <c r="AN229" s="43" t="n"/>
      <c r="AO229" s="43" t="n"/>
      <c r="AP229" s="43" t="n"/>
      <c r="AQ229" s="43" t="n"/>
      <c r="AR229" s="43" t="n"/>
      <c r="AS229" s="43" t="n"/>
      <c r="AT229" s="43" t="n"/>
      <c r="AU229" s="43" t="n"/>
      <c r="AV229" s="43" t="n"/>
      <c r="AW229" s="43" t="n"/>
      <c r="AX229" s="43" t="n"/>
      <c r="AY229" s="43" t="n"/>
      <c r="AZ229" s="43" t="n"/>
      <c r="BA229" s="43" t="n"/>
      <c r="BB229" s="43" t="n"/>
      <c r="BC229" s="43" t="n"/>
      <c r="BD229" s="43" t="n"/>
    </row>
    <row r="230" ht="15.75" customHeight="1">
      <c r="B230" s="7" t="inlineStr">
        <is>
          <t>As % of quarterly budget (QTD)</t>
        </is>
      </c>
      <c r="D230" s="17" t="inlineStr">
        <is>
          <t>%</t>
        </is>
      </c>
      <c r="E230" s="43" t="n"/>
      <c r="F230" s="43" t="n"/>
      <c r="G230" s="43" t="n"/>
      <c r="H230" s="43">
        <f>IFERROR(SUM(E226:H226)/(H228+L228+Q228),"")</f>
        <v/>
      </c>
      <c r="I230" s="43" t="n"/>
      <c r="J230" s="43" t="n"/>
      <c r="K230" s="43" t="n"/>
      <c r="L230" s="43">
        <f>IFERROR(SUM(E226:L226)/(H228+L228+Q228),"")</f>
        <v/>
      </c>
      <c r="M230" s="43" t="n"/>
      <c r="N230" s="43" t="n"/>
      <c r="O230" s="43" t="n"/>
      <c r="P230" s="43" t="n"/>
      <c r="Q230" s="43">
        <f>IFERROR(SUM(E226:Q226)/(H228+L228+Q228),"")</f>
        <v/>
      </c>
      <c r="R230" s="43" t="n"/>
      <c r="S230" s="43" t="n"/>
      <c r="T230" s="43" t="n"/>
      <c r="U230" s="43">
        <f>IFERROR(SUM(R226:U226)/(U228+Z228+AD228),"")</f>
        <v/>
      </c>
      <c r="V230" s="43" t="n"/>
      <c r="W230" s="43" t="n"/>
      <c r="X230" s="43" t="n"/>
      <c r="Y230" s="43" t="n"/>
      <c r="Z230" s="43">
        <f>IFERROR(SUM(R226:Z226)/(U228+Z228+AD228),"")</f>
        <v/>
      </c>
      <c r="AA230" s="43" t="n"/>
      <c r="AB230" s="43" t="n"/>
      <c r="AC230" s="43" t="n"/>
      <c r="AD230" s="43" t="n"/>
      <c r="AE230" s="43" t="n"/>
      <c r="AF230" s="43" t="n"/>
      <c r="AG230" s="43" t="n"/>
      <c r="AH230" s="43" t="n"/>
      <c r="AI230" s="43" t="n"/>
      <c r="AJ230" s="43" t="n"/>
      <c r="AK230" s="43" t="n"/>
      <c r="AL230" s="43" t="n"/>
      <c r="AM230" s="43" t="n"/>
      <c r="AN230" s="43" t="n"/>
      <c r="AO230" s="43" t="n"/>
      <c r="AP230" s="43" t="n"/>
      <c r="AQ230" s="43" t="n"/>
      <c r="AR230" s="43" t="n"/>
      <c r="AS230" s="43" t="n"/>
      <c r="AT230" s="43" t="n"/>
      <c r="AU230" s="43" t="n"/>
      <c r="AV230" s="43" t="n"/>
      <c r="AW230" s="43" t="n"/>
      <c r="AX230" s="43" t="n"/>
      <c r="AY230" s="43" t="n"/>
      <c r="AZ230" s="43" t="n"/>
      <c r="BA230" s="43" t="n"/>
      <c r="BB230" s="43" t="n"/>
      <c r="BC230" s="43" t="n"/>
      <c r="BD230" s="43" t="n"/>
    </row>
    <row r="231" ht="15.75" customHeight="1">
      <c r="B231" s="7" t="inlineStr">
        <is>
          <t>As % of annual budget (YTD)</t>
        </is>
      </c>
      <c r="D231" s="17" t="inlineStr">
        <is>
          <t>%</t>
        </is>
      </c>
      <c r="E231" s="43" t="n"/>
      <c r="F231" s="43" t="n"/>
      <c r="G231" s="43" t="n"/>
      <c r="H231" s="43">
        <f>IFERROR(SUM($E$226:H226)/SUM($E$228:BD228),"")</f>
        <v/>
      </c>
      <c r="I231" s="43" t="n"/>
      <c r="J231" s="43" t="n"/>
      <c r="K231" s="43" t="n"/>
      <c r="L231" s="43">
        <f>IFERROR(SUM($E$226:L226)/SUM($E$228:BD228),"")</f>
        <v/>
      </c>
      <c r="M231" s="43" t="n"/>
      <c r="N231" s="43" t="n"/>
      <c r="O231" s="43" t="n"/>
      <c r="P231" s="43" t="n"/>
      <c r="Q231" s="43">
        <f>IFERROR(SUM($E$226:Q226)/SUM($E$228:BD228),"")</f>
        <v/>
      </c>
      <c r="R231" s="43" t="n"/>
      <c r="S231" s="43" t="n"/>
      <c r="T231" s="43" t="n"/>
      <c r="U231" s="43">
        <f>IFERROR(SUM($E$226:U226)/SUM($E$228:BD228),"")</f>
        <v/>
      </c>
      <c r="V231" s="43" t="n"/>
      <c r="W231" s="43" t="n"/>
      <c r="X231" s="43" t="n"/>
      <c r="Y231" s="43" t="n"/>
      <c r="Z231" s="43">
        <f>IFERROR(SUM($E$226:Z226)/SUM($E$228:BD228),"")</f>
        <v/>
      </c>
      <c r="AA231" s="43" t="n"/>
      <c r="AB231" s="43" t="n"/>
      <c r="AC231" s="43" t="n"/>
      <c r="AD231" s="43" t="n"/>
      <c r="AE231" s="43" t="n"/>
      <c r="AF231" s="43" t="n"/>
      <c r="AG231" s="43" t="n"/>
      <c r="AH231" s="43" t="n"/>
      <c r="AI231" s="43" t="n"/>
      <c r="AJ231" s="43" t="n"/>
      <c r="AK231" s="43" t="n"/>
      <c r="AL231" s="43" t="n"/>
      <c r="AM231" s="43" t="n"/>
      <c r="AN231" s="43" t="n"/>
      <c r="AO231" s="43" t="n"/>
      <c r="AP231" s="43" t="n"/>
      <c r="AQ231" s="43" t="n"/>
      <c r="AR231" s="43" t="n"/>
      <c r="AS231" s="43" t="n"/>
      <c r="AT231" s="43" t="n"/>
      <c r="AU231" s="43" t="n"/>
      <c r="AV231" s="43" t="n"/>
      <c r="AW231" s="43" t="n"/>
      <c r="AX231" s="43" t="n"/>
      <c r="AY231" s="43" t="n"/>
      <c r="AZ231" s="43" t="n"/>
      <c r="BA231" s="43" t="n"/>
      <c r="BB231" s="43" t="n"/>
      <c r="BC231" s="43" t="n"/>
      <c r="BD231" s="43" t="n"/>
    </row>
    <row r="232"/>
    <row r="233" ht="15.75" customHeight="1">
      <c r="A233" s="40" t="inlineStr">
        <is>
          <t>Total Marketing</t>
        </is>
      </c>
      <c r="B233" s="40" t="n"/>
      <c r="C233" s="40" t="n"/>
      <c r="D233" s="24" t="inlineStr">
        <is>
          <t>$k</t>
        </is>
      </c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</row>
    <row r="234" ht="15.75" customHeight="1">
      <c r="A234" s="40" t="n"/>
      <c r="B234" s="31" t="inlineStr">
        <is>
          <t>Finance Actuals (Monthly)</t>
        </is>
      </c>
      <c r="C234" s="40" t="n"/>
      <c r="D234" s="32" t="inlineStr">
        <is>
          <t>$k</t>
        </is>
      </c>
      <c r="E234" s="41" t="n"/>
      <c r="F234" s="41" t="n"/>
      <c r="G234" s="41" t="n"/>
      <c r="H234" s="41" t="n">
        <v>399.33827</v>
      </c>
      <c r="I234" s="41" t="n"/>
      <c r="J234" s="41" t="n"/>
      <c r="K234" s="41" t="n"/>
      <c r="L234" s="41" t="n">
        <v>380.7085300000001</v>
      </c>
      <c r="M234" s="41" t="n"/>
      <c r="N234" s="41" t="n"/>
      <c r="O234" s="41" t="n"/>
      <c r="P234" s="41" t="n"/>
      <c r="Q234" s="41" t="n">
        <v>433.5556</v>
      </c>
      <c r="R234" s="41" t="n"/>
      <c r="S234" s="41" t="n"/>
      <c r="T234" s="41" t="n"/>
      <c r="U234" s="41" t="n">
        <v>334.68296</v>
      </c>
      <c r="V234" s="41" t="n"/>
      <c r="W234" s="41" t="n"/>
      <c r="X234" s="41" t="n"/>
      <c r="Y234" s="41" t="n"/>
      <c r="Z234" s="41" t="n">
        <v>269.32245</v>
      </c>
      <c r="AA234" s="41" t="n"/>
      <c r="AB234" s="41" t="n"/>
      <c r="AC234" s="41" t="n"/>
      <c r="AD234" s="41" t="n"/>
      <c r="AE234" s="41" t="n"/>
      <c r="AF234" s="41" t="n"/>
      <c r="AG234" s="41" t="n"/>
      <c r="AH234" s="41" t="n"/>
      <c r="AI234" s="41" t="n"/>
      <c r="AJ234" s="41" t="n"/>
      <c r="AK234" s="41" t="n"/>
      <c r="AL234" s="41" t="n"/>
      <c r="AM234" s="41" t="n"/>
      <c r="AN234" s="41" t="n"/>
      <c r="AO234" s="41" t="n"/>
      <c r="AP234" s="41" t="n"/>
      <c r="AQ234" s="41" t="n"/>
      <c r="AR234" s="41" t="n"/>
      <c r="AS234" s="41" t="n"/>
      <c r="AT234" s="41" t="n"/>
      <c r="AU234" s="41" t="n"/>
      <c r="AV234" s="41" t="n"/>
      <c r="AW234" s="41" t="n"/>
      <c r="AX234" s="41" t="n"/>
      <c r="AY234" s="41" t="n"/>
      <c r="AZ234" s="41" t="n"/>
      <c r="BA234" s="41" t="n"/>
      <c r="BB234" s="41" t="n"/>
      <c r="BC234" s="41" t="n"/>
      <c r="BD234" s="41" t="n"/>
    </row>
    <row r="235" ht="15.75" customHeight="1">
      <c r="B235" s="9" t="inlineStr">
        <is>
          <t>Budgeted (Monthly)</t>
        </is>
      </c>
      <c r="C235" s="9" t="n"/>
      <c r="D235" s="10" t="inlineStr">
        <is>
          <t>$k</t>
        </is>
      </c>
      <c r="E235" s="44" t="n"/>
      <c r="F235" s="44" t="n"/>
      <c r="G235" s="44" t="n"/>
      <c r="H235" s="44" t="n">
        <v>295.9560933359365</v>
      </c>
      <c r="I235" s="44" t="n"/>
      <c r="J235" s="44" t="n"/>
      <c r="K235" s="44" t="n"/>
      <c r="L235" s="44" t="n">
        <v>219.3000667644519</v>
      </c>
      <c r="M235" s="44" t="n"/>
      <c r="N235" s="44" t="n"/>
      <c r="O235" s="44" t="n"/>
      <c r="P235" s="44" t="n"/>
      <c r="Q235" s="44" t="n">
        <v>265.5773750184785</v>
      </c>
      <c r="R235" s="44" t="n"/>
      <c r="S235" s="44" t="n"/>
      <c r="T235" s="44" t="n"/>
      <c r="U235" s="44" t="n">
        <v>217.3890838352732</v>
      </c>
      <c r="V235" s="44" t="n"/>
      <c r="W235" s="44" t="n"/>
      <c r="X235" s="44" t="n"/>
      <c r="Y235" s="44" t="n"/>
      <c r="Z235" s="44" t="n">
        <v>289.681371037551</v>
      </c>
      <c r="AA235" s="44" t="n"/>
      <c r="AB235" s="44" t="n"/>
      <c r="AC235" s="44" t="n"/>
      <c r="AD235" s="44" t="n">
        <v>273.9896400778524</v>
      </c>
      <c r="AE235" s="44" t="n"/>
      <c r="AF235" s="44" t="n"/>
      <c r="AG235" s="44" t="n"/>
      <c r="AH235" s="44" t="n">
        <v>252.0133363922982</v>
      </c>
      <c r="AI235" s="44" t="n"/>
      <c r="AJ235" s="44" t="n"/>
      <c r="AK235" s="44" t="n"/>
      <c r="AL235" s="44" t="n"/>
      <c r="AM235" s="44" t="n">
        <v>240.4686353974666</v>
      </c>
      <c r="AN235" s="44" t="n"/>
      <c r="AO235" s="44" t="n"/>
      <c r="AP235" s="44" t="n"/>
      <c r="AQ235" s="44" t="n">
        <v>289.8586787320109</v>
      </c>
      <c r="AR235" s="44" t="n"/>
      <c r="AS235" s="44" t="n"/>
      <c r="AT235" s="44" t="n"/>
      <c r="AU235" s="44" t="n">
        <v>361.9244061024789</v>
      </c>
      <c r="AV235" s="44" t="n"/>
      <c r="AW235" s="44" t="n"/>
      <c r="AX235" s="44" t="n"/>
      <c r="AY235" s="44" t="n"/>
      <c r="AZ235" s="44" t="n">
        <v>414.496137509831</v>
      </c>
      <c r="BA235" s="44" t="n"/>
      <c r="BB235" s="44" t="n"/>
      <c r="BC235" s="44" t="n"/>
      <c r="BD235" s="44" t="n">
        <v>337.7219058087064</v>
      </c>
    </row>
    <row r="236" ht="15.75" customHeight="1">
      <c r="B236" s="7" t="inlineStr">
        <is>
          <t>As % of budget - this month</t>
        </is>
      </c>
      <c r="D236" s="17" t="inlineStr">
        <is>
          <t>%</t>
        </is>
      </c>
      <c r="E236" s="43" t="n"/>
      <c r="F236" s="43" t="n"/>
      <c r="G236" s="43" t="n"/>
      <c r="H236" s="43">
        <f>IFERROR(SUM(E234:H234)/H235,"")</f>
        <v/>
      </c>
      <c r="I236" s="43" t="n"/>
      <c r="J236" s="43" t="n"/>
      <c r="K236" s="43" t="n"/>
      <c r="L236" s="43">
        <f>IFERROR(SUM(I234:L234)/L235,"")</f>
        <v/>
      </c>
      <c r="M236" s="43" t="n"/>
      <c r="N236" s="43" t="n"/>
      <c r="O236" s="43" t="n"/>
      <c r="P236" s="43" t="n"/>
      <c r="Q236" s="43">
        <f>IFERROR(SUM(M234:Q234)/Q235,"")</f>
        <v/>
      </c>
      <c r="R236" s="43" t="n"/>
      <c r="S236" s="43" t="n"/>
      <c r="T236" s="43" t="n"/>
      <c r="U236" s="43">
        <f>IFERROR(SUM(R234:U234)/U235,"")</f>
        <v/>
      </c>
      <c r="V236" s="43" t="n"/>
      <c r="W236" s="43" t="n"/>
      <c r="X236" s="43" t="n"/>
      <c r="Y236" s="43" t="n"/>
      <c r="Z236" s="43">
        <f>IFERROR(SUM(V234:Z234)/Z235,"")</f>
        <v/>
      </c>
      <c r="AA236" s="43" t="n"/>
      <c r="AB236" s="43" t="n"/>
      <c r="AC236" s="43" t="n"/>
      <c r="AD236" s="43" t="n"/>
      <c r="AE236" s="43" t="n"/>
      <c r="AF236" s="43" t="n"/>
      <c r="AG236" s="43" t="n"/>
      <c r="AH236" s="43" t="n"/>
      <c r="AI236" s="43" t="n"/>
      <c r="AJ236" s="43" t="n"/>
      <c r="AK236" s="43" t="n"/>
      <c r="AL236" s="43" t="n"/>
      <c r="AM236" s="43" t="n"/>
      <c r="AN236" s="43" t="n"/>
      <c r="AO236" s="43" t="n"/>
      <c r="AP236" s="43" t="n"/>
      <c r="AQ236" s="43" t="n"/>
      <c r="AR236" s="43" t="n"/>
      <c r="AS236" s="43" t="n"/>
      <c r="AT236" s="43" t="n"/>
      <c r="AU236" s="43" t="n"/>
      <c r="AV236" s="43" t="n"/>
      <c r="AW236" s="43" t="n"/>
      <c r="AX236" s="43" t="n"/>
      <c r="AY236" s="43" t="n"/>
      <c r="AZ236" s="43" t="n"/>
      <c r="BA236" s="43" t="n"/>
      <c r="BB236" s="43" t="n"/>
      <c r="BC236" s="43" t="n"/>
      <c r="BD236" s="43" t="n"/>
    </row>
    <row r="237" ht="15.75" customHeight="1">
      <c r="B237" s="7" t="inlineStr">
        <is>
          <t>As % of quarterly budget (QTD)</t>
        </is>
      </c>
      <c r="D237" s="17" t="inlineStr">
        <is>
          <t>%</t>
        </is>
      </c>
      <c r="E237" s="43" t="n"/>
      <c r="F237" s="43" t="n"/>
      <c r="G237" s="43" t="n"/>
      <c r="H237" s="43">
        <f>IFERROR(SUM(E234:H234)/(H235+L235+Q235),"")</f>
        <v/>
      </c>
      <c r="I237" s="43" t="n"/>
      <c r="J237" s="43" t="n"/>
      <c r="K237" s="43" t="n"/>
      <c r="L237" s="43">
        <f>IFERROR(SUM(E234:L234)/(H235+L235+Q235),"")</f>
        <v/>
      </c>
      <c r="M237" s="43" t="n"/>
      <c r="N237" s="43" t="n"/>
      <c r="O237" s="43" t="n"/>
      <c r="P237" s="43" t="n"/>
      <c r="Q237" s="43">
        <f>IFERROR(SUM(E234:Q234)/(H235+L235+Q235),"")</f>
        <v/>
      </c>
      <c r="R237" s="43" t="n"/>
      <c r="S237" s="43" t="n"/>
      <c r="T237" s="43" t="n"/>
      <c r="U237" s="43">
        <f>IFERROR(SUM(R234:U234)/(U235+Z235+AD235),"")</f>
        <v/>
      </c>
      <c r="V237" s="43" t="n"/>
      <c r="W237" s="43" t="n"/>
      <c r="X237" s="43" t="n"/>
      <c r="Y237" s="43" t="n"/>
      <c r="Z237" s="43">
        <f>IFERROR(SUM(R234:Z234)/(U235+Z235+AD235),"")</f>
        <v/>
      </c>
      <c r="AA237" s="43" t="n"/>
      <c r="AB237" s="43" t="n"/>
      <c r="AC237" s="43" t="n"/>
      <c r="AD237" s="43" t="n"/>
      <c r="AE237" s="43" t="n"/>
      <c r="AF237" s="43" t="n"/>
      <c r="AG237" s="43" t="n"/>
      <c r="AH237" s="43" t="n"/>
      <c r="AI237" s="43" t="n"/>
      <c r="AJ237" s="43" t="n"/>
      <c r="AK237" s="43" t="n"/>
      <c r="AL237" s="43" t="n"/>
      <c r="AM237" s="43" t="n"/>
      <c r="AN237" s="43" t="n"/>
      <c r="AO237" s="43" t="n"/>
      <c r="AP237" s="43" t="n"/>
      <c r="AQ237" s="43" t="n"/>
      <c r="AR237" s="43" t="n"/>
      <c r="AS237" s="43" t="n"/>
      <c r="AT237" s="43" t="n"/>
      <c r="AU237" s="43" t="n"/>
      <c r="AV237" s="43" t="n"/>
      <c r="AW237" s="43" t="n"/>
      <c r="AX237" s="43" t="n"/>
      <c r="AY237" s="43" t="n"/>
      <c r="AZ237" s="43" t="n"/>
      <c r="BA237" s="43" t="n"/>
      <c r="BB237" s="43" t="n"/>
      <c r="BC237" s="43" t="n"/>
      <c r="BD237" s="43" t="n"/>
    </row>
    <row r="238" ht="15.75" customHeight="1">
      <c r="B238" s="7" t="inlineStr">
        <is>
          <t>As % of annual budget (YTD)</t>
        </is>
      </c>
      <c r="D238" s="17" t="inlineStr">
        <is>
          <t>%</t>
        </is>
      </c>
      <c r="E238" s="43" t="n"/>
      <c r="F238" s="43" t="n"/>
      <c r="G238" s="43" t="n"/>
      <c r="H238" s="43">
        <f>IFERROR(SUM($E$234:H234)/SUM($E$235:BD235),"")</f>
        <v/>
      </c>
      <c r="I238" s="43" t="n"/>
      <c r="J238" s="43" t="n"/>
      <c r="K238" s="43" t="n"/>
      <c r="L238" s="43">
        <f>IFERROR(SUM($E$234:L234)/SUM($E$235:BD235),"")</f>
        <v/>
      </c>
      <c r="M238" s="43" t="n"/>
      <c r="N238" s="43" t="n"/>
      <c r="O238" s="43" t="n"/>
      <c r="P238" s="43" t="n"/>
      <c r="Q238" s="43">
        <f>IFERROR(SUM($E$234:Q234)/SUM($E$235:BD235),"")</f>
        <v/>
      </c>
      <c r="R238" s="43" t="n"/>
      <c r="S238" s="43" t="n"/>
      <c r="T238" s="43" t="n"/>
      <c r="U238" s="43">
        <f>IFERROR(SUM($E$234:U234)/SUM($E$235:BD235),"")</f>
        <v/>
      </c>
      <c r="V238" s="43" t="n"/>
      <c r="W238" s="43" t="n"/>
      <c r="X238" s="43" t="n"/>
      <c r="Y238" s="43" t="n"/>
      <c r="Z238" s="43">
        <f>IFERROR(SUM($E$234:Z234)/SUM($E$235:BD235),"")</f>
        <v/>
      </c>
      <c r="AA238" s="43" t="n"/>
      <c r="AB238" s="43" t="n"/>
      <c r="AC238" s="43" t="n"/>
      <c r="AD238" s="43" t="n"/>
      <c r="AE238" s="43" t="n"/>
      <c r="AF238" s="43" t="n"/>
      <c r="AG238" s="43" t="n"/>
      <c r="AH238" s="43" t="n"/>
      <c r="AI238" s="43" t="n"/>
      <c r="AJ238" s="43" t="n"/>
      <c r="AK238" s="43" t="n"/>
      <c r="AL238" s="43" t="n"/>
      <c r="AM238" s="43" t="n"/>
      <c r="AN238" s="43" t="n"/>
      <c r="AO238" s="43" t="n"/>
      <c r="AP238" s="43" t="n"/>
      <c r="AQ238" s="43" t="n"/>
      <c r="AR238" s="43" t="n"/>
      <c r="AS238" s="43" t="n"/>
      <c r="AT238" s="43" t="n"/>
      <c r="AU238" s="43" t="n"/>
      <c r="AV238" s="43" t="n"/>
      <c r="AW238" s="43" t="n"/>
      <c r="AX238" s="43" t="n"/>
      <c r="AY238" s="43" t="n"/>
      <c r="AZ238" s="43" t="n"/>
      <c r="BA238" s="43" t="n"/>
      <c r="BB238" s="43" t="n"/>
      <c r="BC238" s="43" t="n"/>
      <c r="BD238" s="43" t="n"/>
    </row>
    <row r="239" ht="15.75" customHeight="1"/>
    <row r="240" customFormat="1" s="40">
      <c r="A240" s="40" t="inlineStr">
        <is>
          <t>Ads</t>
        </is>
      </c>
      <c r="D240" s="24" t="inlineStr">
        <is>
          <t>$k</t>
        </is>
      </c>
      <c r="E240" s="42" t="n">
        <v>54.4255</v>
      </c>
      <c r="F240" s="42" t="n">
        <v>38.51414</v>
      </c>
      <c r="G240" s="42" t="n">
        <v>36.04068</v>
      </c>
      <c r="H240" s="42" t="n">
        <v>39.34256</v>
      </c>
      <c r="I240" s="42" t="n">
        <v>47.3189</v>
      </c>
      <c r="J240" s="42" t="n">
        <v>26.57542</v>
      </c>
      <c r="K240" s="42" t="n">
        <v>28.53181</v>
      </c>
      <c r="L240" s="42" t="n">
        <v>53.06933</v>
      </c>
      <c r="M240" s="42" t="n">
        <v>74.18224000000001</v>
      </c>
      <c r="N240" s="42" t="n">
        <v>40.59018</v>
      </c>
      <c r="O240" s="42" t="n">
        <v>33.00131</v>
      </c>
      <c r="P240" s="42" t="n">
        <v>51.236</v>
      </c>
      <c r="Q240" s="42" t="n">
        <v>64.90655000000001</v>
      </c>
      <c r="R240" s="42" t="n">
        <v>37.60924</v>
      </c>
      <c r="S240" s="42" t="n">
        <v>26.63017</v>
      </c>
      <c r="T240" s="42" t="n">
        <v>39.15215</v>
      </c>
      <c r="U240" s="42" t="n">
        <v>44.35764</v>
      </c>
      <c r="V240" s="42" t="n">
        <v>54.72473</v>
      </c>
      <c r="W240" s="42" t="n">
        <v>8.374000000000001</v>
      </c>
      <c r="X240" s="42" t="n">
        <v>10.33057</v>
      </c>
      <c r="Y240" s="42" t="n">
        <v>41.81375</v>
      </c>
      <c r="Z240" s="42" t="n">
        <v>50.55479</v>
      </c>
      <c r="AA240" s="42" t="n">
        <v>19.0568</v>
      </c>
      <c r="AB240" s="42" t="n">
        <v>15.16552</v>
      </c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</row>
    <row r="241" ht="15.75" customFormat="1" customHeight="1" s="40">
      <c r="B241" s="31" t="inlineStr">
        <is>
          <t>Finance Actuals (Monthly)</t>
        </is>
      </c>
      <c r="D241" s="32" t="inlineStr">
        <is>
          <t>$k</t>
        </is>
      </c>
      <c r="E241" s="41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  <c r="AA241" s="41" t="n"/>
      <c r="AB241" s="41" t="n"/>
      <c r="AC241" s="41" t="n"/>
      <c r="AD241" s="41" t="n"/>
      <c r="AE241" s="41" t="n"/>
      <c r="AF241" s="41" t="n"/>
      <c r="AG241" s="41" t="n"/>
      <c r="AH241" s="41" t="n"/>
      <c r="AI241" s="41" t="n"/>
      <c r="AJ241" s="41" t="n"/>
      <c r="AK241" s="41" t="n"/>
      <c r="AL241" s="41" t="n"/>
      <c r="AM241" s="41" t="n"/>
      <c r="AN241" s="41" t="n"/>
      <c r="AO241" s="41" t="n"/>
      <c r="AP241" s="41" t="n"/>
      <c r="AQ241" s="41" t="n"/>
      <c r="AR241" s="41" t="n"/>
      <c r="AS241" s="41" t="n"/>
      <c r="AT241" s="41" t="n"/>
      <c r="AU241" s="41" t="n"/>
      <c r="AV241" s="41" t="n"/>
      <c r="AW241" s="41" t="n"/>
      <c r="AX241" s="41" t="n"/>
      <c r="AY241" s="41" t="n"/>
      <c r="AZ241" s="41" t="n"/>
      <c r="BA241" s="41" t="n"/>
      <c r="BB241" s="41" t="n"/>
      <c r="BC241" s="41" t="n"/>
      <c r="BD241" s="41" t="n"/>
    </row>
    <row r="242" ht="15.75" customHeight="1">
      <c r="B242" s="9" t="inlineStr">
        <is>
          <t>Budgeted (Monthly)</t>
        </is>
      </c>
      <c r="C242" s="9" t="n"/>
      <c r="D242" s="10" t="inlineStr">
        <is>
          <t>$k</t>
        </is>
      </c>
      <c r="E242" s="44" t="n"/>
      <c r="F242" s="44" t="n"/>
      <c r="G242" s="44" t="n"/>
      <c r="H242" s="44" t="n">
        <v>159.1227600026032</v>
      </c>
      <c r="I242" s="44" t="n"/>
      <c r="J242" s="44" t="n"/>
      <c r="K242" s="44" t="n"/>
      <c r="L242" s="44" t="n">
        <v>82.46673343111851</v>
      </c>
      <c r="M242" s="44" t="n"/>
      <c r="N242" s="44" t="n"/>
      <c r="O242" s="44" t="n"/>
      <c r="P242" s="44" t="n"/>
      <c r="Q242" s="44" t="n">
        <v>128.7440416851451</v>
      </c>
      <c r="R242" s="44" t="n"/>
      <c r="S242" s="44" t="n"/>
      <c r="T242" s="44" t="n"/>
      <c r="U242" s="44" t="n">
        <v>80.55575050193988</v>
      </c>
      <c r="V242" s="44" t="n"/>
      <c r="W242" s="44" t="n"/>
      <c r="X242" s="44" t="n"/>
      <c r="Y242" s="44" t="n"/>
      <c r="Z242" s="44" t="n">
        <v>152.8480377042177</v>
      </c>
      <c r="AA242" s="44" t="n"/>
      <c r="AB242" s="44" t="n"/>
      <c r="AC242" s="44" t="n"/>
      <c r="AD242" s="44" t="n">
        <v>137.156306744519</v>
      </c>
      <c r="AE242" s="44" t="n"/>
      <c r="AF242" s="44" t="n"/>
      <c r="AG242" s="44" t="n"/>
      <c r="AH242" s="44" t="n">
        <v>115.1800030589649</v>
      </c>
      <c r="AI242" s="44" t="n"/>
      <c r="AJ242" s="44" t="n"/>
      <c r="AK242" s="44" t="n"/>
      <c r="AL242" s="44" t="n"/>
      <c r="AM242" s="44" t="n">
        <v>103.6353020641332</v>
      </c>
      <c r="AN242" s="44" t="n"/>
      <c r="AO242" s="44" t="n"/>
      <c r="AP242" s="44" t="n"/>
      <c r="AQ242" s="44" t="n">
        <v>153.0253453986776</v>
      </c>
      <c r="AR242" s="44" t="n"/>
      <c r="AS242" s="44" t="n"/>
      <c r="AT242" s="44" t="n"/>
      <c r="AU242" s="44" t="n">
        <v>225.0910727691456</v>
      </c>
      <c r="AV242" s="44" t="n"/>
      <c r="AW242" s="44" t="n"/>
      <c r="AX242" s="44" t="n"/>
      <c r="AY242" s="44" t="n"/>
      <c r="AZ242" s="44" t="n">
        <v>277.6628041764977</v>
      </c>
      <c r="BA242" s="44" t="n"/>
      <c r="BB242" s="44" t="n"/>
      <c r="BC242" s="44" t="n"/>
      <c r="BD242" s="44" t="n">
        <v>200.8885724753731</v>
      </c>
    </row>
    <row r="243" ht="15.75" customHeight="1">
      <c r="B243" s="7" t="inlineStr">
        <is>
          <t>As % of budget - this month</t>
        </is>
      </c>
      <c r="D243" s="17" t="inlineStr">
        <is>
          <t>%</t>
        </is>
      </c>
      <c r="E243" s="43" t="n"/>
      <c r="F243" s="43" t="n"/>
      <c r="G243" s="43" t="n"/>
      <c r="H243" s="43">
        <f>IFERROR(SUM(E240:H240)/H242,"")</f>
        <v/>
      </c>
      <c r="I243" s="43" t="n"/>
      <c r="J243" s="43" t="n"/>
      <c r="K243" s="43" t="n"/>
      <c r="L243" s="43">
        <f>IFERROR(SUM(I240:L240)/L242,"")</f>
        <v/>
      </c>
      <c r="M243" s="43" t="n"/>
      <c r="N243" s="43" t="n"/>
      <c r="O243" s="43" t="n"/>
      <c r="P243" s="43" t="n"/>
      <c r="Q243" s="43">
        <f>IFERROR(SUM(M240:Q240)/Q242,"")</f>
        <v/>
      </c>
      <c r="R243" s="43" t="n"/>
      <c r="S243" s="43" t="n"/>
      <c r="T243" s="43" t="n"/>
      <c r="U243" s="43">
        <f>IFERROR(SUM(R240:U240)/U242,"")</f>
        <v/>
      </c>
      <c r="V243" s="43" t="n"/>
      <c r="W243" s="43" t="n"/>
      <c r="X243" s="43" t="n"/>
      <c r="Y243" s="43" t="n"/>
      <c r="Z243" s="43">
        <f>IFERROR(SUM(V240:Z240)/Z242,"")</f>
        <v/>
      </c>
      <c r="AA243" s="43" t="n"/>
      <c r="AB243" s="43" t="n"/>
      <c r="AC243" s="43" t="n"/>
      <c r="AD243" s="43" t="n"/>
      <c r="AE243" s="43" t="n"/>
      <c r="AF243" s="43" t="n"/>
      <c r="AG243" s="43" t="n"/>
      <c r="AH243" s="43" t="n"/>
      <c r="AI243" s="43" t="n"/>
      <c r="AJ243" s="43" t="n"/>
      <c r="AK243" s="43" t="n"/>
      <c r="AL243" s="43" t="n"/>
      <c r="AM243" s="43" t="n"/>
      <c r="AN243" s="43" t="n"/>
      <c r="AO243" s="43" t="n"/>
      <c r="AP243" s="43" t="n"/>
      <c r="AQ243" s="43" t="n"/>
      <c r="AR243" s="43" t="n"/>
      <c r="AS243" s="43" t="n"/>
      <c r="AT243" s="43" t="n"/>
      <c r="AU243" s="43" t="n"/>
      <c r="AV243" s="43" t="n"/>
      <c r="AW243" s="43" t="n"/>
      <c r="AX243" s="43" t="n"/>
      <c r="AY243" s="43" t="n"/>
      <c r="AZ243" s="43" t="n"/>
      <c r="BA243" s="43" t="n"/>
      <c r="BB243" s="43" t="n"/>
      <c r="BC243" s="43" t="n"/>
      <c r="BD243" s="43" t="n"/>
    </row>
    <row r="244" ht="15.75" customHeight="1">
      <c r="B244" s="7" t="inlineStr">
        <is>
          <t>As % of quarterly budget (QTD)</t>
        </is>
      </c>
      <c r="D244" s="17" t="inlineStr">
        <is>
          <t>%</t>
        </is>
      </c>
      <c r="E244" s="43" t="n"/>
      <c r="F244" s="43" t="n"/>
      <c r="G244" s="43" t="n"/>
      <c r="H244" s="43">
        <f>IFERROR(SUM(E240:H240)/(H242+L242+Q242),"")</f>
        <v/>
      </c>
      <c r="I244" s="43" t="n"/>
      <c r="J244" s="43" t="n"/>
      <c r="K244" s="43" t="n"/>
      <c r="L244" s="43">
        <f>IFERROR(SUM(E240:L240)/(H242+L242+Q242),"")</f>
        <v/>
      </c>
      <c r="M244" s="43" t="n"/>
      <c r="N244" s="43" t="n"/>
      <c r="O244" s="43" t="n"/>
      <c r="P244" s="43" t="n"/>
      <c r="Q244" s="43">
        <f>IFERROR(SUM(E240:Q240)/(H242+L242+Q242),"")</f>
        <v/>
      </c>
      <c r="R244" s="43" t="n"/>
      <c r="S244" s="43" t="n"/>
      <c r="T244" s="43" t="n"/>
      <c r="U244" s="43">
        <f>IFERROR(SUM(R240:U240)/(U242+Z242+AD242),"")</f>
        <v/>
      </c>
      <c r="V244" s="43" t="n"/>
      <c r="W244" s="43" t="n"/>
      <c r="X244" s="43" t="n"/>
      <c r="Y244" s="43" t="n"/>
      <c r="Z244" s="43">
        <f>IFERROR(SUM(R240:Z240)/(U242+Z242+AD242),"")</f>
        <v/>
      </c>
      <c r="AA244" s="43" t="n"/>
      <c r="AB244" s="43" t="n"/>
      <c r="AC244" s="43" t="n"/>
      <c r="AD244" s="43" t="n"/>
      <c r="AE244" s="43" t="n"/>
      <c r="AF244" s="43" t="n"/>
      <c r="AG244" s="43" t="n"/>
      <c r="AH244" s="43" t="n"/>
      <c r="AI244" s="43" t="n"/>
      <c r="AJ244" s="43" t="n"/>
      <c r="AK244" s="43" t="n"/>
      <c r="AL244" s="43" t="n"/>
      <c r="AM244" s="43" t="n"/>
      <c r="AN244" s="43" t="n"/>
      <c r="AO244" s="43" t="n"/>
      <c r="AP244" s="43" t="n"/>
      <c r="AQ244" s="43" t="n"/>
      <c r="AR244" s="43" t="n"/>
      <c r="AS244" s="43" t="n"/>
      <c r="AT244" s="43" t="n"/>
      <c r="AU244" s="43" t="n"/>
      <c r="AV244" s="43" t="n"/>
      <c r="AW244" s="43" t="n"/>
      <c r="AX244" s="43" t="n"/>
      <c r="AY244" s="43" t="n"/>
      <c r="AZ244" s="43" t="n"/>
      <c r="BA244" s="43" t="n"/>
      <c r="BB244" s="43" t="n"/>
      <c r="BC244" s="43" t="n"/>
      <c r="BD244" s="43" t="n"/>
    </row>
    <row r="245" ht="15.75" customHeight="1">
      <c r="B245" s="7" t="inlineStr">
        <is>
          <t>As % of annual budget (YTD)</t>
        </is>
      </c>
      <c r="D245" s="17" t="inlineStr">
        <is>
          <t>%</t>
        </is>
      </c>
      <c r="E245" s="43" t="n"/>
      <c r="F245" s="43" t="n"/>
      <c r="G245" s="43" t="n"/>
      <c r="H245" s="43">
        <f>IFERROR(SUM($E$240:H240)/SUM($E$242:BD242),"")</f>
        <v/>
      </c>
      <c r="I245" s="43" t="n"/>
      <c r="J245" s="43" t="n"/>
      <c r="K245" s="43" t="n"/>
      <c r="L245" s="43">
        <f>IFERROR(SUM($E$240:L240)/SUM($E$242:BD242),"")</f>
        <v/>
      </c>
      <c r="M245" s="43" t="n"/>
      <c r="N245" s="43" t="n"/>
      <c r="O245" s="43" t="n"/>
      <c r="P245" s="43" t="n"/>
      <c r="Q245" s="43">
        <f>IFERROR(SUM($E$240:Q240)/SUM($E$242:BD242),"")</f>
        <v/>
      </c>
      <c r="R245" s="43" t="n"/>
      <c r="S245" s="43" t="n"/>
      <c r="T245" s="43" t="n"/>
      <c r="U245" s="43">
        <f>IFERROR(SUM($E$240:U240)/SUM($E$242:BD242),"")</f>
        <v/>
      </c>
      <c r="V245" s="43" t="n"/>
      <c r="W245" s="43" t="n"/>
      <c r="X245" s="43" t="n"/>
      <c r="Y245" s="43" t="n"/>
      <c r="Z245" s="43">
        <f>IFERROR(SUM($E$240:Z240)/SUM($E$242:BD242),"")</f>
        <v/>
      </c>
      <c r="AA245" s="43" t="n"/>
      <c r="AB245" s="43" t="n"/>
      <c r="AC245" s="43" t="n"/>
      <c r="AD245" s="43" t="n"/>
      <c r="AE245" s="43" t="n"/>
      <c r="AF245" s="43" t="n"/>
      <c r="AG245" s="43" t="n"/>
      <c r="AH245" s="43" t="n"/>
      <c r="AI245" s="43" t="n"/>
      <c r="AJ245" s="43" t="n"/>
      <c r="AK245" s="43" t="n"/>
      <c r="AL245" s="43" t="n"/>
      <c r="AM245" s="43" t="n"/>
      <c r="AN245" s="43" t="n"/>
      <c r="AO245" s="43" t="n"/>
      <c r="AP245" s="43" t="n"/>
      <c r="AQ245" s="43" t="n"/>
      <c r="AR245" s="43" t="n"/>
      <c r="AS245" s="43" t="n"/>
      <c r="AT245" s="43" t="n"/>
      <c r="AU245" s="43" t="n"/>
      <c r="AV245" s="43" t="n"/>
      <c r="AW245" s="43" t="n"/>
      <c r="AX245" s="43" t="n"/>
      <c r="AY245" s="43" t="n"/>
      <c r="AZ245" s="43" t="n"/>
      <c r="BA245" s="43" t="n"/>
      <c r="BB245" s="43" t="n"/>
      <c r="BC245" s="43" t="n"/>
      <c r="BD245" s="43" t="n"/>
    </row>
    <row r="246"/>
    <row r="247" ht="15.75" customFormat="1" customHeight="1" s="40">
      <c r="A247" s="40" t="inlineStr">
        <is>
          <t>Other Marketing - Commissions &amp; Samples, etc.</t>
        </is>
      </c>
      <c r="D247" s="24" t="inlineStr">
        <is>
          <t>$k</t>
        </is>
      </c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</row>
    <row r="248" ht="15.75" customFormat="1" customHeight="1" s="40">
      <c r="B248" s="31" t="inlineStr">
        <is>
          <t>Finance Actuals (Monthly)</t>
        </is>
      </c>
      <c r="D248" s="32" t="inlineStr">
        <is>
          <t>$k</t>
        </is>
      </c>
      <c r="E248" s="41" t="n"/>
      <c r="F248" s="41" t="n"/>
      <c r="G248" s="41" t="n"/>
      <c r="H248" s="41" t="n"/>
      <c r="I248" s="41" t="n"/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  <c r="AA248" s="41" t="n"/>
      <c r="AB248" s="41" t="n"/>
      <c r="AC248" s="41" t="n"/>
      <c r="AD248" s="41" t="n"/>
      <c r="AE248" s="41" t="n"/>
      <c r="AF248" s="41" t="n"/>
      <c r="AG248" s="41" t="n"/>
      <c r="AH248" s="41" t="n"/>
      <c r="AI248" s="41" t="n"/>
      <c r="AJ248" s="41" t="n"/>
      <c r="AK248" s="41" t="n"/>
      <c r="AL248" s="41" t="n"/>
      <c r="AM248" s="41" t="n"/>
      <c r="AN248" s="41" t="n"/>
      <c r="AO248" s="41" t="n"/>
      <c r="AP248" s="41" t="n"/>
      <c r="AQ248" s="41" t="n"/>
      <c r="AR248" s="41" t="n"/>
      <c r="AS248" s="41" t="n"/>
      <c r="AT248" s="41" t="n"/>
      <c r="AU248" s="41" t="n"/>
      <c r="AV248" s="41" t="n"/>
      <c r="AW248" s="41" t="n"/>
      <c r="AX248" s="41" t="n"/>
      <c r="AY248" s="41" t="n"/>
      <c r="AZ248" s="41" t="n"/>
      <c r="BA248" s="41" t="n"/>
      <c r="BB248" s="41" t="n"/>
      <c r="BC248" s="41" t="n"/>
      <c r="BD248" s="41" t="n"/>
    </row>
    <row r="249" ht="15.75" customHeight="1">
      <c r="B249" s="9" t="inlineStr">
        <is>
          <t>Budgeted (Monthly)</t>
        </is>
      </c>
      <c r="C249" s="9" t="n"/>
      <c r="D249" s="10" t="inlineStr">
        <is>
          <t>$k</t>
        </is>
      </c>
      <c r="E249" s="44" t="n"/>
      <c r="F249" s="44" t="n"/>
      <c r="G249" s="44" t="n"/>
      <c r="H249" s="44" t="n">
        <v>136.8333333333333</v>
      </c>
      <c r="I249" s="44" t="n"/>
      <c r="J249" s="44" t="n"/>
      <c r="K249" s="44" t="n"/>
      <c r="L249" s="44" t="n">
        <v>136.8333333333333</v>
      </c>
      <c r="M249" s="44" t="n"/>
      <c r="N249" s="44" t="n"/>
      <c r="O249" s="44" t="n"/>
      <c r="P249" s="44" t="n"/>
      <c r="Q249" s="44" t="n">
        <v>136.8333333333333</v>
      </c>
      <c r="R249" s="44" t="n"/>
      <c r="S249" s="44" t="n"/>
      <c r="T249" s="44" t="n"/>
      <c r="U249" s="44" t="n">
        <v>136.8333333333333</v>
      </c>
      <c r="V249" s="44" t="n"/>
      <c r="W249" s="44" t="n"/>
      <c r="X249" s="44" t="n"/>
      <c r="Y249" s="44" t="n"/>
      <c r="Z249" s="44" t="n">
        <v>136.8333333333333</v>
      </c>
      <c r="AA249" s="44" t="n"/>
      <c r="AB249" s="44" t="n"/>
      <c r="AC249" s="44" t="n"/>
      <c r="AD249" s="44" t="n">
        <v>136.8333333333333</v>
      </c>
      <c r="AE249" s="44" t="n"/>
      <c r="AF249" s="44" t="n"/>
      <c r="AG249" s="44" t="n"/>
      <c r="AH249" s="44" t="n">
        <v>136.8333333333333</v>
      </c>
      <c r="AI249" s="44" t="n"/>
      <c r="AJ249" s="44" t="n"/>
      <c r="AK249" s="44" t="n"/>
      <c r="AL249" s="44" t="n"/>
      <c r="AM249" s="44" t="n">
        <v>136.8333333333333</v>
      </c>
      <c r="AN249" s="44" t="n"/>
      <c r="AO249" s="44" t="n"/>
      <c r="AP249" s="44" t="n"/>
      <c r="AQ249" s="44" t="n">
        <v>136.8333333333333</v>
      </c>
      <c r="AR249" s="44" t="n"/>
      <c r="AS249" s="44" t="n"/>
      <c r="AT249" s="44" t="n"/>
      <c r="AU249" s="44" t="n">
        <v>136.8333333333333</v>
      </c>
      <c r="AV249" s="44" t="n"/>
      <c r="AW249" s="44" t="n"/>
      <c r="AX249" s="44" t="n"/>
      <c r="AY249" s="44" t="n"/>
      <c r="AZ249" s="44" t="n">
        <v>136.8333333333333</v>
      </c>
      <c r="BA249" s="44" t="n"/>
      <c r="BB249" s="44" t="n"/>
      <c r="BC249" s="44" t="n"/>
      <c r="BD249" s="44" t="n">
        <v>136.8333333333333</v>
      </c>
    </row>
    <row r="250" ht="15.75" customHeight="1">
      <c r="B250" s="7" t="inlineStr">
        <is>
          <t>As % of budget - this month</t>
        </is>
      </c>
      <c r="D250" s="17" t="inlineStr">
        <is>
          <t>%</t>
        </is>
      </c>
      <c r="E250" s="43" t="n"/>
      <c r="F250" s="43" t="n"/>
      <c r="G250" s="43" t="n"/>
      <c r="H250" s="43" t="n"/>
      <c r="I250" s="43" t="n"/>
      <c r="J250" s="43" t="n"/>
      <c r="K250" s="43" t="n"/>
      <c r="L250" s="43" t="n"/>
      <c r="M250" s="43" t="n"/>
      <c r="N250" s="43" t="n"/>
      <c r="O250" s="43" t="n"/>
      <c r="P250" s="43" t="n"/>
      <c r="Q250" s="43" t="n"/>
      <c r="R250" s="43" t="n"/>
      <c r="S250" s="43" t="n"/>
      <c r="T250" s="43" t="n"/>
      <c r="U250" s="43" t="n"/>
      <c r="V250" s="43" t="n"/>
      <c r="W250" s="43" t="n"/>
      <c r="X250" s="43" t="n"/>
      <c r="Y250" s="43" t="n"/>
      <c r="Z250" s="43" t="n"/>
      <c r="AA250" s="43" t="n"/>
      <c r="AB250" s="43" t="n"/>
      <c r="AC250" s="43" t="n"/>
      <c r="AD250" s="43" t="n"/>
      <c r="AE250" s="43" t="n"/>
      <c r="AF250" s="43" t="n"/>
      <c r="AG250" s="43" t="n"/>
      <c r="AH250" s="43" t="n"/>
      <c r="AI250" s="43" t="n"/>
      <c r="AJ250" s="43" t="n"/>
      <c r="AK250" s="43" t="n"/>
      <c r="AL250" s="43" t="n"/>
      <c r="AM250" s="43" t="n"/>
      <c r="AN250" s="43" t="n"/>
      <c r="AO250" s="43" t="n"/>
      <c r="AP250" s="43" t="n"/>
      <c r="AQ250" s="43" t="n"/>
      <c r="AR250" s="43" t="n"/>
      <c r="AS250" s="43" t="n"/>
      <c r="AT250" s="43" t="n"/>
      <c r="AU250" s="43" t="n"/>
      <c r="AV250" s="43" t="n"/>
      <c r="AW250" s="43" t="n"/>
      <c r="AX250" s="43" t="n"/>
      <c r="AY250" s="43" t="n"/>
      <c r="AZ250" s="43" t="n"/>
      <c r="BA250" s="43" t="n"/>
      <c r="BB250" s="43" t="n"/>
      <c r="BC250" s="43" t="n"/>
      <c r="BD250" s="43" t="n"/>
    </row>
    <row r="251" ht="15.75" customHeight="1">
      <c r="B251" s="7" t="inlineStr">
        <is>
          <t>As % of quarterly budget (QTD)</t>
        </is>
      </c>
      <c r="D251" s="17" t="inlineStr">
        <is>
          <t>%</t>
        </is>
      </c>
      <c r="E251" s="43" t="n"/>
      <c r="F251" s="43" t="n"/>
      <c r="G251" s="43" t="n"/>
      <c r="H251" s="43" t="n"/>
      <c r="I251" s="43" t="n"/>
      <c r="J251" s="43" t="n"/>
      <c r="K251" s="43" t="n"/>
      <c r="L251" s="43" t="n"/>
      <c r="M251" s="43" t="n"/>
      <c r="N251" s="43" t="n"/>
      <c r="O251" s="43" t="n"/>
      <c r="P251" s="43" t="n"/>
      <c r="Q251" s="43" t="n"/>
      <c r="R251" s="43" t="n"/>
      <c r="S251" s="43" t="n"/>
      <c r="T251" s="43" t="n"/>
      <c r="U251" s="43" t="n"/>
      <c r="V251" s="43" t="n"/>
      <c r="W251" s="43" t="n"/>
      <c r="X251" s="43" t="n"/>
      <c r="Y251" s="43" t="n"/>
      <c r="Z251" s="43" t="n"/>
      <c r="AA251" s="43" t="n"/>
      <c r="AB251" s="43" t="n"/>
      <c r="AC251" s="43" t="n"/>
      <c r="AD251" s="43" t="n"/>
      <c r="AE251" s="43" t="n"/>
      <c r="AF251" s="43" t="n"/>
      <c r="AG251" s="43" t="n"/>
      <c r="AH251" s="43" t="n"/>
      <c r="AI251" s="43" t="n"/>
      <c r="AJ251" s="43" t="n"/>
      <c r="AK251" s="43" t="n"/>
      <c r="AL251" s="43" t="n"/>
      <c r="AM251" s="43" t="n"/>
      <c r="AN251" s="43" t="n"/>
      <c r="AO251" s="43" t="n"/>
      <c r="AP251" s="43" t="n"/>
      <c r="AQ251" s="43" t="n"/>
      <c r="AR251" s="43" t="n"/>
      <c r="AS251" s="43" t="n"/>
      <c r="AT251" s="43" t="n"/>
      <c r="AU251" s="43" t="n"/>
      <c r="AV251" s="43" t="n"/>
      <c r="AW251" s="43" t="n"/>
      <c r="AX251" s="43" t="n"/>
      <c r="AY251" s="43" t="n"/>
      <c r="AZ251" s="43" t="n"/>
      <c r="BA251" s="43" t="n"/>
      <c r="BB251" s="43" t="n"/>
      <c r="BC251" s="43" t="n"/>
      <c r="BD251" s="43" t="n"/>
    </row>
    <row r="252" ht="15.75" customHeight="1">
      <c r="B252" s="7" t="inlineStr">
        <is>
          <t>As % of annual budget (YTD)</t>
        </is>
      </c>
      <c r="D252" s="17" t="inlineStr">
        <is>
          <t>%</t>
        </is>
      </c>
      <c r="E252" s="43" t="n"/>
      <c r="F252" s="43" t="n"/>
      <c r="G252" s="43" t="n"/>
      <c r="H252" s="43" t="n"/>
      <c r="I252" s="43" t="n"/>
      <c r="J252" s="43" t="n"/>
      <c r="K252" s="43" t="n"/>
      <c r="L252" s="43" t="n"/>
      <c r="M252" s="43" t="n"/>
      <c r="N252" s="43" t="n"/>
      <c r="O252" s="43" t="n"/>
      <c r="P252" s="43" t="n"/>
      <c r="Q252" s="43" t="n"/>
      <c r="R252" s="43" t="n"/>
      <c r="S252" s="43" t="n"/>
      <c r="T252" s="43" t="n"/>
      <c r="U252" s="43" t="n"/>
      <c r="V252" s="43" t="n"/>
      <c r="W252" s="43" t="n"/>
      <c r="X252" s="43" t="n"/>
      <c r="Y252" s="43" t="n"/>
      <c r="Z252" s="43" t="n"/>
      <c r="AA252" s="43" t="n"/>
      <c r="AB252" s="43" t="n"/>
      <c r="AC252" s="43" t="n"/>
      <c r="AD252" s="43" t="n"/>
      <c r="AE252" s="43" t="n"/>
      <c r="AF252" s="43" t="n"/>
      <c r="AG252" s="43" t="n"/>
      <c r="AH252" s="43" t="n"/>
      <c r="AI252" s="43" t="n"/>
      <c r="AJ252" s="43" t="n"/>
      <c r="AK252" s="43" t="n"/>
      <c r="AL252" s="43" t="n"/>
      <c r="AM252" s="43" t="n"/>
      <c r="AN252" s="43" t="n"/>
      <c r="AO252" s="43" t="n"/>
      <c r="AP252" s="43" t="n"/>
      <c r="AQ252" s="43" t="n"/>
      <c r="AR252" s="43" t="n"/>
      <c r="AS252" s="43" t="n"/>
      <c r="AT252" s="43" t="n"/>
      <c r="AU252" s="43" t="n"/>
      <c r="AV252" s="43" t="n"/>
      <c r="AW252" s="43" t="n"/>
      <c r="AX252" s="43" t="n"/>
      <c r="AY252" s="43" t="n"/>
      <c r="AZ252" s="43" t="n"/>
      <c r="BA252" s="43" t="n"/>
      <c r="BB252" s="43" t="n"/>
      <c r="BC252" s="43" t="n"/>
      <c r="BD252" s="43" t="n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Tina Si</dc:creator>
  <dcterms:created xmlns:dcterms="http://purl.org/dc/terms/" xmlns:xsi="http://www.w3.org/2001/XMLSchema-instance" xsi:type="dcterms:W3CDTF">2026-05-14T18:29:42Z</dcterms:created>
  <dcterms:modified xmlns:dcterms="http://purl.org/dc/terms/" xmlns:xsi="http://www.w3.org/2001/XMLSchema-instance" xsi:type="dcterms:W3CDTF">2026-06-22T09:21:41Z</dcterms:modified>
</cp:coreProperties>
</file>