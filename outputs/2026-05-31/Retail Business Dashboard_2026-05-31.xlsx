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nce Monthly Actual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b val="1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  <font>
      <b val="1"/>
      <sz val="14"/>
    </font>
    <font>
      <i val="1"/>
      <color rgb="006e7781"/>
    </font>
    <font>
      <b val="1"/>
    </font>
    <font>
      <b val="1"/>
      <i val="1"/>
    </font>
    <font>
      <b val="1"/>
      <i val="1"/>
      <color rgb="006e6291"/>
    </font>
  </fonts>
  <fills count="11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F2F5F8"/>
        <bgColor rgb="00F2F5F8"/>
      </patternFill>
    </fill>
    <fill>
      <patternFill patternType="solid">
        <fgColor rgb="00EEF6EE"/>
        <bgColor rgb="00EEF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center"/>
    </xf>
    <xf numFmtId="0" fontId="11" fillId="3" borderId="0" pivotButton="0" quotePrefix="0" xfId="0"/>
    <xf numFmtId="0" fontId="12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1" fillId="4" borderId="0" pivotButton="0" quotePrefix="0" xfId="0"/>
    <xf numFmtId="0" fontId="12" fillId="4" borderId="0" applyAlignment="1" pivotButton="0" quotePrefix="0" xfId="0">
      <alignment horizontal="center"/>
    </xf>
    <xf numFmtId="0" fontId="1" fillId="5" borderId="0" pivotButton="0" quotePrefix="0" xfId="0"/>
    <xf numFmtId="0" fontId="11" fillId="5" borderId="0" pivotButton="0" quotePrefix="0" xfId="0"/>
    <xf numFmtId="0" fontId="12" fillId="5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1" fillId="6" borderId="0" pivotButton="0" quotePrefix="0" xfId="0"/>
    <xf numFmtId="0" fontId="12" fillId="6" borderId="0" applyAlignment="1" pivotButton="0" quotePrefix="0" xfId="0">
      <alignment horizontal="center"/>
    </xf>
    <xf numFmtId="0" fontId="1" fillId="7" borderId="0" pivotButton="0" quotePrefix="0" xfId="0"/>
    <xf numFmtId="0" fontId="11" fillId="7" borderId="0" pivotButton="0" quotePrefix="0" xfId="0"/>
    <xf numFmtId="0" fontId="12" fillId="7" borderId="0" applyAlignment="1" pivotButton="0" quotePrefix="0" xfId="0">
      <alignment horizontal="center"/>
    </xf>
    <xf numFmtId="0" fontId="0" fillId="8" borderId="0" pivotButton="0" quotePrefix="0" xfId="0"/>
    <xf numFmtId="0" fontId="1" fillId="8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1" fillId="8" borderId="0" pivotButton="0" quotePrefix="0" xfId="0"/>
    <xf numFmtId="165" fontId="0" fillId="8" borderId="0" pivotButton="0" quotePrefix="0" xfId="0"/>
    <xf numFmtId="164" fontId="0" fillId="8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7" fillId="9" borderId="0" pivotButton="0" quotePrefix="0" xfId="0"/>
    <xf numFmtId="0" fontId="0" fillId="9" borderId="0" pivotButton="0" quotePrefix="0" xfId="0"/>
    <xf numFmtId="0" fontId="16" fillId="10" borderId="0" pivotButton="0" quotePrefix="0" xfId="0"/>
    <xf numFmtId="0" fontId="0" fillId="10" borderId="0" pivotButton="0" quotePrefix="0" xfId="0"/>
    <xf numFmtId="0" fontId="1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tc={B79BA3E3-E585-964D-9C92-483DFB65026F}</author>
    <author>tc={017799DC-20F9-774D-B346-E298DE127B5D}</author>
    <author>tc={82AF0F11-C6B4-F04D-A9ED-3915416AF9D9}</author>
    <author>tc={1AFEDADD-C365-E749-8232-528FAE26FA5F}</author>
    <author>tc={380AB180-B1D9-2D42-90D3-AB6531D1AE69}</author>
    <author>tc={169D5268-D09C-574F-B989-B7C05F3AD2E6}</author>
    <author>tc={7D78CC43-3312-0244-804C-8514DA03F6E7}</author>
  </authors>
  <commentList>
    <comment ref="A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A3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6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93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2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6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7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78"/>
  <sheetViews>
    <sheetView tabSelected="1" workbookViewId="0">
      <pane xSplit="4" ySplit="6" topLeftCell="E41" activePane="bottomRight" state="frozen"/>
      <selection pane="bottomRight" activeCell="F55" sqref="F55"/>
      <selection pane="bottomLeft" activeCell="A7" sqref="A7"/>
      <selection pane="topRight" activeCell="E1" sqref="E1"/>
    </sheetView>
  </sheetViews>
  <sheetFormatPr baseColWidth="8" defaultColWidth="11" defaultRowHeight="15.95"/>
  <cols>
    <col width="3.5" customWidth="1" min="1" max="1"/>
    <col width="5.5" customWidth="1" min="2" max="2"/>
    <col width="19.5" customWidth="1" min="3" max="3"/>
    <col width="8.625" customWidth="1" style="6" min="4" max="4"/>
    <col width="8.625" customWidth="1" min="5" max="5"/>
  </cols>
  <sheetData>
    <row r="1" customFormat="1" s="1">
      <c r="B1" s="4" t="inlineStr">
        <is>
          <t>Weeks ending</t>
        </is>
      </c>
      <c r="C1" s="4" t="n"/>
      <c r="D1" s="5" t="n"/>
      <c r="E1" s="2" t="n">
        <v>46026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>
      <c r="A2" s="1" t="n"/>
      <c r="D2" s="5" t="inlineStr">
        <is>
          <t>Unit</t>
        </is>
      </c>
    </row>
    <row r="3" customFormat="1" s="31">
      <c r="A3" s="31" t="inlineStr">
        <is>
          <t>Sell-in value -- all channels</t>
        </is>
      </c>
      <c r="D3" s="32" t="inlineStr">
        <is>
          <t>$k</t>
        </is>
      </c>
      <c r="E3" s="42" t="n">
        <v>4894.49419811042</v>
      </c>
      <c r="F3" s="42" t="n">
        <v>2192.1802113112</v>
      </c>
      <c r="G3" s="42" t="n">
        <v>2325.1416737674</v>
      </c>
      <c r="H3" s="42" t="n">
        <v>1649.07083781414</v>
      </c>
      <c r="I3" s="42" t="n">
        <v>4086.0281988354</v>
      </c>
      <c r="J3" s="42" t="n">
        <v>2421.4245764364</v>
      </c>
      <c r="K3" s="42" t="n">
        <v>2422.39902996014</v>
      </c>
      <c r="L3" s="42" t="n">
        <v>3621.04922668684</v>
      </c>
      <c r="M3" s="42" t="n">
        <v>3825.8750366715</v>
      </c>
      <c r="N3" s="42" t="n">
        <v>5123.38136335751</v>
      </c>
      <c r="O3" s="42" t="n">
        <v>1873.12654342892</v>
      </c>
      <c r="P3" s="42" t="n">
        <v>3767.76761455711</v>
      </c>
      <c r="Q3" s="42" t="n">
        <v>2194.51577538332</v>
      </c>
      <c r="R3" s="42" t="n">
        <v>2663.43207264915</v>
      </c>
      <c r="S3" s="42" t="n">
        <v>2620.59198683649</v>
      </c>
      <c r="T3" s="42" t="n">
        <v>3401.46404612472</v>
      </c>
      <c r="U3" s="42" t="n">
        <v>3319.94226771397</v>
      </c>
      <c r="V3" s="42" t="n">
        <v>4733.037153614981</v>
      </c>
      <c r="W3" s="42" t="n">
        <v>5053.277573833851</v>
      </c>
      <c r="X3" s="42" t="n">
        <v>2924.22823555948</v>
      </c>
      <c r="Y3" s="42" t="n">
        <v>7397.67010297547</v>
      </c>
    </row>
    <row r="4" customFormat="1" s="31">
      <c r="A4" s="31" t="inlineStr">
        <is>
          <t>Sell-through untis -- all channels</t>
        </is>
      </c>
      <c r="D4" s="32" t="inlineStr">
        <is>
          <t>#</t>
        </is>
      </c>
      <c r="E4" s="42" t="n">
        <v>147840</v>
      </c>
      <c r="F4" s="42" t="n">
        <v>83719</v>
      </c>
      <c r="G4" s="42" t="n">
        <v>83151</v>
      </c>
      <c r="H4" s="42" t="n">
        <v>71094</v>
      </c>
      <c r="I4" s="42" t="n">
        <v>67590</v>
      </c>
      <c r="J4" s="42" t="n">
        <v>69754</v>
      </c>
      <c r="K4" s="42" t="n">
        <v>76499</v>
      </c>
      <c r="L4" s="42" t="n">
        <v>81583</v>
      </c>
      <c r="M4" s="42" t="n">
        <v>97409</v>
      </c>
      <c r="N4" s="42" t="n">
        <v>77456</v>
      </c>
      <c r="O4" s="42" t="n">
        <v>75964</v>
      </c>
      <c r="P4" s="42" t="n">
        <v>73919</v>
      </c>
      <c r="Q4" s="42" t="n">
        <v>90028</v>
      </c>
      <c r="R4" s="42" t="n">
        <v>81363</v>
      </c>
      <c r="S4" s="42" t="n">
        <v>81277</v>
      </c>
      <c r="T4" s="42" t="n">
        <v>87169</v>
      </c>
      <c r="U4" s="42" t="n">
        <v>70836</v>
      </c>
      <c r="V4" s="42" t="n">
        <v>78719</v>
      </c>
      <c r="W4" s="42" t="n">
        <v>72744</v>
      </c>
      <c r="X4" s="42" t="n">
        <v>74197</v>
      </c>
      <c r="Y4" s="42" t="n">
        <v>88322</v>
      </c>
    </row>
    <row r="5" customFormat="1" s="31">
      <c r="A5" s="31" t="inlineStr">
        <is>
          <t>New Customers -- all channels</t>
        </is>
      </c>
      <c r="D5" s="32" t="inlineStr">
        <is>
          <t># ppl</t>
        </is>
      </c>
      <c r="E5" s="42" t="n">
        <v>31497</v>
      </c>
      <c r="F5" s="42" t="n">
        <v>29304</v>
      </c>
      <c r="G5" s="42" t="n">
        <v>26915</v>
      </c>
      <c r="H5" s="42" t="n">
        <v>24547</v>
      </c>
      <c r="I5" s="42" t="n">
        <v>22216</v>
      </c>
      <c r="J5" s="42" t="n">
        <v>23617</v>
      </c>
      <c r="K5" s="42" t="n">
        <v>23655</v>
      </c>
      <c r="L5" s="42" t="n">
        <v>25514</v>
      </c>
      <c r="M5" s="42" t="n">
        <v>26090</v>
      </c>
      <c r="N5" s="42" t="n">
        <v>26889</v>
      </c>
      <c r="O5" s="42" t="n">
        <v>25885</v>
      </c>
      <c r="P5" s="42" t="n">
        <v>24519</v>
      </c>
      <c r="Q5" s="42" t="n">
        <v>26010</v>
      </c>
      <c r="R5" s="42" t="n">
        <v>26533</v>
      </c>
      <c r="S5" s="42" t="n">
        <v>25882</v>
      </c>
      <c r="T5" s="42" t="n">
        <v>26245</v>
      </c>
      <c r="U5" s="42" t="n">
        <v>25196</v>
      </c>
      <c r="V5" s="42" t="n">
        <v>24601</v>
      </c>
      <c r="W5" s="42" t="n">
        <v>24298</v>
      </c>
      <c r="X5" s="42" t="n">
        <v>23815</v>
      </c>
      <c r="Y5" s="42" t="n">
        <v>24584</v>
      </c>
    </row>
    <row r="6" ht="6.95" customHeight="1">
      <c r="A6" s="1" t="n"/>
      <c r="D6" s="5" t="n"/>
    </row>
    <row r="7" customFormat="1" s="19">
      <c r="A7" s="18" t="inlineStr">
        <is>
          <t>Total Retail</t>
        </is>
      </c>
      <c r="D7" s="20" t="n"/>
    </row>
    <row r="8">
      <c r="A8" s="1" t="inlineStr">
        <is>
          <t>Sell-in value</t>
        </is>
      </c>
      <c r="D8" s="24" t="inlineStr">
        <is>
          <t>$k</t>
        </is>
      </c>
      <c r="E8" s="42">
        <f>E27+E71+E100+E129+E153</f>
        <v/>
      </c>
      <c r="F8" s="42">
        <f>F27+F71+F100+F129+F153</f>
        <v/>
      </c>
      <c r="G8" s="42">
        <f>G27+G71+G100+G129+G153</f>
        <v/>
      </c>
      <c r="H8" s="42">
        <f>H27+H71+H100+H129+H153</f>
        <v/>
      </c>
      <c r="I8" s="42">
        <f>I27+I71+I100+I129+I153</f>
        <v/>
      </c>
      <c r="J8" s="42">
        <f>J27+J71+J100+J129+J153</f>
        <v/>
      </c>
      <c r="K8" s="42">
        <f>K27+K71+K100+K129+K153</f>
        <v/>
      </c>
      <c r="L8" s="42">
        <f>L27+L71+L100+L129+L153</f>
        <v/>
      </c>
      <c r="M8" s="42">
        <f>M27+M71+M100+M129+M153</f>
        <v/>
      </c>
      <c r="N8" s="42">
        <f>N27+N71+N100+N129+N153</f>
        <v/>
      </c>
      <c r="O8" s="42">
        <f>O27+O71+O100+O129+O153</f>
        <v/>
      </c>
      <c r="P8" s="42">
        <f>P27+P71+P100+P129+P153</f>
        <v/>
      </c>
      <c r="Q8" s="42">
        <f>Q27+Q71+Q100+Q129+Q153</f>
        <v/>
      </c>
      <c r="R8" s="42">
        <f>R27+R71+R100+R129+R153</f>
        <v/>
      </c>
      <c r="S8" s="42">
        <f>S27+S71+S100+S129+S153</f>
        <v/>
      </c>
      <c r="T8" s="42">
        <f>T27+T71+T100+T129+T153</f>
        <v/>
      </c>
      <c r="U8" s="42">
        <f>U27+U71+U100+U129+U153</f>
        <v/>
      </c>
      <c r="V8" s="42">
        <f>V27+V71+V100+V129+V153</f>
        <v/>
      </c>
      <c r="W8" s="42">
        <f>W27+W71+W100+W129+W153</f>
        <v/>
      </c>
      <c r="X8" s="42">
        <f>X27+X71+X100+X129+X153</f>
        <v/>
      </c>
      <c r="Y8" s="42">
        <f>Y27+Y71+Y100+Y129+Y153</f>
        <v/>
      </c>
    </row>
    <row r="9" customFormat="1" s="7">
      <c r="B9" s="7" t="inlineStr">
        <is>
          <t>% of Target</t>
        </is>
      </c>
      <c r="D9" s="8" t="inlineStr">
        <is>
          <t>%</t>
        </is>
      </c>
      <c r="E9" s="43">
        <f>IFERROR(E8/E10,"")</f>
        <v/>
      </c>
      <c r="F9" s="43">
        <f>IFERROR(F8/F10,"")</f>
        <v/>
      </c>
      <c r="G9" s="43">
        <f>IFERROR(G8/G10,"")</f>
        <v/>
      </c>
      <c r="H9" s="43">
        <f>IFERROR(H8/H10,"")</f>
        <v/>
      </c>
      <c r="I9" s="43">
        <f>IFERROR(I8/I10,"")</f>
        <v/>
      </c>
      <c r="J9" s="43">
        <f>IFERROR(J8/J10,"")</f>
        <v/>
      </c>
      <c r="K9" s="43">
        <f>IFERROR(K8/K10,"")</f>
        <v/>
      </c>
      <c r="L9" s="43">
        <f>IFERROR(L8/L10,"")</f>
        <v/>
      </c>
      <c r="M9" s="43">
        <f>IFERROR(M8/M10,"")</f>
        <v/>
      </c>
      <c r="N9" s="43">
        <f>IFERROR(N8/N10,"")</f>
        <v/>
      </c>
      <c r="O9" s="43">
        <f>IFERROR(O8/O10,"")</f>
        <v/>
      </c>
      <c r="P9" s="43">
        <f>IFERROR(P8/P10,"")</f>
        <v/>
      </c>
      <c r="Q9" s="43">
        <f>IFERROR(Q8/Q10,"")</f>
        <v/>
      </c>
      <c r="R9" s="43">
        <f>IFERROR(R8/R10,"")</f>
        <v/>
      </c>
      <c r="S9" s="43">
        <f>IFERROR(S8/S10,"")</f>
        <v/>
      </c>
      <c r="T9" s="43">
        <f>IFERROR(T8/T10,"")</f>
        <v/>
      </c>
      <c r="U9" s="43">
        <f>IFERROR(U8/U10,"")</f>
        <v/>
      </c>
      <c r="V9" s="43">
        <f>IFERROR(V8/V10,"")</f>
        <v/>
      </c>
      <c r="W9" s="43">
        <f>IFERROR(W8/W10,"")</f>
        <v/>
      </c>
      <c r="X9" s="43">
        <f>IFERROR(X8/X10,"")</f>
        <v/>
      </c>
      <c r="Y9" s="43">
        <f>IFERROR(Y8/Y10,"")</f>
        <v/>
      </c>
    </row>
    <row r="10" customFormat="1" s="9">
      <c r="B10" s="9" t="inlineStr">
        <is>
          <t>Target</t>
        </is>
      </c>
      <c r="D10" s="10" t="inlineStr">
        <is>
          <t>$k</t>
        </is>
      </c>
      <c r="E10" s="42">
        <f>E30+E74+E103+E132+E156</f>
        <v/>
      </c>
      <c r="F10" s="42">
        <f>F30+F74+F103+F132+F156</f>
        <v/>
      </c>
      <c r="G10" s="42">
        <f>G30+G74+G103+G132+G156</f>
        <v/>
      </c>
      <c r="H10" s="42">
        <f>H30+H74+H103+H132+H156</f>
        <v/>
      </c>
      <c r="I10" s="42">
        <f>I30+I74+I103+I132+I156</f>
        <v/>
      </c>
      <c r="J10" s="42">
        <f>J30+J74+J103+J132+J156</f>
        <v/>
      </c>
      <c r="K10" s="42">
        <f>K30+K74+K103+K132+K156</f>
        <v/>
      </c>
      <c r="L10" s="42">
        <f>L30+L74+L103+L132+L156</f>
        <v/>
      </c>
      <c r="M10" s="42">
        <f>M30+M74+M103+M132+M156</f>
        <v/>
      </c>
      <c r="N10" s="42">
        <f>N30+N74+N103+N132+N156</f>
        <v/>
      </c>
      <c r="O10" s="42">
        <f>O30+O74+O103+O132+O156</f>
        <v/>
      </c>
      <c r="P10" s="42">
        <f>P30+P74+P103+P132+P156</f>
        <v/>
      </c>
      <c r="Q10" s="42">
        <f>Q30+Q74+Q103+Q132+Q156</f>
        <v/>
      </c>
      <c r="R10" s="42">
        <f>R30+R74+R103+R132+R156</f>
        <v/>
      </c>
      <c r="S10" s="42">
        <f>S30+S74+S103+S132+S156</f>
        <v/>
      </c>
      <c r="T10" s="42">
        <f>T30+T74+T103+T132+T156</f>
        <v/>
      </c>
      <c r="U10" s="42">
        <f>U30+U74+U103+U132+U156</f>
        <v/>
      </c>
      <c r="V10" s="42">
        <f>V30+V74+V103+V132+V156</f>
        <v/>
      </c>
      <c r="W10" s="42">
        <f>W30+W74+W103+W132+W156</f>
        <v/>
      </c>
      <c r="X10" s="42">
        <f>X30+X74+X103+X132+X156</f>
        <v/>
      </c>
      <c r="Y10" s="42">
        <f>Y30+Y74+Y103+Y132+Y156</f>
        <v/>
      </c>
    </row>
    <row r="11"/>
    <row r="12">
      <c r="A12" s="1" t="inlineStr">
        <is>
          <t xml:space="preserve">Sell-through units </t>
        </is>
      </c>
      <c r="D12" s="24" t="inlineStr">
        <is>
          <t>#</t>
        </is>
      </c>
      <c r="E12" s="42">
        <f>E32+E76+E105+E134+E158</f>
        <v/>
      </c>
      <c r="F12" s="42">
        <f>F32+F76+F105+F134+F158</f>
        <v/>
      </c>
      <c r="G12" s="42">
        <f>G32+G76+G105+G134+G158</f>
        <v/>
      </c>
      <c r="H12" s="42">
        <f>H32+H76+H105+H134+H158</f>
        <v/>
      </c>
      <c r="I12" s="42">
        <f>I32+I76+I105+I134+I158</f>
        <v/>
      </c>
      <c r="J12" s="42">
        <f>J32+J76+J105+J134+J158</f>
        <v/>
      </c>
      <c r="K12" s="42">
        <f>K32+K76+K105+K134+K158</f>
        <v/>
      </c>
      <c r="L12" s="42">
        <f>L32+L76+L105+L134+L158</f>
        <v/>
      </c>
      <c r="M12" s="42">
        <f>M32+M76+M105+M134+M158</f>
        <v/>
      </c>
      <c r="N12" s="42">
        <f>N32+N76+N105+N134+N158</f>
        <v/>
      </c>
      <c r="O12" s="42">
        <f>O32+O76+O105+O134+O158</f>
        <v/>
      </c>
      <c r="P12" s="42">
        <f>P32+P76+P105+P134+P158</f>
        <v/>
      </c>
      <c r="Q12" s="42">
        <f>Q32+Q76+Q105+Q134+Q158</f>
        <v/>
      </c>
      <c r="R12" s="42">
        <f>R32+R76+R105+R134+R158</f>
        <v/>
      </c>
      <c r="S12" s="42">
        <f>S32+S76+S105+S134+S158</f>
        <v/>
      </c>
      <c r="T12" s="42">
        <f>T32+T76+T105+T134+T158</f>
        <v/>
      </c>
      <c r="U12" s="42">
        <f>U32+U76+U105+U134+U158</f>
        <v/>
      </c>
      <c r="V12" s="42">
        <f>V32+V76+V105+V134+V158</f>
        <v/>
      </c>
      <c r="W12" s="42">
        <f>W32+W76+W105+W134+W158</f>
        <v/>
      </c>
      <c r="X12" s="42">
        <f>X32+X76+X105+X134+X158</f>
        <v/>
      </c>
      <c r="Y12" s="42">
        <f>Y32+Y76+Y105+Y134+Y158</f>
        <v/>
      </c>
    </row>
    <row r="13" customFormat="1" s="16">
      <c r="A13" s="15" t="n"/>
      <c r="B13" s="16" t="inlineStr">
        <is>
          <t>% of Target</t>
        </is>
      </c>
      <c r="D13" s="17" t="inlineStr">
        <is>
          <t>%</t>
        </is>
      </c>
      <c r="E13" s="43">
        <f>IFERROR(E12/E14,"")</f>
        <v/>
      </c>
      <c r="F13" s="43">
        <f>IFERROR(F12/F14,"")</f>
        <v/>
      </c>
      <c r="G13" s="43">
        <f>IFERROR(G12/G14,"")</f>
        <v/>
      </c>
      <c r="H13" s="43">
        <f>IFERROR(H12/H14,"")</f>
        <v/>
      </c>
      <c r="I13" s="43">
        <f>IFERROR(I12/I14,"")</f>
        <v/>
      </c>
      <c r="J13" s="43">
        <f>IFERROR(J12/J14,"")</f>
        <v/>
      </c>
      <c r="K13" s="43">
        <f>IFERROR(K12/K14,"")</f>
        <v/>
      </c>
      <c r="L13" s="43">
        <f>IFERROR(L12/L14,"")</f>
        <v/>
      </c>
      <c r="M13" s="43">
        <f>IFERROR(M12/M14,"")</f>
        <v/>
      </c>
      <c r="N13" s="43">
        <f>IFERROR(N12/N14,"")</f>
        <v/>
      </c>
      <c r="O13" s="43">
        <f>IFERROR(O12/O14,"")</f>
        <v/>
      </c>
      <c r="P13" s="43">
        <f>IFERROR(P12/P14,"")</f>
        <v/>
      </c>
      <c r="Q13" s="43">
        <f>IFERROR(Q12/Q14,"")</f>
        <v/>
      </c>
      <c r="R13" s="43">
        <f>IFERROR(R12/R14,"")</f>
        <v/>
      </c>
      <c r="S13" s="43">
        <f>IFERROR(S12/S14,"")</f>
        <v/>
      </c>
      <c r="T13" s="43">
        <f>IFERROR(T12/T14,"")</f>
        <v/>
      </c>
      <c r="U13" s="43">
        <f>IFERROR(U12/U14,"")</f>
        <v/>
      </c>
      <c r="V13" s="43">
        <f>IFERROR(V12/V14,"")</f>
        <v/>
      </c>
      <c r="W13" s="43">
        <f>IFERROR(W12/W14,"")</f>
        <v/>
      </c>
      <c r="X13" s="43">
        <f>IFERROR(X12/X14,"")</f>
        <v/>
      </c>
      <c r="Y13" s="43">
        <f>IFERROR(Y12/Y14,"")</f>
        <v/>
      </c>
    </row>
    <row r="14" customFormat="1" s="13">
      <c r="A14" s="12" t="n"/>
      <c r="B14" s="13" t="inlineStr">
        <is>
          <t>Target</t>
        </is>
      </c>
      <c r="D14" s="14" t="inlineStr">
        <is>
          <t>#</t>
        </is>
      </c>
      <c r="E14" s="42">
        <f>E35+E79+E108+E137+E161</f>
        <v/>
      </c>
      <c r="F14" s="42">
        <f>F35+F79+F108+F137+F161</f>
        <v/>
      </c>
      <c r="G14" s="42">
        <f>G35+G79+G108+G137+G161</f>
        <v/>
      </c>
      <c r="H14" s="42">
        <f>H35+H79+H108+H137+H161</f>
        <v/>
      </c>
      <c r="I14" s="42">
        <f>I35+I79+I108+I137+I161</f>
        <v/>
      </c>
      <c r="J14" s="42">
        <f>J35+J79+J108+J137+J161</f>
        <v/>
      </c>
      <c r="K14" s="42">
        <f>K35+K79+K108+K137+K161</f>
        <v/>
      </c>
      <c r="L14" s="42">
        <f>L35+L79+L108+L137+L161</f>
        <v/>
      </c>
      <c r="M14" s="42">
        <f>M35+M79+M108+M137+M161</f>
        <v/>
      </c>
      <c r="N14" s="42">
        <f>N35+N79+N108+N137+N161</f>
        <v/>
      </c>
      <c r="O14" s="42">
        <f>O35+O79+O108+O137+O161</f>
        <v/>
      </c>
      <c r="P14" s="42">
        <f>P35+P79+P108+P137+P161</f>
        <v/>
      </c>
      <c r="Q14" s="42">
        <f>Q35+Q79+Q108+Q137+Q161</f>
        <v/>
      </c>
      <c r="R14" s="42">
        <f>R35+R79+R108+R137+R161</f>
        <v/>
      </c>
      <c r="S14" s="42">
        <f>S35+S79+S108+S137+S161</f>
        <v/>
      </c>
      <c r="T14" s="42">
        <f>T35+T79+T108+T137+T161</f>
        <v/>
      </c>
      <c r="U14" s="42">
        <f>U35+U79+U108+U137+U161</f>
        <v/>
      </c>
      <c r="V14" s="42">
        <f>V35+V79+V108+V137+V161</f>
        <v/>
      </c>
      <c r="W14" s="42">
        <f>W35+W79+W108+W137+W161</f>
        <v/>
      </c>
      <c r="X14" s="42">
        <f>X35+X79+X108+X137+X161</f>
        <v/>
      </c>
      <c r="Y14" s="42">
        <f>Y35+Y79+Y108+Y137+Y161</f>
        <v/>
      </c>
    </row>
    <row r="15">
      <c r="C15" s="11" t="inlineStr">
        <is>
          <t xml:space="preserve">Cam </t>
        </is>
      </c>
      <c r="D15" s="6" t="inlineStr">
        <is>
          <t>#</t>
        </is>
      </c>
      <c r="E15" s="42">
        <f>E36+E80+E109+E138+E162</f>
        <v/>
      </c>
      <c r="F15" s="42">
        <f>F36+F80+F109+F138+F162</f>
        <v/>
      </c>
      <c r="G15" s="42">
        <f>G36+G80+G109+G138+G162</f>
        <v/>
      </c>
      <c r="H15" s="42">
        <f>H36+H80+H109+H138+H162</f>
        <v/>
      </c>
      <c r="I15" s="42">
        <f>I36+I80+I109+I138+I162</f>
        <v/>
      </c>
      <c r="J15" s="42">
        <f>J36+J80+J109+J138+J162</f>
        <v/>
      </c>
      <c r="K15" s="42">
        <f>K36+K80+K109+K138+K162</f>
        <v/>
      </c>
      <c r="L15" s="42">
        <f>L36+L80+L109+L138+L162</f>
        <v/>
      </c>
      <c r="M15" s="42">
        <f>M36+M80+M109+M138+M162</f>
        <v/>
      </c>
      <c r="N15" s="42">
        <f>N36+N80+N109+N138+N162</f>
        <v/>
      </c>
      <c r="O15" s="42">
        <f>O36+O80+O109+O138+O162</f>
        <v/>
      </c>
      <c r="P15" s="42">
        <f>P36+P80+P109+P138+P162</f>
        <v/>
      </c>
      <c r="Q15" s="42">
        <f>Q36+Q80+Q109+Q138+Q162</f>
        <v/>
      </c>
      <c r="R15" s="42">
        <f>R36+R80+R109+R138+R162</f>
        <v/>
      </c>
      <c r="S15" s="42">
        <f>S36+S80+S109+S138+S162</f>
        <v/>
      </c>
      <c r="T15" s="42">
        <f>T36+T80+T109+T138+T162</f>
        <v/>
      </c>
      <c r="U15" s="42">
        <f>U36+U80+U109+U138+U162</f>
        <v/>
      </c>
      <c r="V15" s="42">
        <f>V36+V80+V109+V138+V162</f>
        <v/>
      </c>
      <c r="W15" s="42">
        <f>W36+W80+W109+W138+W162</f>
        <v/>
      </c>
      <c r="X15" s="42">
        <f>X36+X80+X109+X138+X162</f>
        <v/>
      </c>
      <c r="Y15" s="42">
        <f>Y36+Y80+Y109+Y138+Y162</f>
        <v/>
      </c>
    </row>
    <row r="16">
      <c r="C16" s="11" t="inlineStr">
        <is>
          <t>Non Cam</t>
        </is>
      </c>
      <c r="D16" s="6" t="inlineStr">
        <is>
          <t>#</t>
        </is>
      </c>
      <c r="E16" s="42">
        <f>E37+E81+E110+E139+E163</f>
        <v/>
      </c>
      <c r="F16" s="42">
        <f>F37+F81+F110+F139+F163</f>
        <v/>
      </c>
      <c r="G16" s="42">
        <f>G37+G81+G110+G139+G163</f>
        <v/>
      </c>
      <c r="H16" s="42">
        <f>H37+H81+H110+H139+H163</f>
        <v/>
      </c>
      <c r="I16" s="42">
        <f>I37+I81+I110+I139+I163</f>
        <v/>
      </c>
      <c r="J16" s="42">
        <f>J37+J81+J110+J139+J163</f>
        <v/>
      </c>
      <c r="K16" s="42">
        <f>K37+K81+K110+K139+K163</f>
        <v/>
      </c>
      <c r="L16" s="42">
        <f>L37+L81+L110+L139+L163</f>
        <v/>
      </c>
      <c r="M16" s="42">
        <f>M37+M81+M110+M139+M163</f>
        <v/>
      </c>
      <c r="N16" s="42">
        <f>N37+N81+N110+N139+N163</f>
        <v/>
      </c>
      <c r="O16" s="42">
        <f>O37+O81+O110+O139+O163</f>
        <v/>
      </c>
      <c r="P16" s="42">
        <f>P37+P81+P110+P139+P163</f>
        <v/>
      </c>
      <c r="Q16" s="42">
        <f>Q37+Q81+Q110+Q139+Q163</f>
        <v/>
      </c>
      <c r="R16" s="42">
        <f>R37+R81+R110+R139+R163</f>
        <v/>
      </c>
      <c r="S16" s="42">
        <f>S37+S81+S110+S139+S163</f>
        <v/>
      </c>
      <c r="T16" s="42">
        <f>T37+T81+T110+T139+T163</f>
        <v/>
      </c>
      <c r="U16" s="42">
        <f>U37+U81+U110+U139+U163</f>
        <v/>
      </c>
      <c r="V16" s="42">
        <f>V37+V81+V110+V139+V163</f>
        <v/>
      </c>
      <c r="W16" s="42">
        <f>W37+W81+W110+W139+W163</f>
        <v/>
      </c>
      <c r="X16" s="42">
        <f>X37+X81+X110+X139+X163</f>
        <v/>
      </c>
      <c r="Y16" s="42">
        <f>Y37+Y81+Y110+Y139+Y163</f>
        <v/>
      </c>
    </row>
    <row r="17">
      <c r="C17" s="6" t="n"/>
    </row>
    <row r="18">
      <c r="A18" s="1" t="inlineStr">
        <is>
          <t>New Customers</t>
        </is>
      </c>
      <c r="C18" s="6" t="n"/>
      <c r="D18" s="24" t="inlineStr">
        <is>
          <t># ppl</t>
        </is>
      </c>
      <c r="E18" s="42" t="n">
        <v>30915</v>
      </c>
      <c r="F18" s="42" t="n">
        <v>28707</v>
      </c>
      <c r="G18" s="42" t="n">
        <v>26402</v>
      </c>
      <c r="H18" s="42" t="n">
        <v>24118</v>
      </c>
      <c r="I18" s="42" t="n">
        <v>21856</v>
      </c>
      <c r="J18" s="42" t="n">
        <v>23116</v>
      </c>
      <c r="K18" s="42" t="n">
        <v>23153</v>
      </c>
      <c r="L18" s="42" t="n">
        <v>24915</v>
      </c>
      <c r="M18" s="42" t="n">
        <v>25517</v>
      </c>
      <c r="N18" s="42" t="n">
        <v>26324</v>
      </c>
      <c r="O18" s="42" t="n">
        <v>25365</v>
      </c>
      <c r="P18" s="42" t="n">
        <v>23937</v>
      </c>
      <c r="Q18" s="42" t="n">
        <v>25393</v>
      </c>
      <c r="R18" s="42" t="n">
        <v>25942</v>
      </c>
      <c r="S18" s="42" t="n">
        <v>25225</v>
      </c>
      <c r="T18" s="42" t="n">
        <v>25628</v>
      </c>
      <c r="U18" s="42" t="n">
        <v>24579</v>
      </c>
      <c r="V18" s="42" t="n">
        <v>24056</v>
      </c>
      <c r="W18" s="42" t="n">
        <v>23723</v>
      </c>
      <c r="X18" s="42" t="n">
        <v>23209</v>
      </c>
      <c r="Y18" s="42" t="n">
        <v>23924</v>
      </c>
    </row>
    <row r="19">
      <c r="A19" s="1" t="n"/>
      <c r="B19" t="inlineStr">
        <is>
          <t>As % of all units</t>
        </is>
      </c>
      <c r="C19" s="6" t="n"/>
      <c r="D19" s="6" t="inlineStr">
        <is>
          <t>%</t>
        </is>
      </c>
      <c r="E19" s="43">
        <f>IFERROR(E18/E12,"")</f>
        <v/>
      </c>
      <c r="F19" s="43">
        <f>IFERROR(F18/F12,"")</f>
        <v/>
      </c>
      <c r="G19" s="43">
        <f>IFERROR(G18/G12,"")</f>
        <v/>
      </c>
      <c r="H19" s="43">
        <f>IFERROR(H18/H12,"")</f>
        <v/>
      </c>
      <c r="I19" s="43">
        <f>IFERROR(I18/I12,"")</f>
        <v/>
      </c>
      <c r="J19" s="43">
        <f>IFERROR(J18/J12,"")</f>
        <v/>
      </c>
      <c r="K19" s="43">
        <f>IFERROR(K18/K12,"")</f>
        <v/>
      </c>
      <c r="L19" s="43">
        <f>IFERROR(L18/L12,"")</f>
        <v/>
      </c>
      <c r="M19" s="43">
        <f>IFERROR(M18/M12,"")</f>
        <v/>
      </c>
      <c r="N19" s="43">
        <f>IFERROR(N18/N12,"")</f>
        <v/>
      </c>
      <c r="O19" s="43">
        <f>IFERROR(O18/O12,"")</f>
        <v/>
      </c>
      <c r="P19" s="43">
        <f>IFERROR(P18/P12,"")</f>
        <v/>
      </c>
      <c r="Q19" s="43">
        <f>IFERROR(Q18/Q12,"")</f>
        <v/>
      </c>
      <c r="R19" s="43">
        <f>IFERROR(R18/R12,"")</f>
        <v/>
      </c>
      <c r="S19" s="43">
        <f>IFERROR(S18/S12,"")</f>
        <v/>
      </c>
      <c r="T19" s="43">
        <f>IFERROR(T18/T12,"")</f>
        <v/>
      </c>
      <c r="U19" s="43">
        <f>IFERROR(U18/U12,"")</f>
        <v/>
      </c>
      <c r="V19" s="43">
        <f>IFERROR(V18/V12,"")</f>
        <v/>
      </c>
      <c r="W19" s="43">
        <f>IFERROR(W18/W12,"")</f>
        <v/>
      </c>
      <c r="X19" s="43">
        <f>IFERROR(X18/X12,"")</f>
        <v/>
      </c>
      <c r="Y19" s="43">
        <f>IFERROR(Y18/Y12,"")</f>
        <v/>
      </c>
    </row>
    <row r="20">
      <c r="B20" s="7" t="inlineStr">
        <is>
          <t>% of Target</t>
        </is>
      </c>
      <c r="C20" s="6" t="n"/>
      <c r="D20" s="17" t="inlineStr">
        <is>
          <t>%</t>
        </is>
      </c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</row>
    <row r="21">
      <c r="B21" s="9" t="inlineStr">
        <is>
          <t>Target</t>
        </is>
      </c>
      <c r="C21" s="6" t="n"/>
      <c r="D21" s="14" t="inlineStr">
        <is>
          <t>#</t>
        </is>
      </c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</row>
    <row r="22">
      <c r="C22" s="11" t="inlineStr">
        <is>
          <t xml:space="preserve">Cam </t>
        </is>
      </c>
      <c r="D22" s="6" t="inlineStr">
        <is>
          <t>#</t>
        </is>
      </c>
      <c r="E22" s="42" t="n">
        <v>23626</v>
      </c>
      <c r="F22" s="42" t="n">
        <v>21606</v>
      </c>
      <c r="G22" s="42" t="n">
        <v>20654</v>
      </c>
      <c r="H22" s="42" t="n">
        <v>18839</v>
      </c>
      <c r="I22" s="42" t="n">
        <v>17287</v>
      </c>
      <c r="J22" s="42" t="n">
        <v>18378</v>
      </c>
      <c r="K22" s="42" t="n">
        <v>18547</v>
      </c>
      <c r="L22" s="42" t="n">
        <v>20193</v>
      </c>
      <c r="M22" s="42" t="n">
        <v>20963</v>
      </c>
      <c r="N22" s="42" t="n">
        <v>21834</v>
      </c>
      <c r="O22" s="42" t="n">
        <v>20968</v>
      </c>
      <c r="P22" s="42" t="n">
        <v>19809</v>
      </c>
      <c r="Q22" s="42" t="n">
        <v>21109</v>
      </c>
      <c r="R22" s="42" t="n">
        <v>21588</v>
      </c>
      <c r="S22" s="42" t="n">
        <v>21052</v>
      </c>
      <c r="T22" s="42" t="n">
        <v>21501</v>
      </c>
      <c r="U22" s="42" t="n">
        <v>20620</v>
      </c>
      <c r="V22" s="42" t="n">
        <v>19818</v>
      </c>
      <c r="W22" s="42" t="n">
        <v>19645</v>
      </c>
      <c r="X22" s="42" t="n">
        <v>19503</v>
      </c>
      <c r="Y22" s="42" t="n">
        <v>20172</v>
      </c>
    </row>
    <row r="23">
      <c r="C23" s="11" t="inlineStr">
        <is>
          <t>Non Cam</t>
        </is>
      </c>
      <c r="D23" s="6" t="inlineStr">
        <is>
          <t>#</t>
        </is>
      </c>
      <c r="E23" s="42" t="n">
        <v>7289</v>
      </c>
      <c r="F23" s="42" t="n">
        <v>7101</v>
      </c>
      <c r="G23" s="42" t="n">
        <v>5748</v>
      </c>
      <c r="H23" s="42" t="n">
        <v>5279</v>
      </c>
      <c r="I23" s="42" t="n">
        <v>4569</v>
      </c>
      <c r="J23" s="42" t="n">
        <v>4738</v>
      </c>
      <c r="K23" s="42" t="n">
        <v>4606</v>
      </c>
      <c r="L23" s="42" t="n">
        <v>4722</v>
      </c>
      <c r="M23" s="42" t="n">
        <v>4554</v>
      </c>
      <c r="N23" s="42" t="n">
        <v>4490</v>
      </c>
      <c r="O23" s="42" t="n">
        <v>4397</v>
      </c>
      <c r="P23" s="42" t="n">
        <v>4128</v>
      </c>
      <c r="Q23" s="42" t="n">
        <v>4284</v>
      </c>
      <c r="R23" s="42" t="n">
        <v>4354</v>
      </c>
      <c r="S23" s="42" t="n">
        <v>4173</v>
      </c>
      <c r="T23" s="42" t="n">
        <v>4127</v>
      </c>
      <c r="U23" s="42" t="n">
        <v>3959</v>
      </c>
      <c r="V23" s="42" t="n">
        <v>4238</v>
      </c>
      <c r="W23" s="42" t="n">
        <v>4078</v>
      </c>
      <c r="X23" s="42" t="n">
        <v>3706</v>
      </c>
      <c r="Y23" s="42" t="n">
        <v>3752</v>
      </c>
    </row>
    <row r="24"/>
    <row r="25"/>
    <row r="26" customFormat="1" s="21">
      <c r="A26" s="23" t="inlineStr">
        <is>
          <t>Amazon</t>
        </is>
      </c>
      <c r="D26" s="22" t="n"/>
    </row>
    <row r="27">
      <c r="A27" s="1" t="inlineStr">
        <is>
          <t>Sell-in value</t>
        </is>
      </c>
      <c r="D27" s="24" t="inlineStr">
        <is>
          <t>$k</t>
        </is>
      </c>
      <c r="E27" s="42" t="n">
        <v>2127.24859099358</v>
      </c>
      <c r="F27" s="42" t="n">
        <v>1044.45569458647</v>
      </c>
      <c r="G27" s="42" t="n">
        <v>1373.90702872899</v>
      </c>
      <c r="H27" s="42" t="n">
        <v>640.211498255939</v>
      </c>
      <c r="I27" s="42" t="n">
        <v>1192.01264067877</v>
      </c>
      <c r="J27" s="42" t="n">
        <v>1000.10529526584</v>
      </c>
      <c r="K27" s="42" t="n">
        <v>1373.29421852053</v>
      </c>
      <c r="L27" s="42" t="n">
        <v>2264.38600248564</v>
      </c>
      <c r="M27" s="42" t="n">
        <v>2092.87922952228</v>
      </c>
      <c r="N27" s="42" t="n">
        <v>3650.80781966585</v>
      </c>
      <c r="O27" s="42" t="n">
        <v>886.4073478916</v>
      </c>
      <c r="P27" s="42" t="n">
        <v>2338.6943152882</v>
      </c>
      <c r="Q27" s="42" t="n">
        <v>750.52928777268</v>
      </c>
      <c r="R27" s="42" t="n">
        <v>2143.50254291039</v>
      </c>
      <c r="S27" s="42" t="n">
        <v>1435.25690234883</v>
      </c>
      <c r="T27" s="42" t="n">
        <v>1643.99990622046</v>
      </c>
      <c r="U27" s="42" t="n">
        <v>1386.10138275908</v>
      </c>
      <c r="V27" s="42" t="n">
        <v>1479.27080452016</v>
      </c>
      <c r="W27" s="42" t="n">
        <v>3597.77279835534</v>
      </c>
      <c r="X27" s="42" t="n">
        <v>1680.47300125668</v>
      </c>
      <c r="Y27" s="42" t="n">
        <v>5793.31188299491</v>
      </c>
    </row>
    <row r="28" customFormat="1" s="4">
      <c r="A28" s="3" t="n"/>
      <c r="B28" s="4" t="inlineStr">
        <is>
          <t>% of Total - YTD</t>
        </is>
      </c>
      <c r="D28" s="33" t="inlineStr">
        <is>
          <t>%</t>
        </is>
      </c>
      <c r="E28" s="43">
        <f>IFERROR(SUM($E$27:E27)/SUM($E$3:E3),"")</f>
        <v/>
      </c>
      <c r="F28" s="43">
        <f>IFERROR(SUM($E$27:F27)/SUM($E$3:F3),"")</f>
        <v/>
      </c>
      <c r="G28" s="43">
        <f>IFERROR(SUM($E$27:G27)/SUM($E$3:G3),"")</f>
        <v/>
      </c>
      <c r="H28" s="43">
        <f>IFERROR(SUM($E$27:H27)/SUM($E$3:H3),"")</f>
        <v/>
      </c>
      <c r="I28" s="43">
        <f>IFERROR(SUM($E$27:I27)/SUM($E$3:I3),"")</f>
        <v/>
      </c>
      <c r="J28" s="43">
        <f>IFERROR(SUM($E$27:J27)/SUM($E$3:J3),"")</f>
        <v/>
      </c>
      <c r="K28" s="43">
        <f>IFERROR(SUM($E$27:K27)/SUM($E$3:K3),"")</f>
        <v/>
      </c>
      <c r="L28" s="43">
        <f>IFERROR(SUM($E$27:L27)/SUM($E$3:L3),"")</f>
        <v/>
      </c>
      <c r="M28" s="43">
        <f>IFERROR(SUM($E$27:M27)/SUM($E$3:M3),"")</f>
        <v/>
      </c>
      <c r="N28" s="43">
        <f>IFERROR(SUM($E$27:N27)/SUM($E$3:N3),"")</f>
        <v/>
      </c>
      <c r="O28" s="43">
        <f>IFERROR(SUM($E$27:O27)/SUM($E$3:O3),"")</f>
        <v/>
      </c>
      <c r="P28" s="43">
        <f>IFERROR(SUM($E$27:P27)/SUM($E$3:P3),"")</f>
        <v/>
      </c>
      <c r="Q28" s="43">
        <f>IFERROR(SUM($E$27:Q27)/SUM($E$3:Q3),"")</f>
        <v/>
      </c>
      <c r="R28" s="43">
        <f>IFERROR(SUM($E$27:R27)/SUM($E$3:R3),"")</f>
        <v/>
      </c>
      <c r="S28" s="43">
        <f>IFERROR(SUM($E$27:S27)/SUM($E$3:S3),"")</f>
        <v/>
      </c>
      <c r="T28" s="43">
        <f>IFERROR(SUM($E$27:T27)/SUM($E$3:T3),"")</f>
        <v/>
      </c>
      <c r="U28" s="43">
        <f>IFERROR(SUM($E$27:U27)/SUM($E$3:U3),"")</f>
        <v/>
      </c>
      <c r="V28" s="43">
        <f>IFERROR(SUM($E$27:V27)/SUM($E$3:V3),"")</f>
        <v/>
      </c>
      <c r="W28" s="43">
        <f>IFERROR(SUM($E$27:W27)/SUM($E$3:W3),"")</f>
        <v/>
      </c>
      <c r="X28" s="43">
        <f>IFERROR(SUM($E$27:X27)/SUM($E$3:X3),"")</f>
        <v/>
      </c>
      <c r="Y28" s="43">
        <f>IFERROR(SUM($E$27:Y27)/SUM($E$3:Y3),"")</f>
        <v/>
      </c>
    </row>
    <row r="29" customFormat="1" s="7">
      <c r="B29" s="7" t="inlineStr">
        <is>
          <t>% of Target</t>
        </is>
      </c>
      <c r="D29" s="8" t="inlineStr">
        <is>
          <t>%</t>
        </is>
      </c>
      <c r="E29" s="43">
        <f>IFERROR(E27/E30,"")</f>
        <v/>
      </c>
      <c r="F29" s="43">
        <f>IFERROR(F27/F30,"")</f>
        <v/>
      </c>
      <c r="G29" s="43">
        <f>IFERROR(G27/G30,"")</f>
        <v/>
      </c>
      <c r="H29" s="43">
        <f>IFERROR(H27/H30,"")</f>
        <v/>
      </c>
      <c r="I29" s="43">
        <f>IFERROR(I27/I30,"")</f>
        <v/>
      </c>
      <c r="J29" s="43">
        <f>IFERROR(J27/J30,"")</f>
        <v/>
      </c>
      <c r="K29" s="43">
        <f>IFERROR(K27/K30,"")</f>
        <v/>
      </c>
      <c r="L29" s="43">
        <f>IFERROR(L27/L30,"")</f>
        <v/>
      </c>
      <c r="M29" s="43">
        <f>IFERROR(M27/M30,"")</f>
        <v/>
      </c>
      <c r="N29" s="43">
        <f>IFERROR(N27/N30,"")</f>
        <v/>
      </c>
      <c r="O29" s="43">
        <f>IFERROR(O27/O30,"")</f>
        <v/>
      </c>
      <c r="P29" s="43">
        <f>IFERROR(P27/P30,"")</f>
        <v/>
      </c>
      <c r="Q29" s="43">
        <f>IFERROR(Q27/Q30,"")</f>
        <v/>
      </c>
      <c r="R29" s="43">
        <f>IFERROR(R27/R30,"")</f>
        <v/>
      </c>
      <c r="S29" s="43">
        <f>IFERROR(S27/S30,"")</f>
        <v/>
      </c>
      <c r="T29" s="43">
        <f>IFERROR(T27/T30,"")</f>
        <v/>
      </c>
      <c r="U29" s="43">
        <f>IFERROR(U27/U30,"")</f>
        <v/>
      </c>
      <c r="V29" s="43">
        <f>IFERROR(V27/V30,"")</f>
        <v/>
      </c>
      <c r="W29" s="43">
        <f>IFERROR(W27/W30,"")</f>
        <v/>
      </c>
      <c r="X29" s="43">
        <f>IFERROR(X27/X30,"")</f>
        <v/>
      </c>
      <c r="Y29" s="43">
        <f>IFERROR(Y27/Y30,"")</f>
        <v/>
      </c>
    </row>
    <row r="30" customFormat="1" s="9">
      <c r="B30" s="9" t="inlineStr">
        <is>
          <t>Target</t>
        </is>
      </c>
      <c r="D30" s="10" t="inlineStr">
        <is>
          <t>$k</t>
        </is>
      </c>
      <c r="E30" s="42" t="n">
        <v>661.221645296</v>
      </c>
      <c r="F30" s="42" t="n">
        <v>1157.137879268</v>
      </c>
      <c r="G30" s="42" t="n">
        <v>1157.137879268</v>
      </c>
      <c r="H30" s="42" t="n">
        <v>1157.137879268</v>
      </c>
      <c r="I30" s="42" t="n">
        <v>1216.792846818</v>
      </c>
      <c r="J30" s="42" t="n">
        <v>1574.73525</v>
      </c>
      <c r="K30" s="42" t="n">
        <v>1574.73525</v>
      </c>
      <c r="L30" s="42" t="n">
        <v>1574.73525</v>
      </c>
      <c r="M30" s="42" t="n">
        <v>1540.646811962</v>
      </c>
      <c r="N30" s="42" t="n">
        <v>1336.103585852</v>
      </c>
      <c r="O30" s="42" t="n">
        <v>1336.103585852</v>
      </c>
      <c r="P30" s="42" t="n">
        <v>1336.103585852</v>
      </c>
      <c r="Q30" s="42" t="n">
        <v>1336.103585852</v>
      </c>
      <c r="R30" s="42" t="n">
        <v>1278.51467521</v>
      </c>
      <c r="S30" s="42" t="n">
        <v>1255.474806462</v>
      </c>
      <c r="T30" s="42" t="n">
        <v>1255.474806462</v>
      </c>
      <c r="U30" s="42" t="n">
        <v>1255.474806462</v>
      </c>
      <c r="V30" s="42" t="n">
        <v>1389.332223912</v>
      </c>
      <c r="W30" s="42" t="n">
        <v>1567.81057405</v>
      </c>
      <c r="X30" s="42" t="n">
        <v>1567.81057405</v>
      </c>
      <c r="Y30" s="42" t="n">
        <v>1567.81057405</v>
      </c>
    </row>
    <row r="31"/>
    <row r="32">
      <c r="A32" s="1" t="inlineStr">
        <is>
          <t xml:space="preserve">Sell-through units </t>
        </is>
      </c>
      <c r="D32" s="24" t="inlineStr">
        <is>
          <t>#</t>
        </is>
      </c>
      <c r="E32" s="42" t="n">
        <v>117430</v>
      </c>
      <c r="F32" s="42" t="n">
        <v>53947</v>
      </c>
      <c r="G32" s="42" t="n">
        <v>53877</v>
      </c>
      <c r="H32" s="42" t="n">
        <v>46803</v>
      </c>
      <c r="I32" s="42" t="n">
        <v>44074</v>
      </c>
      <c r="J32" s="42" t="n">
        <v>48191</v>
      </c>
      <c r="K32" s="42" t="n">
        <v>48984</v>
      </c>
      <c r="L32" s="42" t="n">
        <v>52113</v>
      </c>
      <c r="M32" s="42" t="n">
        <v>64865</v>
      </c>
      <c r="N32" s="42" t="n">
        <v>49333</v>
      </c>
      <c r="O32" s="42" t="n">
        <v>48606</v>
      </c>
      <c r="P32" s="42" t="n">
        <v>45699</v>
      </c>
      <c r="Q32" s="42" t="n">
        <v>55134</v>
      </c>
      <c r="R32" s="42" t="n">
        <v>53615</v>
      </c>
      <c r="S32" s="42" t="n">
        <v>50895</v>
      </c>
      <c r="T32" s="42" t="n">
        <v>54760</v>
      </c>
      <c r="U32" s="42" t="n">
        <v>42362</v>
      </c>
      <c r="V32" s="42" t="n">
        <v>40137</v>
      </c>
      <c r="W32" s="42" t="n">
        <v>43079</v>
      </c>
      <c r="X32" s="42" t="n">
        <v>44584</v>
      </c>
      <c r="Y32" s="42" t="n">
        <v>49546</v>
      </c>
    </row>
    <row r="33" customFormat="1" s="4">
      <c r="A33" s="3" t="n"/>
      <c r="B33" s="4" t="inlineStr">
        <is>
          <t>% of Total - YTD</t>
        </is>
      </c>
      <c r="D33" s="33" t="inlineStr">
        <is>
          <t>%</t>
        </is>
      </c>
      <c r="E33" s="43">
        <f>IFERROR(SUM($E$32:E32)/SUM($E$4:E4),"")</f>
        <v/>
      </c>
      <c r="F33" s="43">
        <f>IFERROR(SUM($E$32:F32)/SUM($E$4:F4),"")</f>
        <v/>
      </c>
      <c r="G33" s="43">
        <f>IFERROR(SUM($E$32:G32)/SUM($E$4:G4),"")</f>
        <v/>
      </c>
      <c r="H33" s="43">
        <f>IFERROR(SUM($E$32:H32)/SUM($E$4:H4),"")</f>
        <v/>
      </c>
      <c r="I33" s="43">
        <f>IFERROR(SUM($E$32:I32)/SUM($E$4:I4),"")</f>
        <v/>
      </c>
      <c r="J33" s="43">
        <f>IFERROR(SUM($E$32:J32)/SUM($E$4:J4),"")</f>
        <v/>
      </c>
      <c r="K33" s="43">
        <f>IFERROR(SUM($E$32:K32)/SUM($E$4:K4),"")</f>
        <v/>
      </c>
      <c r="L33" s="43">
        <f>IFERROR(SUM($E$32:L32)/SUM($E$4:L4),"")</f>
        <v/>
      </c>
      <c r="M33" s="43">
        <f>IFERROR(SUM($E$32:M32)/SUM($E$4:M4),"")</f>
        <v/>
      </c>
      <c r="N33" s="43">
        <f>IFERROR(SUM($E$32:N32)/SUM($E$4:N4),"")</f>
        <v/>
      </c>
      <c r="O33" s="43">
        <f>IFERROR(SUM($E$32:O32)/SUM($E$4:O4),"")</f>
        <v/>
      </c>
      <c r="P33" s="43">
        <f>IFERROR(SUM($E$32:P32)/SUM($E$4:P4),"")</f>
        <v/>
      </c>
      <c r="Q33" s="43">
        <f>IFERROR(SUM($E$32:Q32)/SUM($E$4:Q4),"")</f>
        <v/>
      </c>
      <c r="R33" s="43">
        <f>IFERROR(SUM($E$32:R32)/SUM($E$4:R4),"")</f>
        <v/>
      </c>
      <c r="S33" s="43">
        <f>IFERROR(SUM($E$32:S32)/SUM($E$4:S4),"")</f>
        <v/>
      </c>
      <c r="T33" s="43">
        <f>IFERROR(SUM($E$32:T32)/SUM($E$4:T4),"")</f>
        <v/>
      </c>
      <c r="U33" s="43">
        <f>IFERROR(SUM($E$32:U32)/SUM($E$4:U4),"")</f>
        <v/>
      </c>
      <c r="V33" s="43">
        <f>IFERROR(SUM($E$32:V32)/SUM($E$4:V4),"")</f>
        <v/>
      </c>
      <c r="W33" s="43">
        <f>IFERROR(SUM($E$32:W32)/SUM($E$4:W4),"")</f>
        <v/>
      </c>
      <c r="X33" s="43">
        <f>IFERROR(SUM($E$32:X32)/SUM($E$4:X4),"")</f>
        <v/>
      </c>
      <c r="Y33" s="43">
        <f>IFERROR(SUM($E$32:Y32)/SUM($E$4:Y4),"")</f>
        <v/>
      </c>
    </row>
    <row r="34" customFormat="1" s="16">
      <c r="A34" s="15" t="n"/>
      <c r="B34" s="16" t="inlineStr">
        <is>
          <t>% of Target</t>
        </is>
      </c>
      <c r="D34" s="17" t="inlineStr">
        <is>
          <t>%</t>
        </is>
      </c>
      <c r="E34" s="43">
        <f>IFERROR(E32/E35,"")</f>
        <v/>
      </c>
      <c r="F34" s="43">
        <f>IFERROR(F32/F35,"")</f>
        <v/>
      </c>
      <c r="G34" s="43">
        <f>IFERROR(G32/G35,"")</f>
        <v/>
      </c>
      <c r="H34" s="43">
        <f>IFERROR(H32/H35,"")</f>
        <v/>
      </c>
      <c r="I34" s="43">
        <f>IFERROR(I32/I35,"")</f>
        <v/>
      </c>
      <c r="J34" s="43">
        <f>IFERROR(J32/J35,"")</f>
        <v/>
      </c>
      <c r="K34" s="43">
        <f>IFERROR(K32/K35,"")</f>
        <v/>
      </c>
      <c r="L34" s="43">
        <f>IFERROR(L32/L35,"")</f>
        <v/>
      </c>
      <c r="M34" s="43">
        <f>IFERROR(M32/M35,"")</f>
        <v/>
      </c>
      <c r="N34" s="43">
        <f>IFERROR(N32/N35,"")</f>
        <v/>
      </c>
      <c r="O34" s="43">
        <f>IFERROR(O32/O35,"")</f>
        <v/>
      </c>
      <c r="P34" s="43">
        <f>IFERROR(P32/P35,"")</f>
        <v/>
      </c>
      <c r="Q34" s="43">
        <f>IFERROR(Q32/Q35,"")</f>
        <v/>
      </c>
      <c r="R34" s="43">
        <f>IFERROR(R32/R35,"")</f>
        <v/>
      </c>
      <c r="S34" s="43">
        <f>IFERROR(S32/S35,"")</f>
        <v/>
      </c>
      <c r="T34" s="43">
        <f>IFERROR(T32/T35,"")</f>
        <v/>
      </c>
      <c r="U34" s="43">
        <f>IFERROR(U32/U35,"")</f>
        <v/>
      </c>
      <c r="V34" s="43">
        <f>IFERROR(V32/V35,"")</f>
        <v/>
      </c>
      <c r="W34" s="43">
        <f>IFERROR(W32/W35,"")</f>
        <v/>
      </c>
      <c r="X34" s="43">
        <f>IFERROR(X32/X35,"")</f>
        <v/>
      </c>
      <c r="Y34" s="43">
        <f>IFERROR(Y32/Y35,"")</f>
        <v/>
      </c>
    </row>
    <row r="35" customFormat="1" s="13">
      <c r="A35" s="12" t="n"/>
      <c r="B35" s="13" t="inlineStr">
        <is>
          <t>Target</t>
        </is>
      </c>
      <c r="D35" s="14" t="inlineStr">
        <is>
          <t>#</t>
        </is>
      </c>
      <c r="E35" s="42" t="n"/>
      <c r="F35" s="42" t="n">
        <v>28881</v>
      </c>
      <c r="G35" s="42" t="n">
        <v>28886</v>
      </c>
      <c r="H35" s="42" t="n">
        <v>28886</v>
      </c>
      <c r="I35" s="42" t="n">
        <v>29075</v>
      </c>
      <c r="J35" s="42" t="n">
        <v>30613</v>
      </c>
      <c r="K35" s="42" t="n">
        <v>30789</v>
      </c>
      <c r="L35" s="42" t="n">
        <v>30784</v>
      </c>
      <c r="M35" s="42" t="n">
        <v>31132</v>
      </c>
      <c r="N35" s="42" t="n">
        <v>25517</v>
      </c>
      <c r="O35" s="42" t="n">
        <v>25596</v>
      </c>
      <c r="P35" s="42" t="n">
        <v>25594</v>
      </c>
      <c r="Q35" s="42" t="n">
        <v>53202</v>
      </c>
      <c r="R35" s="42" t="n">
        <v>25597</v>
      </c>
      <c r="S35" s="42" t="n">
        <v>25639</v>
      </c>
      <c r="T35" s="42" t="n">
        <v>56938</v>
      </c>
      <c r="U35" s="42" t="n">
        <v>26179</v>
      </c>
      <c r="V35" s="42" t="n">
        <v>26547</v>
      </c>
      <c r="W35" s="42" t="n">
        <v>28496</v>
      </c>
      <c r="X35" s="42" t="n">
        <v>28218</v>
      </c>
      <c r="Y35" s="42" t="n">
        <v>49537</v>
      </c>
    </row>
    <row r="36">
      <c r="C36" s="11" t="inlineStr">
        <is>
          <t xml:space="preserve">Cam </t>
        </is>
      </c>
      <c r="D36" s="6" t="inlineStr">
        <is>
          <t>#</t>
        </is>
      </c>
      <c r="E36" s="42" t="n">
        <v>38790</v>
      </c>
      <c r="F36" s="42" t="n">
        <v>30692</v>
      </c>
      <c r="G36" s="42" t="n">
        <v>31507</v>
      </c>
      <c r="H36" s="42" t="n">
        <v>28784</v>
      </c>
      <c r="I36" s="42" t="n">
        <v>28045</v>
      </c>
      <c r="J36" s="42" t="n">
        <v>32014</v>
      </c>
      <c r="K36" s="42" t="n">
        <v>33257</v>
      </c>
      <c r="L36" s="42" t="n">
        <v>37228</v>
      </c>
      <c r="M36" s="42" t="n">
        <v>38719</v>
      </c>
      <c r="N36" s="42" t="n">
        <v>35530</v>
      </c>
      <c r="O36" s="42" t="n">
        <v>34589</v>
      </c>
      <c r="P36" s="42" t="n">
        <v>32040</v>
      </c>
      <c r="Q36" s="42" t="n">
        <v>41540</v>
      </c>
      <c r="R36" s="42" t="n">
        <v>40110</v>
      </c>
      <c r="S36" s="42" t="n">
        <v>36986</v>
      </c>
      <c r="T36" s="42" t="n">
        <v>40749</v>
      </c>
      <c r="U36" s="42" t="n">
        <v>30654</v>
      </c>
      <c r="V36" s="42" t="n">
        <v>28415</v>
      </c>
      <c r="W36" s="42" t="n">
        <v>30603</v>
      </c>
      <c r="X36" s="42" t="n">
        <v>31725</v>
      </c>
      <c r="Y36" s="42" t="n">
        <v>36373</v>
      </c>
    </row>
    <row r="37">
      <c r="C37" s="11" t="inlineStr">
        <is>
          <t>Non Cam</t>
        </is>
      </c>
      <c r="D37" s="6" t="inlineStr">
        <is>
          <t>#</t>
        </is>
      </c>
      <c r="E37" s="42" t="n">
        <v>78640</v>
      </c>
      <c r="F37" s="42" t="n">
        <v>23255</v>
      </c>
      <c r="G37" s="42" t="n">
        <v>22370</v>
      </c>
      <c r="H37" s="42" t="n">
        <v>18019</v>
      </c>
      <c r="I37" s="42" t="n">
        <v>16029</v>
      </c>
      <c r="J37" s="42" t="n">
        <v>16177</v>
      </c>
      <c r="K37" s="42" t="n">
        <v>15727</v>
      </c>
      <c r="L37" s="42" t="n">
        <v>14885</v>
      </c>
      <c r="M37" s="42" t="n">
        <v>26146</v>
      </c>
      <c r="N37" s="42" t="n">
        <v>13803</v>
      </c>
      <c r="O37" s="42" t="n">
        <v>14017</v>
      </c>
      <c r="P37" s="42" t="n">
        <v>13659</v>
      </c>
      <c r="Q37" s="42" t="n">
        <v>13594</v>
      </c>
      <c r="R37" s="42" t="n">
        <v>13505</v>
      </c>
      <c r="S37" s="42" t="n">
        <v>13909</v>
      </c>
      <c r="T37" s="42" t="n">
        <v>14011</v>
      </c>
      <c r="U37" s="42" t="n">
        <v>11708</v>
      </c>
      <c r="V37" s="42" t="n">
        <v>11722</v>
      </c>
      <c r="W37" s="42" t="n">
        <v>12476</v>
      </c>
      <c r="X37" s="42" t="n">
        <v>12859</v>
      </c>
      <c r="Y37" s="42" t="n">
        <v>13173</v>
      </c>
    </row>
    <row r="38">
      <c r="C38" s="6" t="n"/>
    </row>
    <row r="39">
      <c r="A39" s="1" t="inlineStr">
        <is>
          <t>New Customers (Ads attributed)</t>
        </is>
      </c>
      <c r="C39" s="6" t="n"/>
      <c r="D39" s="24" t="inlineStr">
        <is>
          <t># ppl</t>
        </is>
      </c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>
        <v>857</v>
      </c>
      <c r="R39" s="42" t="n">
        <v>1503</v>
      </c>
      <c r="S39" s="42" t="n">
        <v>1584</v>
      </c>
      <c r="T39" s="42" t="n">
        <v>1830</v>
      </c>
      <c r="U39" s="42" t="n">
        <v>1491</v>
      </c>
      <c r="V39" s="42" t="n">
        <v>1458</v>
      </c>
      <c r="W39" s="42" t="n">
        <v>1276</v>
      </c>
      <c r="X39" s="42" t="n">
        <v>1390</v>
      </c>
      <c r="Y39" s="42" t="n">
        <v>1715</v>
      </c>
    </row>
    <row r="40">
      <c r="A40" s="1" t="n"/>
      <c r="B40" t="inlineStr">
        <is>
          <t>As % of sales units (ads attributed)</t>
        </is>
      </c>
      <c r="C40" s="6" t="n"/>
      <c r="D40" s="6" t="inlineStr">
        <is>
          <t>%</t>
        </is>
      </c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</row>
    <row r="41">
      <c r="B41" s="7" t="inlineStr">
        <is>
          <t>% of Target</t>
        </is>
      </c>
      <c r="C41" s="6" t="n"/>
      <c r="D41" s="17" t="inlineStr">
        <is>
          <t>%</t>
        </is>
      </c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</row>
    <row r="42">
      <c r="B42" s="9" t="inlineStr">
        <is>
          <t>Target</t>
        </is>
      </c>
      <c r="C42" s="6" t="n"/>
      <c r="D42" s="14" t="inlineStr">
        <is>
          <t>#</t>
        </is>
      </c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</row>
    <row r="43"/>
    <row r="44" customFormat="1" s="1">
      <c r="A44" s="1" t="inlineStr">
        <is>
          <t xml:space="preserve">Promo </t>
        </is>
      </c>
      <c r="D44" s="24" t="inlineStr">
        <is>
          <t>$k</t>
        </is>
      </c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>
        <v>201.34681</v>
      </c>
      <c r="R44" s="44" t="n">
        <v>77.75161999999999</v>
      </c>
      <c r="S44" s="44" t="n">
        <v>123.677</v>
      </c>
      <c r="T44" s="44" t="n">
        <v>149.84</v>
      </c>
      <c r="U44" s="44" t="n">
        <v>11.15</v>
      </c>
      <c r="V44" s="44" t="n">
        <v>4.05</v>
      </c>
      <c r="W44" s="44" t="n">
        <v>11.05</v>
      </c>
      <c r="X44" s="44" t="n">
        <v>26.15</v>
      </c>
      <c r="Y44" s="44" t="n">
        <v>164.014</v>
      </c>
    </row>
    <row r="45" customFormat="1" s="9">
      <c r="B45" s="9" t="inlineStr">
        <is>
          <t>Budgeted</t>
        </is>
      </c>
      <c r="D45" s="10" t="inlineStr">
        <is>
          <t>$k</t>
        </is>
      </c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</row>
    <row r="46">
      <c r="B46" t="inlineStr">
        <is>
          <t>As % of budget - this week</t>
        </is>
      </c>
      <c r="D46" s="6" t="inlineStr">
        <is>
          <t>%</t>
        </is>
      </c>
      <c r="E46" s="43">
        <f>IFERROR(E44/E45,"")</f>
        <v/>
      </c>
      <c r="F46" s="43">
        <f>IFERROR(F44/F45,"")</f>
        <v/>
      </c>
      <c r="G46" s="43">
        <f>IFERROR(G44/G45,"")</f>
        <v/>
      </c>
      <c r="H46" s="43">
        <f>IFERROR(H44/H45,"")</f>
        <v/>
      </c>
      <c r="I46" s="43">
        <f>IFERROR(I44/I45,"")</f>
        <v/>
      </c>
      <c r="J46" s="43">
        <f>IFERROR(J44/J45,"")</f>
        <v/>
      </c>
      <c r="K46" s="43">
        <f>IFERROR(K44/K45,"")</f>
        <v/>
      </c>
      <c r="L46" s="43">
        <f>IFERROR(L44/L45,"")</f>
        <v/>
      </c>
      <c r="M46" s="43">
        <f>IFERROR(M44/M45,"")</f>
        <v/>
      </c>
      <c r="N46" s="43">
        <f>IFERROR(N44/N45,"")</f>
        <v/>
      </c>
      <c r="O46" s="43">
        <f>IFERROR(O44/O45,"")</f>
        <v/>
      </c>
      <c r="P46" s="43">
        <f>IFERROR(P44/P45,"")</f>
        <v/>
      </c>
      <c r="Q46" s="43">
        <f>IFERROR(Q44/Q45,"")</f>
        <v/>
      </c>
      <c r="R46" s="43">
        <f>IFERROR(R44/R45,"")</f>
        <v/>
      </c>
      <c r="S46" s="43">
        <f>IFERROR(S44/S45,"")</f>
        <v/>
      </c>
      <c r="T46" s="43">
        <f>IFERROR(T44/T45,"")</f>
        <v/>
      </c>
      <c r="U46" s="43">
        <f>IFERROR(U44/U45,"")</f>
        <v/>
      </c>
      <c r="V46" s="43">
        <f>IFERROR(V44/V45,"")</f>
        <v/>
      </c>
      <c r="W46" s="43">
        <f>IFERROR(W44/W45,"")</f>
        <v/>
      </c>
      <c r="X46" s="43">
        <f>IFERROR(X44/X45,"")</f>
        <v/>
      </c>
      <c r="Y46" s="43">
        <f>IFERROR(Y44/Y45,"")</f>
        <v/>
      </c>
    </row>
    <row r="47">
      <c r="B47" t="inlineStr">
        <is>
          <t>As % of budget - YTD</t>
        </is>
      </c>
      <c r="D47" s="6" t="inlineStr">
        <is>
          <t>%</t>
        </is>
      </c>
      <c r="E47" s="43">
        <f>IFERROR(SUM($E$44:E44)/SUM($E$45:E45),"")</f>
        <v/>
      </c>
      <c r="F47" s="43">
        <f>IFERROR(SUM($E$44:F44)/SUM($E$45:F45),"")</f>
        <v/>
      </c>
      <c r="G47" s="43">
        <f>IFERROR(SUM($E$44:G44)/SUM($E$45:G45),"")</f>
        <v/>
      </c>
      <c r="H47" s="43">
        <f>IFERROR(SUM($E$44:H44)/SUM($E$45:H45),"")</f>
        <v/>
      </c>
      <c r="I47" s="43">
        <f>IFERROR(SUM($E$44:I44)/SUM($E$45:I45),"")</f>
        <v/>
      </c>
      <c r="J47" s="43">
        <f>IFERROR(SUM($E$44:J44)/SUM($E$45:J45),"")</f>
        <v/>
      </c>
      <c r="K47" s="43">
        <f>IFERROR(SUM($E$44:K44)/SUM($E$45:K45),"")</f>
        <v/>
      </c>
      <c r="L47" s="43">
        <f>IFERROR(SUM($E$44:L44)/SUM($E$45:L45),"")</f>
        <v/>
      </c>
      <c r="M47" s="43">
        <f>IFERROR(SUM($E$44:M44)/SUM($E$45:M45),"")</f>
        <v/>
      </c>
      <c r="N47" s="43">
        <f>IFERROR(SUM($E$44:N44)/SUM($E$45:N45),"")</f>
        <v/>
      </c>
      <c r="O47" s="43">
        <f>IFERROR(SUM($E$44:O44)/SUM($E$45:O45),"")</f>
        <v/>
      </c>
      <c r="P47" s="43">
        <f>IFERROR(SUM($E$44:P44)/SUM($E$45:P45),"")</f>
        <v/>
      </c>
      <c r="Q47" s="43">
        <f>IFERROR(SUM($E$44:Q44)/SUM($E$45:Q45),"")</f>
        <v/>
      </c>
      <c r="R47" s="43">
        <f>IFERROR(SUM($E$44:R44)/SUM($E$45:R45),"")</f>
        <v/>
      </c>
      <c r="S47" s="43">
        <f>IFERROR(SUM($E$44:S44)/SUM($E$45:S45),"")</f>
        <v/>
      </c>
      <c r="T47" s="43">
        <f>IFERROR(SUM($E$44:T44)/SUM($E$45:T45),"")</f>
        <v/>
      </c>
      <c r="U47" s="43">
        <f>IFERROR(SUM($E$44:U44)/SUM($E$45:U45),"")</f>
        <v/>
      </c>
      <c r="V47" s="43">
        <f>IFERROR(SUM($E$44:V44)/SUM($E$45:V45),"")</f>
        <v/>
      </c>
      <c r="W47" s="43">
        <f>IFERROR(SUM($E$44:W44)/SUM($E$45:W45),"")</f>
        <v/>
      </c>
      <c r="X47" s="43">
        <f>IFERROR(SUM($E$44:X44)/SUM($E$45:X45),"")</f>
        <v/>
      </c>
      <c r="Y47" s="43">
        <f>IFERROR(SUM($E$44:Y44)/SUM($E$45:Y45),"")</f>
        <v/>
      </c>
    </row>
    <row r="48"/>
    <row r="49">
      <c r="A49" s="1" t="inlineStr">
        <is>
          <t>Ads - On-site</t>
        </is>
      </c>
      <c r="B49" s="1" t="n"/>
      <c r="C49" s="1" t="n"/>
      <c r="D49" s="24" t="inlineStr">
        <is>
          <t>$k</t>
        </is>
      </c>
      <c r="E49" s="44" t="n">
        <v>10.79634</v>
      </c>
      <c r="F49" s="44" t="n">
        <v>8.772209999999999</v>
      </c>
      <c r="G49" s="44" t="n">
        <v>8.562629999999999</v>
      </c>
      <c r="H49" s="44" t="n">
        <v>5.79048</v>
      </c>
      <c r="I49" s="44" t="n">
        <v>6.45445</v>
      </c>
      <c r="J49" s="44" t="n">
        <v>48.93172</v>
      </c>
      <c r="K49" s="44" t="n">
        <v>56.39779</v>
      </c>
      <c r="L49" s="44" t="n">
        <v>56.90331</v>
      </c>
      <c r="M49" s="44" t="n">
        <v>53.18956</v>
      </c>
      <c r="N49" s="44" t="n">
        <v>50.64984</v>
      </c>
      <c r="O49" s="44" t="n">
        <v>50.74619999999999</v>
      </c>
      <c r="P49" s="44" t="n">
        <v>48.74642</v>
      </c>
      <c r="Q49" s="44" t="n">
        <v>52.76242</v>
      </c>
      <c r="R49" s="44" t="n">
        <v>46.31075</v>
      </c>
      <c r="S49" s="44" t="n">
        <v>49.06291</v>
      </c>
      <c r="T49" s="44" t="n">
        <v>55.99595</v>
      </c>
      <c r="U49" s="44" t="n">
        <v>47.25377</v>
      </c>
      <c r="V49" s="44" t="n">
        <v>50.95039</v>
      </c>
      <c r="W49" s="44" t="n">
        <v>46.40693</v>
      </c>
      <c r="X49" s="44" t="n">
        <v>46.8885</v>
      </c>
      <c r="Y49" s="44" t="n">
        <v>51.60411</v>
      </c>
    </row>
    <row r="50">
      <c r="B50" s="9" t="inlineStr">
        <is>
          <t>Budgeted - On-site</t>
        </is>
      </c>
      <c r="D50" s="10" t="inlineStr">
        <is>
          <t>$k</t>
        </is>
      </c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</row>
    <row r="51">
      <c r="B51" t="inlineStr">
        <is>
          <t>As % of budget - this week</t>
        </is>
      </c>
      <c r="D51" s="6" t="inlineStr">
        <is>
          <t>%</t>
        </is>
      </c>
      <c r="E51" s="43">
        <f>IFERROR(E49/E50,"")</f>
        <v/>
      </c>
      <c r="F51" s="43">
        <f>IFERROR(F49/F50,"")</f>
        <v/>
      </c>
      <c r="G51" s="43">
        <f>IFERROR(G49/G50,"")</f>
        <v/>
      </c>
      <c r="H51" s="43">
        <f>IFERROR(H49/H50,"")</f>
        <v/>
      </c>
      <c r="I51" s="43">
        <f>IFERROR(I49/I50,"")</f>
        <v/>
      </c>
      <c r="J51" s="43">
        <f>IFERROR(J49/J50,"")</f>
        <v/>
      </c>
      <c r="K51" s="43">
        <f>IFERROR(K49/K50,"")</f>
        <v/>
      </c>
      <c r="L51" s="43">
        <f>IFERROR(L49/L50,"")</f>
        <v/>
      </c>
      <c r="M51" s="43">
        <f>IFERROR(M49/M50,"")</f>
        <v/>
      </c>
      <c r="N51" s="43">
        <f>IFERROR(N49/N50,"")</f>
        <v/>
      </c>
      <c r="O51" s="43">
        <f>IFERROR(O49/O50,"")</f>
        <v/>
      </c>
      <c r="P51" s="43">
        <f>IFERROR(P49/P50,"")</f>
        <v/>
      </c>
      <c r="Q51" s="43">
        <f>IFERROR(Q49/Q50,"")</f>
        <v/>
      </c>
      <c r="R51" s="43">
        <f>IFERROR(R49/R50,"")</f>
        <v/>
      </c>
      <c r="S51" s="43">
        <f>IFERROR(S49/S50,"")</f>
        <v/>
      </c>
      <c r="T51" s="43">
        <f>IFERROR(T49/T50,"")</f>
        <v/>
      </c>
      <c r="U51" s="43">
        <f>IFERROR(U49/U50,"")</f>
        <v/>
      </c>
      <c r="V51" s="43">
        <f>IFERROR(V49/V50,"")</f>
        <v/>
      </c>
      <c r="W51" s="43">
        <f>IFERROR(W49/W50,"")</f>
        <v/>
      </c>
      <c r="X51" s="43">
        <f>IFERROR(X49/X50,"")</f>
        <v/>
      </c>
      <c r="Y51" s="43">
        <f>IFERROR(Y49/Y50,"")</f>
        <v/>
      </c>
    </row>
    <row r="52">
      <c r="B52" t="inlineStr">
        <is>
          <t>As % of budget - YTD</t>
        </is>
      </c>
      <c r="D52" s="6" t="inlineStr">
        <is>
          <t>%</t>
        </is>
      </c>
      <c r="E52" s="43">
        <f>IFERROR(SUM($E$49:E49)/SUM($E$50:E50),"")</f>
        <v/>
      </c>
      <c r="F52" s="43">
        <f>IFERROR(SUM($E$49:F49)/SUM($E$50:F50),"")</f>
        <v/>
      </c>
      <c r="G52" s="43">
        <f>IFERROR(SUM($E$49:G49)/SUM($E$50:G50),"")</f>
        <v/>
      </c>
      <c r="H52" s="43">
        <f>IFERROR(SUM($E$49:H49)/SUM($E$50:H50),"")</f>
        <v/>
      </c>
      <c r="I52" s="43">
        <f>IFERROR(SUM($E$49:I49)/SUM($E$50:I50),"")</f>
        <v/>
      </c>
      <c r="J52" s="43">
        <f>IFERROR(SUM($E$49:J49)/SUM($E$50:J50),"")</f>
        <v/>
      </c>
      <c r="K52" s="43">
        <f>IFERROR(SUM($E$49:K49)/SUM($E$50:K50),"")</f>
        <v/>
      </c>
      <c r="L52" s="43">
        <f>IFERROR(SUM($E$49:L49)/SUM($E$50:L50),"")</f>
        <v/>
      </c>
      <c r="M52" s="43">
        <f>IFERROR(SUM($E$49:M49)/SUM($E$50:M50),"")</f>
        <v/>
      </c>
      <c r="N52" s="43">
        <f>IFERROR(SUM($E$49:N49)/SUM($E$50:N50),"")</f>
        <v/>
      </c>
      <c r="O52" s="43">
        <f>IFERROR(SUM($E$49:O49)/SUM($E$50:O50),"")</f>
        <v/>
      </c>
      <c r="P52" s="43">
        <f>IFERROR(SUM($E$49:P49)/SUM($E$50:P50),"")</f>
        <v/>
      </c>
      <c r="Q52" s="43">
        <f>IFERROR(SUM($E$49:Q49)/SUM($E$50:Q50),"")</f>
        <v/>
      </c>
      <c r="R52" s="43">
        <f>IFERROR(SUM($E$49:R49)/SUM($E$50:R50),"")</f>
        <v/>
      </c>
      <c r="S52" s="43">
        <f>IFERROR(SUM($E$49:S49)/SUM($E$50:S50),"")</f>
        <v/>
      </c>
      <c r="T52" s="43">
        <f>IFERROR(SUM($E$49:T49)/SUM($E$50:T50),"")</f>
        <v/>
      </c>
      <c r="U52" s="43">
        <f>IFERROR(SUM($E$49:U49)/SUM($E$50:U50),"")</f>
        <v/>
      </c>
      <c r="V52" s="43">
        <f>IFERROR(SUM($E$49:V49)/SUM($E$50:V50),"")</f>
        <v/>
      </c>
      <c r="W52" s="43">
        <f>IFERROR(SUM($E$49:W49)/SUM($E$50:W50),"")</f>
        <v/>
      </c>
      <c r="X52" s="43">
        <f>IFERROR(SUM($E$49:X49)/SUM($E$50:X50),"")</f>
        <v/>
      </c>
      <c r="Y52" s="43">
        <f>IFERROR(SUM($E$49:Y49)/SUM($E$50:Y50),"")</f>
        <v/>
      </c>
    </row>
    <row r="53"/>
    <row r="54">
      <c r="A54" s="1" t="inlineStr">
        <is>
          <t>Ads - DSP</t>
        </is>
      </c>
      <c r="B54" s="1" t="n"/>
      <c r="C54" s="1" t="n"/>
      <c r="D54" s="24" t="inlineStr">
        <is>
          <t>$k</t>
        </is>
      </c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>
        <v>7.600890000000001</v>
      </c>
      <c r="O54" s="44" t="n">
        <v>7.82422</v>
      </c>
      <c r="P54" s="44" t="n">
        <v>7.56384</v>
      </c>
      <c r="Q54" s="44" t="n">
        <v>8.79857</v>
      </c>
      <c r="R54" s="44" t="n">
        <v>8.025600000000001</v>
      </c>
      <c r="S54" s="44" t="n">
        <v>9.043340000000001</v>
      </c>
      <c r="T54" s="44" t="n">
        <v>8.501959999999999</v>
      </c>
      <c r="U54" s="44" t="n">
        <v>7.87561</v>
      </c>
      <c r="V54" s="44" t="n">
        <v>6.81076</v>
      </c>
      <c r="W54" s="44" t="n">
        <v>8.074020000000001</v>
      </c>
      <c r="X54" s="44" t="n">
        <v>8.19957</v>
      </c>
      <c r="Y54" s="44" t="n">
        <v>8.184749999999999</v>
      </c>
    </row>
    <row r="55">
      <c r="B55" s="9" t="inlineStr">
        <is>
          <t>Budgeted - DSP</t>
        </is>
      </c>
      <c r="D55" s="10" t="inlineStr">
        <is>
          <t>$k</t>
        </is>
      </c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</row>
    <row r="56">
      <c r="B56" t="inlineStr">
        <is>
          <t>As % of budget - this week</t>
        </is>
      </c>
      <c r="D56" s="6" t="inlineStr">
        <is>
          <t>%</t>
        </is>
      </c>
      <c r="E56" s="43">
        <f>IFERROR(E54/E55,"")</f>
        <v/>
      </c>
      <c r="F56" s="43">
        <f>IFERROR(F54/F55,"")</f>
        <v/>
      </c>
      <c r="G56" s="43">
        <f>IFERROR(G54/G55,"")</f>
        <v/>
      </c>
      <c r="H56" s="43">
        <f>IFERROR(H54/H55,"")</f>
        <v/>
      </c>
      <c r="I56" s="43">
        <f>IFERROR(I54/I55,"")</f>
        <v/>
      </c>
      <c r="J56" s="43">
        <f>IFERROR(J54/J55,"")</f>
        <v/>
      </c>
      <c r="K56" s="43">
        <f>IFERROR(K54/K55,"")</f>
        <v/>
      </c>
      <c r="L56" s="43">
        <f>IFERROR(L54/L55,"")</f>
        <v/>
      </c>
      <c r="M56" s="43">
        <f>IFERROR(M54/M55,"")</f>
        <v/>
      </c>
      <c r="N56" s="43">
        <f>IFERROR(N54/N55,"")</f>
        <v/>
      </c>
      <c r="O56" s="43">
        <f>IFERROR(O54/O55,"")</f>
        <v/>
      </c>
      <c r="P56" s="43">
        <f>IFERROR(P54/P55,"")</f>
        <v/>
      </c>
      <c r="Q56" s="43">
        <f>IFERROR(Q54/Q55,"")</f>
        <v/>
      </c>
      <c r="R56" s="43">
        <f>IFERROR(R54/R55,"")</f>
        <v/>
      </c>
      <c r="S56" s="43">
        <f>IFERROR(S54/S55,"")</f>
        <v/>
      </c>
      <c r="T56" s="43">
        <f>IFERROR(T54/T55,"")</f>
        <v/>
      </c>
      <c r="U56" s="43">
        <f>IFERROR(U54/U55,"")</f>
        <v/>
      </c>
      <c r="V56" s="43">
        <f>IFERROR(V54/V55,"")</f>
        <v/>
      </c>
      <c r="W56" s="43">
        <f>IFERROR(W54/W55,"")</f>
        <v/>
      </c>
      <c r="X56" s="43">
        <f>IFERROR(X54/X55,"")</f>
        <v/>
      </c>
      <c r="Y56" s="43">
        <f>IFERROR(Y54/Y55,"")</f>
        <v/>
      </c>
    </row>
    <row r="57">
      <c r="B57" t="inlineStr">
        <is>
          <t>As % of budget - YTD</t>
        </is>
      </c>
      <c r="D57" s="6" t="inlineStr">
        <is>
          <t>%</t>
        </is>
      </c>
      <c r="E57" s="43">
        <f>IFERROR(SUM($E$54:E54)/SUM($E$55:E55),"")</f>
        <v/>
      </c>
      <c r="F57" s="43">
        <f>IFERROR(SUM($E$54:F54)/SUM($E$55:F55),"")</f>
        <v/>
      </c>
      <c r="G57" s="43">
        <f>IFERROR(SUM($E$54:G54)/SUM($E$55:G55),"")</f>
        <v/>
      </c>
      <c r="H57" s="43">
        <f>IFERROR(SUM($E$54:H54)/SUM($E$55:H55),"")</f>
        <v/>
      </c>
      <c r="I57" s="43">
        <f>IFERROR(SUM($E$54:I54)/SUM($E$55:I55),"")</f>
        <v/>
      </c>
      <c r="J57" s="43">
        <f>IFERROR(SUM($E$54:J54)/SUM($E$55:J55),"")</f>
        <v/>
      </c>
      <c r="K57" s="43">
        <f>IFERROR(SUM($E$54:K54)/SUM($E$55:K55),"")</f>
        <v/>
      </c>
      <c r="L57" s="43">
        <f>IFERROR(SUM($E$54:L54)/SUM($E$55:L55),"")</f>
        <v/>
      </c>
      <c r="M57" s="43">
        <f>IFERROR(SUM($E$54:M54)/SUM($E$55:M55),"")</f>
        <v/>
      </c>
      <c r="N57" s="43">
        <f>IFERROR(SUM($E$54:N54)/SUM($E$55:N55),"")</f>
        <v/>
      </c>
      <c r="O57" s="43">
        <f>IFERROR(SUM($E$54:O54)/SUM($E$55:O55),"")</f>
        <v/>
      </c>
      <c r="P57" s="43">
        <f>IFERROR(SUM($E$54:P54)/SUM($E$55:P55),"")</f>
        <v/>
      </c>
      <c r="Q57" s="43">
        <f>IFERROR(SUM($E$54:Q54)/SUM($E$55:Q55),"")</f>
        <v/>
      </c>
      <c r="R57" s="43">
        <f>IFERROR(SUM($E$54:R54)/SUM($E$55:R55),"")</f>
        <v/>
      </c>
      <c r="S57" s="43">
        <f>IFERROR(SUM($E$54:S54)/SUM($E$55:S55),"")</f>
        <v/>
      </c>
      <c r="T57" s="43">
        <f>IFERROR(SUM($E$54:T54)/SUM($E$55:T55),"")</f>
        <v/>
      </c>
      <c r="U57" s="43">
        <f>IFERROR(SUM($E$54:U54)/SUM($E$55:U55),"")</f>
        <v/>
      </c>
      <c r="V57" s="43">
        <f>IFERROR(SUM($E$54:V54)/SUM($E$55:V55),"")</f>
        <v/>
      </c>
      <c r="W57" s="43">
        <f>IFERROR(SUM($E$54:W54)/SUM($E$55:W55),"")</f>
        <v/>
      </c>
      <c r="X57" s="43">
        <f>IFERROR(SUM($E$54:X54)/SUM($E$55:X55),"")</f>
        <v/>
      </c>
      <c r="Y57" s="43">
        <f>IFERROR(SUM($E$54:Y54)/SUM($E$55:Y55),"")</f>
        <v/>
      </c>
    </row>
    <row r="58"/>
    <row r="59" customFormat="1" s="1">
      <c r="A59" s="1" t="inlineStr">
        <is>
          <t>Ads (On-site + DSP)</t>
        </is>
      </c>
      <c r="D59" s="24" t="inlineStr">
        <is>
          <t>$k</t>
        </is>
      </c>
      <c r="E59" s="44">
        <f>E49+E54</f>
        <v/>
      </c>
      <c r="F59" s="44">
        <f>F49+F54</f>
        <v/>
      </c>
      <c r="G59" s="44">
        <f>G49+G54</f>
        <v/>
      </c>
      <c r="H59" s="44">
        <f>H49+H54</f>
        <v/>
      </c>
      <c r="I59" s="44">
        <f>I49+I54</f>
        <v/>
      </c>
      <c r="J59" s="44">
        <f>J49+J54</f>
        <v/>
      </c>
      <c r="K59" s="44">
        <f>K49+K54</f>
        <v/>
      </c>
      <c r="L59" s="44">
        <f>L49+L54</f>
        <v/>
      </c>
      <c r="M59" s="44">
        <f>M49+M54</f>
        <v/>
      </c>
      <c r="N59" s="44">
        <f>N49+N54</f>
        <v/>
      </c>
      <c r="O59" s="44">
        <f>O49+O54</f>
        <v/>
      </c>
      <c r="P59" s="44">
        <f>P49+P54</f>
        <v/>
      </c>
      <c r="Q59" s="44">
        <f>Q49+Q54</f>
        <v/>
      </c>
      <c r="R59" s="44">
        <f>R49+R54</f>
        <v/>
      </c>
      <c r="S59" s="44">
        <f>S49+S54</f>
        <v/>
      </c>
      <c r="T59" s="44">
        <f>T49+T54</f>
        <v/>
      </c>
      <c r="U59" s="44">
        <f>U49+U54</f>
        <v/>
      </c>
      <c r="V59" s="44">
        <f>V49+V54</f>
        <v/>
      </c>
      <c r="W59" s="44">
        <f>W49+W54</f>
        <v/>
      </c>
      <c r="X59" s="44">
        <f>X49+X54</f>
        <v/>
      </c>
      <c r="Y59" s="44">
        <f>Y49+Y54</f>
        <v/>
      </c>
    </row>
    <row r="60">
      <c r="B60" s="9" t="inlineStr">
        <is>
          <t>Budgeted</t>
        </is>
      </c>
      <c r="D60" s="10" t="inlineStr">
        <is>
          <t>$k</t>
        </is>
      </c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</row>
    <row r="61">
      <c r="B61" t="inlineStr">
        <is>
          <t>As % of budget - this week</t>
        </is>
      </c>
      <c r="D61" s="6" t="inlineStr">
        <is>
          <t>%</t>
        </is>
      </c>
      <c r="E61" s="43">
        <f>IFERROR(E59/E60,"")</f>
        <v/>
      </c>
      <c r="F61" s="43">
        <f>IFERROR(F59/F60,"")</f>
        <v/>
      </c>
      <c r="G61" s="43">
        <f>IFERROR(G59/G60,"")</f>
        <v/>
      </c>
      <c r="H61" s="43">
        <f>IFERROR(H59/H60,"")</f>
        <v/>
      </c>
      <c r="I61" s="43">
        <f>IFERROR(I59/I60,"")</f>
        <v/>
      </c>
      <c r="J61" s="43">
        <f>IFERROR(J59/J60,"")</f>
        <v/>
      </c>
      <c r="K61" s="43">
        <f>IFERROR(K59/K60,"")</f>
        <v/>
      </c>
      <c r="L61" s="43">
        <f>IFERROR(L59/L60,"")</f>
        <v/>
      </c>
      <c r="M61" s="43">
        <f>IFERROR(M59/M60,"")</f>
        <v/>
      </c>
      <c r="N61" s="43">
        <f>IFERROR(N59/N60,"")</f>
        <v/>
      </c>
      <c r="O61" s="43">
        <f>IFERROR(O59/O60,"")</f>
        <v/>
      </c>
      <c r="P61" s="43">
        <f>IFERROR(P59/P60,"")</f>
        <v/>
      </c>
      <c r="Q61" s="43">
        <f>IFERROR(Q59/Q60,"")</f>
        <v/>
      </c>
      <c r="R61" s="43">
        <f>IFERROR(R59/R60,"")</f>
        <v/>
      </c>
      <c r="S61" s="43">
        <f>IFERROR(S59/S60,"")</f>
        <v/>
      </c>
      <c r="T61" s="43">
        <f>IFERROR(T59/T60,"")</f>
        <v/>
      </c>
      <c r="U61" s="43">
        <f>IFERROR(U59/U60,"")</f>
        <v/>
      </c>
      <c r="V61" s="43">
        <f>IFERROR(V59/V60,"")</f>
        <v/>
      </c>
      <c r="W61" s="43">
        <f>IFERROR(W59/W60,"")</f>
        <v/>
      </c>
      <c r="X61" s="43">
        <f>IFERROR(X59/X60,"")</f>
        <v/>
      </c>
      <c r="Y61" s="43">
        <f>IFERROR(Y59/Y60,"")</f>
        <v/>
      </c>
    </row>
    <row r="62">
      <c r="B62" t="inlineStr">
        <is>
          <t>As % of budget - YTD</t>
        </is>
      </c>
      <c r="D62" s="6" t="inlineStr">
        <is>
          <t>%</t>
        </is>
      </c>
      <c r="E62" s="43">
        <f>IFERROR(SUM($E$59:E59)/SUM($E$60:E60),"")</f>
        <v/>
      </c>
      <c r="F62" s="43">
        <f>IFERROR(SUM($E$59:F59)/SUM($E$60:F60),"")</f>
        <v/>
      </c>
      <c r="G62" s="43">
        <f>IFERROR(SUM($E$59:G59)/SUM($E$60:G60),"")</f>
        <v/>
      </c>
      <c r="H62" s="43">
        <f>IFERROR(SUM($E$59:H59)/SUM($E$60:H60),"")</f>
        <v/>
      </c>
      <c r="I62" s="43">
        <f>IFERROR(SUM($E$59:I59)/SUM($E$60:I60),"")</f>
        <v/>
      </c>
      <c r="J62" s="43">
        <f>IFERROR(SUM($E$59:J59)/SUM($E$60:J60),"")</f>
        <v/>
      </c>
      <c r="K62" s="43">
        <f>IFERROR(SUM($E$59:K59)/SUM($E$60:K60),"")</f>
        <v/>
      </c>
      <c r="L62" s="43">
        <f>IFERROR(SUM($E$59:L59)/SUM($E$60:L60),"")</f>
        <v/>
      </c>
      <c r="M62" s="43">
        <f>IFERROR(SUM($E$59:M59)/SUM($E$60:M60),"")</f>
        <v/>
      </c>
      <c r="N62" s="43">
        <f>IFERROR(SUM($E$59:N59)/SUM($E$60:N60),"")</f>
        <v/>
      </c>
      <c r="O62" s="43">
        <f>IFERROR(SUM($E$59:O59)/SUM($E$60:O60),"")</f>
        <v/>
      </c>
      <c r="P62" s="43">
        <f>IFERROR(SUM($E$59:P59)/SUM($E$60:P60),"")</f>
        <v/>
      </c>
      <c r="Q62" s="43">
        <f>IFERROR(SUM($E$59:Q59)/SUM($E$60:Q60),"")</f>
        <v/>
      </c>
      <c r="R62" s="43">
        <f>IFERROR(SUM($E$59:R59)/SUM($E$60:R60),"")</f>
        <v/>
      </c>
      <c r="S62" s="43">
        <f>IFERROR(SUM($E$59:S59)/SUM($E$60:S60),"")</f>
        <v/>
      </c>
      <c r="T62" s="43">
        <f>IFERROR(SUM($E$59:T59)/SUM($E$60:T60),"")</f>
        <v/>
      </c>
      <c r="U62" s="43">
        <f>IFERROR(SUM($E$59:U59)/SUM($E$60:U60),"")</f>
        <v/>
      </c>
      <c r="V62" s="43">
        <f>IFERROR(SUM($E$59:V59)/SUM($E$60:V60),"")</f>
        <v/>
      </c>
      <c r="W62" s="43">
        <f>IFERROR(SUM($E$59:W59)/SUM($E$60:W60),"")</f>
        <v/>
      </c>
      <c r="X62" s="43">
        <f>IFERROR(SUM($E$59:X59)/SUM($E$60:X60),"")</f>
        <v/>
      </c>
      <c r="Y62" s="43">
        <f>IFERROR(SUM($E$59:Y59)/SUM($E$60:Y60),"")</f>
        <v/>
      </c>
    </row>
    <row r="63"/>
    <row r="64" customFormat="1" s="1">
      <c r="A64" s="1" t="inlineStr">
        <is>
          <t>Other Marketing</t>
        </is>
      </c>
      <c r="D64" s="24" t="inlineStr">
        <is>
          <t>$k</t>
        </is>
      </c>
      <c r="E64" s="45" t="n"/>
      <c r="F64" s="45" t="n"/>
      <c r="G64" s="45" t="n"/>
      <c r="H64" s="45" t="n"/>
      <c r="I64" s="44" t="n"/>
      <c r="J64" s="45" t="n"/>
      <c r="K64" s="45" t="n"/>
      <c r="L64" s="45" t="n"/>
      <c r="M64" s="44" t="n"/>
      <c r="N64" s="45" t="n"/>
      <c r="O64" s="45" t="n"/>
      <c r="P64" s="45" t="n"/>
      <c r="Q64" s="45" t="n"/>
      <c r="R64" s="44" t="n"/>
      <c r="S64" s="45" t="n"/>
      <c r="T64" s="45" t="n"/>
      <c r="U64" s="45" t="n"/>
      <c r="V64" s="44" t="n"/>
      <c r="W64" s="45" t="n"/>
      <c r="X64" s="45" t="n"/>
      <c r="Y64" s="45" t="n"/>
      <c r="Z64" s="41" t="n"/>
      <c r="AB64" s="41" t="n"/>
      <c r="AC64" s="41" t="n"/>
      <c r="AD64" s="41" t="n"/>
      <c r="AF64" s="41" t="n"/>
      <c r="AG64" s="41" t="n"/>
      <c r="AH64" s="41" t="n"/>
      <c r="AJ64" s="41" t="n"/>
      <c r="AK64" s="41" t="n"/>
      <c r="AL64" s="41" t="n"/>
      <c r="AM64" s="41" t="n"/>
      <c r="AO64" s="41" t="n"/>
      <c r="AP64" s="41" t="n"/>
      <c r="AQ64" s="41" t="n"/>
      <c r="AS64" s="41" t="n"/>
      <c r="AT64" s="41" t="n"/>
      <c r="AU64" s="41" t="n"/>
      <c r="AW64" s="41" t="n"/>
      <c r="AX64" s="41" t="n"/>
      <c r="AY64" s="41" t="n"/>
      <c r="AZ64" s="41" t="n"/>
      <c r="BB64" s="41" t="n"/>
      <c r="BC64" s="41" t="n"/>
      <c r="BD64" s="41" t="n"/>
    </row>
    <row r="65">
      <c r="B65" s="9" t="inlineStr">
        <is>
          <t>Budgeted</t>
        </is>
      </c>
      <c r="D65" s="10" t="inlineStr">
        <is>
          <t>$k</t>
        </is>
      </c>
      <c r="E65" s="46" t="n"/>
      <c r="F65" s="46" t="n"/>
      <c r="G65" s="46" t="n"/>
      <c r="H65" s="46" t="n"/>
      <c r="I65" s="44" t="n"/>
      <c r="J65" s="46" t="n"/>
      <c r="K65" s="46" t="n"/>
      <c r="L65" s="46" t="n"/>
      <c r="M65" s="44" t="n"/>
      <c r="N65" s="46" t="n"/>
      <c r="O65" s="46" t="n"/>
      <c r="P65" s="46" t="n"/>
      <c r="Q65" s="46" t="n"/>
      <c r="R65" s="44" t="n"/>
      <c r="S65" s="46" t="n"/>
      <c r="T65" s="46" t="n"/>
      <c r="U65" s="46" t="n"/>
      <c r="V65" s="44" t="n"/>
      <c r="W65" s="46" t="n"/>
      <c r="X65" s="46" t="n"/>
      <c r="Y65" s="46" t="n"/>
      <c r="Z65" s="40" t="n"/>
      <c r="AB65" s="40" t="n"/>
      <c r="AC65" s="40" t="n"/>
      <c r="AD65" s="40" t="n"/>
      <c r="AF65" s="40" t="n"/>
      <c r="AG65" s="40" t="n"/>
      <c r="AH65" s="40" t="n"/>
      <c r="AJ65" s="40" t="n"/>
      <c r="AK65" s="40" t="n"/>
      <c r="AL65" s="40" t="n"/>
      <c r="AM65" s="40" t="n"/>
      <c r="AO65" s="40" t="n"/>
      <c r="AP65" s="40" t="n"/>
      <c r="AQ65" s="40" t="n"/>
      <c r="AS65" s="40" t="n"/>
      <c r="AT65" s="40" t="n"/>
      <c r="AU65" s="40" t="n"/>
      <c r="AW65" s="40" t="n"/>
      <c r="AX65" s="40" t="n"/>
      <c r="AY65" s="40" t="n"/>
      <c r="AZ65" s="40" t="n"/>
      <c r="BB65" s="40" t="n"/>
      <c r="BC65" s="40" t="n"/>
      <c r="BD65" s="40" t="n"/>
    </row>
    <row r="66">
      <c r="B66" t="inlineStr">
        <is>
          <t>As % of budget - this week</t>
        </is>
      </c>
      <c r="D66" s="6" t="inlineStr">
        <is>
          <t>%</t>
        </is>
      </c>
      <c r="E66" s="47">
        <f>IFERROR(E64/E65,"")</f>
        <v/>
      </c>
      <c r="F66" s="47">
        <f>IFERROR(F64/F65,"")</f>
        <v/>
      </c>
      <c r="G66" s="47">
        <f>IFERROR(G64/G65,"")</f>
        <v/>
      </c>
      <c r="H66" s="47">
        <f>IFERROR(H64/H65,"")</f>
        <v/>
      </c>
      <c r="I66" s="43">
        <f>IFERROR(I64/I65,"")</f>
        <v/>
      </c>
      <c r="J66" s="47">
        <f>IFERROR(J64/J65,"")</f>
        <v/>
      </c>
      <c r="K66" s="47">
        <f>IFERROR(K64/K65,"")</f>
        <v/>
      </c>
      <c r="L66" s="47">
        <f>IFERROR(L64/L65,"")</f>
        <v/>
      </c>
      <c r="M66" s="43">
        <f>IFERROR(M64/M65,"")</f>
        <v/>
      </c>
      <c r="N66" s="47">
        <f>IFERROR(N64/N65,"")</f>
        <v/>
      </c>
      <c r="O66" s="47">
        <f>IFERROR(O64/O65,"")</f>
        <v/>
      </c>
      <c r="P66" s="47">
        <f>IFERROR(P64/P65,"")</f>
        <v/>
      </c>
      <c r="Q66" s="47">
        <f>IFERROR(Q64/Q65,"")</f>
        <v/>
      </c>
      <c r="R66" s="43">
        <f>IFERROR(R64/R65,"")</f>
        <v/>
      </c>
      <c r="S66" s="47">
        <f>IFERROR(S64/S65,"")</f>
        <v/>
      </c>
      <c r="T66" s="47">
        <f>IFERROR(T64/T65,"")</f>
        <v/>
      </c>
      <c r="U66" s="47">
        <f>IFERROR(U64/U65,"")</f>
        <v/>
      </c>
      <c r="V66" s="43">
        <f>IFERROR(V64/V65,"")</f>
        <v/>
      </c>
      <c r="W66" s="47">
        <f>IFERROR(W64/W65,"")</f>
        <v/>
      </c>
      <c r="X66" s="47">
        <f>IFERROR(X64/X65,"")</f>
        <v/>
      </c>
      <c r="Y66" s="47">
        <f>IFERROR(Y64/Y65,"")</f>
        <v/>
      </c>
      <c r="Z66" s="40" t="n"/>
      <c r="AB66" s="40" t="n"/>
      <c r="AC66" s="40" t="n"/>
      <c r="AD66" s="40" t="n"/>
      <c r="AF66" s="40" t="n"/>
      <c r="AG66" s="40" t="n"/>
      <c r="AH66" s="40" t="n"/>
      <c r="AJ66" s="40" t="n"/>
      <c r="AK66" s="40" t="n"/>
      <c r="AL66" s="40" t="n"/>
      <c r="AM66" s="40" t="n"/>
      <c r="AO66" s="40" t="n"/>
      <c r="AP66" s="40" t="n"/>
      <c r="AQ66" s="40" t="n"/>
      <c r="AS66" s="40" t="n"/>
      <c r="AT66" s="40" t="n"/>
      <c r="AU66" s="40" t="n"/>
      <c r="AW66" s="40" t="n"/>
      <c r="AX66" s="40" t="n"/>
      <c r="AY66" s="40" t="n"/>
      <c r="AZ66" s="40" t="n"/>
      <c r="BB66" s="40" t="n"/>
      <c r="BC66" s="40" t="n"/>
      <c r="BD66" s="40" t="n"/>
    </row>
    <row r="67">
      <c r="B67" t="inlineStr">
        <is>
          <t>As % of budget - YTD</t>
        </is>
      </c>
      <c r="D67" s="6" t="inlineStr">
        <is>
          <t>%</t>
        </is>
      </c>
      <c r="E67" s="47">
        <f>IFERROR(SUM($E$64:E64)/SUM($E$65:E65),"")</f>
        <v/>
      </c>
      <c r="F67" s="47">
        <f>IFERROR(SUM($E$64:F64)/SUM($E$65:F65),"")</f>
        <v/>
      </c>
      <c r="G67" s="47">
        <f>IFERROR(SUM($E$64:G64)/SUM($E$65:G65),"")</f>
        <v/>
      </c>
      <c r="H67" s="47">
        <f>IFERROR(SUM($E$64:H64)/SUM($E$65:H65),"")</f>
        <v/>
      </c>
      <c r="I67" s="43">
        <f>IFERROR(SUM($E$64:I64)/SUM($E$65:I65),"")</f>
        <v/>
      </c>
      <c r="J67" s="47">
        <f>IFERROR(SUM($E$64:J64)/SUM($E$65:J65),"")</f>
        <v/>
      </c>
      <c r="K67" s="47">
        <f>IFERROR(SUM($E$64:K64)/SUM($E$65:K65),"")</f>
        <v/>
      </c>
      <c r="L67" s="47">
        <f>IFERROR(SUM($E$64:L64)/SUM($E$65:L65),"")</f>
        <v/>
      </c>
      <c r="M67" s="43">
        <f>IFERROR(SUM($E$64:M64)/SUM($E$65:M65),"")</f>
        <v/>
      </c>
      <c r="N67" s="47">
        <f>IFERROR(SUM($E$64:N64)/SUM($E$65:N65),"")</f>
        <v/>
      </c>
      <c r="O67" s="47">
        <f>IFERROR(SUM($E$64:O64)/SUM($E$65:O65),"")</f>
        <v/>
      </c>
      <c r="P67" s="47">
        <f>IFERROR(SUM($E$64:P64)/SUM($E$65:P65),"")</f>
        <v/>
      </c>
      <c r="Q67" s="47">
        <f>IFERROR(SUM($E$64:Q64)/SUM($E$65:Q65),"")</f>
        <v/>
      </c>
      <c r="R67" s="43">
        <f>IFERROR(SUM($E$64:R64)/SUM($E$65:R65),"")</f>
        <v/>
      </c>
      <c r="S67" s="47">
        <f>IFERROR(SUM($E$64:S64)/SUM($E$65:S65),"")</f>
        <v/>
      </c>
      <c r="T67" s="47">
        <f>IFERROR(SUM($E$64:T64)/SUM($E$65:T65),"")</f>
        <v/>
      </c>
      <c r="U67" s="47">
        <f>IFERROR(SUM($E$64:U64)/SUM($E$65:U65),"")</f>
        <v/>
      </c>
      <c r="V67" s="43">
        <f>IFERROR(SUM($E$64:V64)/SUM($E$65:V65),"")</f>
        <v/>
      </c>
      <c r="W67" s="47">
        <f>IFERROR(SUM($E$64:W64)/SUM($E$65:W65),"")</f>
        <v/>
      </c>
      <c r="X67" s="47">
        <f>IFERROR(SUM($E$64:X64)/SUM($E$65:X65),"")</f>
        <v/>
      </c>
      <c r="Y67" s="47">
        <f>IFERROR(SUM($E$64:Y64)/SUM($E$65:Y65),"")</f>
        <v/>
      </c>
      <c r="Z67" s="40" t="n"/>
      <c r="AB67" s="40" t="n"/>
      <c r="AC67" s="40" t="n"/>
      <c r="AD67" s="40" t="n"/>
      <c r="AF67" s="40" t="n"/>
      <c r="AG67" s="40" t="n"/>
      <c r="AH67" s="40" t="n"/>
      <c r="AJ67" s="40" t="n"/>
      <c r="AK67" s="40" t="n"/>
      <c r="AL67" s="40" t="n"/>
      <c r="AM67" s="40" t="n"/>
      <c r="AO67" s="40" t="n"/>
      <c r="AP67" s="40" t="n"/>
      <c r="AQ67" s="40" t="n"/>
      <c r="AS67" s="40" t="n"/>
      <c r="AT67" s="40" t="n"/>
      <c r="AU67" s="40" t="n"/>
      <c r="AW67" s="40" t="n"/>
      <c r="AX67" s="40" t="n"/>
      <c r="AY67" s="40" t="n"/>
      <c r="AZ67" s="40" t="n"/>
      <c r="BB67" s="40" t="n"/>
      <c r="BC67" s="40" t="n"/>
      <c r="BD67" s="40" t="n"/>
    </row>
    <row r="68"/>
    <row r="69"/>
    <row r="70" customFormat="1" s="26">
      <c r="A70" s="25" t="inlineStr">
        <is>
          <t>Walmart (1P+3P)</t>
        </is>
      </c>
      <c r="D70" s="27" t="n"/>
    </row>
    <row r="71">
      <c r="A71" s="1" t="inlineStr">
        <is>
          <t>Sell-in value</t>
        </is>
      </c>
      <c r="D71" s="24" t="inlineStr">
        <is>
          <t>$k</t>
        </is>
      </c>
      <c r="E71" s="42" t="n">
        <v>243.74</v>
      </c>
      <c r="F71" s="42" t="n">
        <v>33.165</v>
      </c>
      <c r="G71" s="42" t="n">
        <v>31.698</v>
      </c>
      <c r="H71" s="42" t="n">
        <v>48.813</v>
      </c>
      <c r="I71" s="42" t="n">
        <v>160.658</v>
      </c>
      <c r="J71" s="42" t="n">
        <v>79.217</v>
      </c>
      <c r="K71" s="42" t="n">
        <v>46.368</v>
      </c>
      <c r="L71" s="42" t="n">
        <v>66.126</v>
      </c>
      <c r="M71" s="42" t="n">
        <v>178.761</v>
      </c>
      <c r="N71" s="42" t="n">
        <v>108.011</v>
      </c>
      <c r="O71" s="42" t="n">
        <v>97.503</v>
      </c>
      <c r="P71" s="42" t="n">
        <v>109.854</v>
      </c>
      <c r="Q71" s="42" t="n">
        <v>148.71</v>
      </c>
      <c r="R71" s="42" t="n">
        <v>74.373</v>
      </c>
      <c r="S71" s="42" t="n">
        <v>200.686</v>
      </c>
      <c r="T71" s="42" t="n">
        <v>269.422</v>
      </c>
      <c r="U71" s="42" t="n">
        <v>985.244</v>
      </c>
      <c r="V71" s="42" t="n">
        <v>1503.894</v>
      </c>
      <c r="W71" s="42" t="n">
        <v>487.053</v>
      </c>
      <c r="X71" s="42" t="n">
        <v>133.984</v>
      </c>
      <c r="Y71" s="42" t="n">
        <v>141.157</v>
      </c>
    </row>
    <row r="72" customFormat="1" s="4">
      <c r="A72" s="3" t="n"/>
      <c r="B72" s="4" t="inlineStr">
        <is>
          <t>% of Total - YTD</t>
        </is>
      </c>
      <c r="D72" s="33" t="inlineStr">
        <is>
          <t>%</t>
        </is>
      </c>
      <c r="E72" s="43">
        <f>IFERROR(SUM($E$71:E71)/SUM($E$3:E3),"")</f>
        <v/>
      </c>
      <c r="F72" s="43">
        <f>IFERROR(SUM($E$71:F71)/SUM($E$3:F3),"")</f>
        <v/>
      </c>
      <c r="G72" s="43">
        <f>IFERROR(SUM($E$71:G71)/SUM($E$3:G3),"")</f>
        <v/>
      </c>
      <c r="H72" s="43">
        <f>IFERROR(SUM($E$71:H71)/SUM($E$3:H3),"")</f>
        <v/>
      </c>
      <c r="I72" s="43">
        <f>IFERROR(SUM($E$71:I71)/SUM($E$3:I3),"")</f>
        <v/>
      </c>
      <c r="J72" s="43">
        <f>IFERROR(SUM($E$71:J71)/SUM($E$3:J3),"")</f>
        <v/>
      </c>
      <c r="K72" s="43">
        <f>IFERROR(SUM($E$71:K71)/SUM($E$3:K3),"")</f>
        <v/>
      </c>
      <c r="L72" s="43">
        <f>IFERROR(SUM($E$71:L71)/SUM($E$3:L3),"")</f>
        <v/>
      </c>
      <c r="M72" s="43">
        <f>IFERROR(SUM($E$71:M71)/SUM($E$3:M3),"")</f>
        <v/>
      </c>
      <c r="N72" s="43">
        <f>IFERROR(SUM($E$71:N71)/SUM($E$3:N3),"")</f>
        <v/>
      </c>
      <c r="O72" s="43">
        <f>IFERROR(SUM($E$71:O71)/SUM($E$3:O3),"")</f>
        <v/>
      </c>
      <c r="P72" s="43">
        <f>IFERROR(SUM($E$71:P71)/SUM($E$3:P3),"")</f>
        <v/>
      </c>
      <c r="Q72" s="43">
        <f>IFERROR(SUM($E$71:Q71)/SUM($E$3:Q3),"")</f>
        <v/>
      </c>
      <c r="R72" s="43">
        <f>IFERROR(SUM($E$71:R71)/SUM($E$3:R3),"")</f>
        <v/>
      </c>
      <c r="S72" s="43">
        <f>IFERROR(SUM($E$71:S71)/SUM($E$3:S3),"")</f>
        <v/>
      </c>
      <c r="T72" s="43">
        <f>IFERROR(SUM($E$71:T71)/SUM($E$3:T3),"")</f>
        <v/>
      </c>
      <c r="U72" s="43">
        <f>IFERROR(SUM($E$71:U71)/SUM($E$3:U3),"")</f>
        <v/>
      </c>
      <c r="V72" s="43">
        <f>IFERROR(SUM($E$71:V71)/SUM($E$3:V3),"")</f>
        <v/>
      </c>
      <c r="W72" s="43">
        <f>IFERROR(SUM($E$71:W71)/SUM($E$3:W3),"")</f>
        <v/>
      </c>
      <c r="X72" s="43">
        <f>IFERROR(SUM($E$71:X71)/SUM($E$3:X3),"")</f>
        <v/>
      </c>
      <c r="Y72" s="43">
        <f>IFERROR(SUM($E$71:Y71)/SUM($E$3:Y3),"")</f>
        <v/>
      </c>
    </row>
    <row r="73" customFormat="1" s="7">
      <c r="B73" s="7" t="inlineStr">
        <is>
          <t>% of Target</t>
        </is>
      </c>
      <c r="D73" s="8" t="inlineStr">
        <is>
          <t>%</t>
        </is>
      </c>
      <c r="E73" s="43">
        <f>IFERROR(E71/E74,"")</f>
        <v/>
      </c>
      <c r="F73" s="43">
        <f>IFERROR(F71/F74,"")</f>
        <v/>
      </c>
      <c r="G73" s="43">
        <f>IFERROR(G71/G74,"")</f>
        <v/>
      </c>
      <c r="H73" s="43">
        <f>IFERROR(H71/H74,"")</f>
        <v/>
      </c>
      <c r="I73" s="43">
        <f>IFERROR(I71/I74,"")</f>
        <v/>
      </c>
      <c r="J73" s="43">
        <f>IFERROR(J71/J74,"")</f>
        <v/>
      </c>
      <c r="K73" s="43">
        <f>IFERROR(K71/K74,"")</f>
        <v/>
      </c>
      <c r="L73" s="43">
        <f>IFERROR(L71/L74,"")</f>
        <v/>
      </c>
      <c r="M73" s="43">
        <f>IFERROR(M71/M74,"")</f>
        <v/>
      </c>
      <c r="N73" s="43">
        <f>IFERROR(N71/N74,"")</f>
        <v/>
      </c>
      <c r="O73" s="43">
        <f>IFERROR(O71/O74,"")</f>
        <v/>
      </c>
      <c r="P73" s="43">
        <f>IFERROR(P71/P74,"")</f>
        <v/>
      </c>
      <c r="Q73" s="43">
        <f>IFERROR(Q71/Q74,"")</f>
        <v/>
      </c>
      <c r="R73" s="43">
        <f>IFERROR(R71/R74,"")</f>
        <v/>
      </c>
      <c r="S73" s="43">
        <f>IFERROR(S71/S74,"")</f>
        <v/>
      </c>
      <c r="T73" s="43">
        <f>IFERROR(T71/T74,"")</f>
        <v/>
      </c>
      <c r="U73" s="43">
        <f>IFERROR(U71/U74,"")</f>
        <v/>
      </c>
      <c r="V73" s="43">
        <f>IFERROR(V71/V74,"")</f>
        <v/>
      </c>
      <c r="W73" s="43">
        <f>IFERROR(W71/W74,"")</f>
        <v/>
      </c>
      <c r="X73" s="43">
        <f>IFERROR(X71/X74,"")</f>
        <v/>
      </c>
      <c r="Y73" s="43">
        <f>IFERROR(Y71/Y74,"")</f>
        <v/>
      </c>
    </row>
    <row r="74" customFormat="1" s="9">
      <c r="B74" s="9" t="inlineStr">
        <is>
          <t>Target</t>
        </is>
      </c>
      <c r="D74" s="10" t="inlineStr">
        <is>
          <t>$k</t>
        </is>
      </c>
      <c r="E74" s="42" t="n">
        <v>84.40602473600001</v>
      </c>
      <c r="F74" s="42" t="n">
        <v>147.710543288</v>
      </c>
      <c r="G74" s="42" t="n">
        <v>147.710543288</v>
      </c>
      <c r="H74" s="42" t="n">
        <v>147.710543288</v>
      </c>
      <c r="I74" s="42" t="n">
        <v>151.501587962</v>
      </c>
      <c r="J74" s="42" t="n">
        <v>174.24925</v>
      </c>
      <c r="K74" s="42" t="n">
        <v>174.24925</v>
      </c>
      <c r="L74" s="42" t="n">
        <v>174.24925</v>
      </c>
      <c r="M74" s="42" t="n">
        <v>202.553270168</v>
      </c>
      <c r="N74" s="42" t="n">
        <v>372.375997182</v>
      </c>
      <c r="O74" s="42" t="n">
        <v>372.375997182</v>
      </c>
      <c r="P74" s="42" t="n">
        <v>372.375997182</v>
      </c>
      <c r="Q74" s="42" t="n">
        <v>372.375997182</v>
      </c>
      <c r="R74" s="42" t="n">
        <v>229.260554453</v>
      </c>
      <c r="S74" s="42" t="n">
        <v>172.013787599</v>
      </c>
      <c r="T74" s="42" t="n">
        <v>172.013787599</v>
      </c>
      <c r="U74" s="42" t="n">
        <v>172.013787599</v>
      </c>
      <c r="V74" s="42" t="n">
        <v>260.847291523</v>
      </c>
      <c r="W74" s="42" t="n">
        <v>379.292209156</v>
      </c>
      <c r="X74" s="42" t="n">
        <v>379.292209156</v>
      </c>
      <c r="Y74" s="42" t="n">
        <v>379.292209156</v>
      </c>
    </row>
    <row r="75"/>
    <row r="76">
      <c r="A76" s="1" t="inlineStr">
        <is>
          <t xml:space="preserve">Sell-through units </t>
        </is>
      </c>
      <c r="D76" s="24" t="inlineStr">
        <is>
          <t>#</t>
        </is>
      </c>
      <c r="E76" s="42" t="n">
        <v>33</v>
      </c>
      <c r="F76" s="42" t="n">
        <v>50</v>
      </c>
      <c r="G76" s="42" t="n">
        <v>30</v>
      </c>
      <c r="H76" s="42" t="n">
        <v>31</v>
      </c>
      <c r="I76" s="42" t="n">
        <v>48</v>
      </c>
      <c r="J76" s="42" t="n">
        <v>59</v>
      </c>
      <c r="K76" s="42" t="n">
        <v>60</v>
      </c>
      <c r="L76" s="42" t="n">
        <v>48</v>
      </c>
      <c r="M76" s="42" t="n">
        <v>71</v>
      </c>
      <c r="N76" s="42" t="n">
        <v>84</v>
      </c>
      <c r="O76" s="42" t="n">
        <v>37</v>
      </c>
      <c r="P76" s="42" t="n">
        <v>48</v>
      </c>
      <c r="Q76" s="42" t="n">
        <v>46</v>
      </c>
      <c r="R76" s="42" t="n">
        <v>26</v>
      </c>
      <c r="S76" s="42" t="n">
        <v>38</v>
      </c>
      <c r="T76" s="42" t="n">
        <v>43</v>
      </c>
      <c r="U76" s="42" t="n">
        <v>2383</v>
      </c>
      <c r="V76" s="42" t="n">
        <v>4069</v>
      </c>
      <c r="W76" s="42" t="n">
        <v>4661</v>
      </c>
      <c r="X76" s="42" t="n">
        <v>5353</v>
      </c>
      <c r="Y76" s="42" t="n">
        <v>6144</v>
      </c>
    </row>
    <row r="77" customFormat="1" s="4">
      <c r="A77" s="3" t="n"/>
      <c r="B77" s="4" t="inlineStr">
        <is>
          <t>% of Total - YTD</t>
        </is>
      </c>
      <c r="D77" s="33" t="inlineStr">
        <is>
          <t>%</t>
        </is>
      </c>
      <c r="E77" s="43">
        <f>IFERROR(SUM($E$76:E76)/SUM($E$4:E4),"")</f>
        <v/>
      </c>
      <c r="F77" s="43">
        <f>IFERROR(SUM($E$76:F76)/SUM($E$4:F4),"")</f>
        <v/>
      </c>
      <c r="G77" s="43">
        <f>IFERROR(SUM($E$76:G76)/SUM($E$4:G4),"")</f>
        <v/>
      </c>
      <c r="H77" s="43">
        <f>IFERROR(SUM($E$76:H76)/SUM($E$4:H4),"")</f>
        <v/>
      </c>
      <c r="I77" s="43">
        <f>IFERROR(SUM($E$76:I76)/SUM($E$4:I4),"")</f>
        <v/>
      </c>
      <c r="J77" s="43">
        <f>IFERROR(SUM($E$76:J76)/SUM($E$4:J4),"")</f>
        <v/>
      </c>
      <c r="K77" s="43">
        <f>IFERROR(SUM($E$76:K76)/SUM($E$4:K4),"")</f>
        <v/>
      </c>
      <c r="L77" s="43">
        <f>IFERROR(SUM($E$76:L76)/SUM($E$4:L4),"")</f>
        <v/>
      </c>
      <c r="M77" s="43">
        <f>IFERROR(SUM($E$76:M76)/SUM($E$4:M4),"")</f>
        <v/>
      </c>
      <c r="N77" s="43">
        <f>IFERROR(SUM($E$76:N76)/SUM($E$4:N4),"")</f>
        <v/>
      </c>
      <c r="O77" s="43">
        <f>IFERROR(SUM($E$76:O76)/SUM($E$4:O4),"")</f>
        <v/>
      </c>
      <c r="P77" s="43">
        <f>IFERROR(SUM($E$76:P76)/SUM($E$4:P4),"")</f>
        <v/>
      </c>
      <c r="Q77" s="43">
        <f>IFERROR(SUM($E$76:Q76)/SUM($E$4:Q4),"")</f>
        <v/>
      </c>
      <c r="R77" s="43">
        <f>IFERROR(SUM($E$76:R76)/SUM($E$4:R4),"")</f>
        <v/>
      </c>
      <c r="S77" s="43">
        <f>IFERROR(SUM($E$76:S76)/SUM($E$4:S4),"")</f>
        <v/>
      </c>
      <c r="T77" s="43">
        <f>IFERROR(SUM($E$76:T76)/SUM($E$4:T4),"")</f>
        <v/>
      </c>
      <c r="U77" s="43">
        <f>IFERROR(SUM($E$76:U76)/SUM($E$4:U4),"")</f>
        <v/>
      </c>
      <c r="V77" s="43">
        <f>IFERROR(SUM($E$76:V76)/SUM($E$4:V4),"")</f>
        <v/>
      </c>
      <c r="W77" s="43">
        <f>IFERROR(SUM($E$76:W76)/SUM($E$4:W4),"")</f>
        <v/>
      </c>
      <c r="X77" s="43">
        <f>IFERROR(SUM($E$76:X76)/SUM($E$4:X4),"")</f>
        <v/>
      </c>
      <c r="Y77" s="43">
        <f>IFERROR(SUM($E$76:Y76)/SUM($E$4:Y4),"")</f>
        <v/>
      </c>
    </row>
    <row r="78" customFormat="1" s="16">
      <c r="A78" s="15" t="n"/>
      <c r="B78" s="16" t="inlineStr">
        <is>
          <t>% of Target</t>
        </is>
      </c>
      <c r="D78" s="17" t="inlineStr">
        <is>
          <t>%</t>
        </is>
      </c>
      <c r="E78" s="43">
        <f>IFERROR(E76/E79,"")</f>
        <v/>
      </c>
      <c r="F78" s="43">
        <f>IFERROR(F76/F79,"")</f>
        <v/>
      </c>
      <c r="G78" s="43">
        <f>IFERROR(G76/G79,"")</f>
        <v/>
      </c>
      <c r="H78" s="43">
        <f>IFERROR(H76/H79,"")</f>
        <v/>
      </c>
      <c r="I78" s="43">
        <f>IFERROR(I76/I79,"")</f>
        <v/>
      </c>
      <c r="J78" s="43">
        <f>IFERROR(J76/J79,"")</f>
        <v/>
      </c>
      <c r="K78" s="43">
        <f>IFERROR(K76/K79,"")</f>
        <v/>
      </c>
      <c r="L78" s="43">
        <f>IFERROR(L76/L79,"")</f>
        <v/>
      </c>
      <c r="M78" s="43">
        <f>IFERROR(M76/M79,"")</f>
        <v/>
      </c>
      <c r="N78" s="43">
        <f>IFERROR(N76/N79,"")</f>
        <v/>
      </c>
      <c r="O78" s="43">
        <f>IFERROR(O76/O79,"")</f>
        <v/>
      </c>
      <c r="P78" s="43">
        <f>IFERROR(P76/P79,"")</f>
        <v/>
      </c>
      <c r="Q78" s="43">
        <f>IFERROR(Q76/Q79,"")</f>
        <v/>
      </c>
      <c r="R78" s="43">
        <f>IFERROR(R76/R79,"")</f>
        <v/>
      </c>
      <c r="S78" s="43">
        <f>IFERROR(S76/S79,"")</f>
        <v/>
      </c>
      <c r="T78" s="43">
        <f>IFERROR(T76/T79,"")</f>
        <v/>
      </c>
      <c r="U78" s="43">
        <f>IFERROR(U76/U79,"")</f>
        <v/>
      </c>
      <c r="V78" s="43">
        <f>IFERROR(V76/V79,"")</f>
        <v/>
      </c>
      <c r="W78" s="43">
        <f>IFERROR(W76/W79,"")</f>
        <v/>
      </c>
      <c r="X78" s="43">
        <f>IFERROR(X76/X79,"")</f>
        <v/>
      </c>
      <c r="Y78" s="43">
        <f>IFERROR(Y76/Y79,"")</f>
        <v/>
      </c>
    </row>
    <row r="79" customFormat="1" s="13">
      <c r="A79" s="12" t="n"/>
      <c r="B79" s="13" t="inlineStr">
        <is>
          <t>Target</t>
        </is>
      </c>
      <c r="D79" s="14" t="inlineStr">
        <is>
          <t>#</t>
        </is>
      </c>
      <c r="E79" s="42" t="n"/>
      <c r="F79" s="42" t="n">
        <v>4012</v>
      </c>
      <c r="G79" s="42" t="n">
        <v>4012</v>
      </c>
      <c r="H79" s="42" t="n">
        <v>4012</v>
      </c>
      <c r="I79" s="42" t="n">
        <v>4012</v>
      </c>
      <c r="J79" s="42" t="n">
        <v>4769</v>
      </c>
      <c r="K79" s="42" t="n">
        <v>4769</v>
      </c>
      <c r="L79" s="42" t="n">
        <v>4769</v>
      </c>
      <c r="M79" s="42" t="n">
        <v>4769</v>
      </c>
      <c r="N79" s="42" t="n">
        <v>8678</v>
      </c>
      <c r="O79" s="42" t="n">
        <v>8672</v>
      </c>
      <c r="P79" s="42" t="n">
        <v>8672</v>
      </c>
      <c r="Q79" s="42" t="n">
        <v>8672</v>
      </c>
      <c r="R79" s="42" t="n">
        <v>8672</v>
      </c>
      <c r="S79" s="42" t="n">
        <v>820</v>
      </c>
      <c r="T79" s="42" t="n">
        <v>4389</v>
      </c>
      <c r="U79" s="42" t="n">
        <v>4389</v>
      </c>
      <c r="V79" s="42" t="n">
        <v>5963</v>
      </c>
      <c r="W79" s="42" t="n">
        <v>11686</v>
      </c>
      <c r="X79" s="42" t="n">
        <v>9896</v>
      </c>
      <c r="Y79" s="42" t="n">
        <v>9896</v>
      </c>
    </row>
    <row r="80">
      <c r="C80" s="11" t="inlineStr">
        <is>
          <t xml:space="preserve">Cam </t>
        </is>
      </c>
      <c r="D80" s="6" t="inlineStr">
        <is>
          <t>#</t>
        </is>
      </c>
      <c r="E80" s="42" t="n">
        <v>11</v>
      </c>
      <c r="F80" s="42" t="n">
        <v>5</v>
      </c>
      <c r="G80" s="42" t="n">
        <v>0</v>
      </c>
      <c r="H80" s="42" t="n">
        <v>1</v>
      </c>
      <c r="I80" s="42" t="n">
        <v>22</v>
      </c>
      <c r="J80" s="42" t="n">
        <v>13</v>
      </c>
      <c r="K80" s="42" t="n">
        <v>9</v>
      </c>
      <c r="L80" s="42" t="n">
        <v>6</v>
      </c>
      <c r="M80" s="42" t="n">
        <v>0</v>
      </c>
      <c r="N80" s="42" t="n">
        <v>12</v>
      </c>
      <c r="O80" s="42" t="n">
        <v>2</v>
      </c>
      <c r="P80" s="42" t="n">
        <v>0</v>
      </c>
      <c r="Q80" s="42" t="n">
        <v>1</v>
      </c>
      <c r="R80" s="42" t="n">
        <v>0</v>
      </c>
      <c r="S80" s="42" t="n">
        <v>0</v>
      </c>
      <c r="T80" s="42" t="n">
        <v>11</v>
      </c>
      <c r="U80" s="42" t="n">
        <v>2246</v>
      </c>
      <c r="V80" s="42" t="n">
        <v>3907</v>
      </c>
      <c r="W80" s="42" t="n">
        <v>4441</v>
      </c>
      <c r="X80" s="42" t="n">
        <v>5071</v>
      </c>
      <c r="Y80" s="42" t="n">
        <v>5923</v>
      </c>
    </row>
    <row r="81">
      <c r="C81" s="11" t="inlineStr">
        <is>
          <t>Non Cam</t>
        </is>
      </c>
      <c r="D81" s="6" t="inlineStr">
        <is>
          <t>#</t>
        </is>
      </c>
      <c r="E81" s="42" t="n">
        <v>22</v>
      </c>
      <c r="F81" s="42" t="n">
        <v>45</v>
      </c>
      <c r="G81" s="42" t="n">
        <v>30</v>
      </c>
      <c r="H81" s="42" t="n">
        <v>30</v>
      </c>
      <c r="I81" s="42" t="n">
        <v>26</v>
      </c>
      <c r="J81" s="42" t="n">
        <v>46</v>
      </c>
      <c r="K81" s="42" t="n">
        <v>51</v>
      </c>
      <c r="L81" s="42" t="n">
        <v>42</v>
      </c>
      <c r="M81" s="42" t="n">
        <v>71</v>
      </c>
      <c r="N81" s="42" t="n">
        <v>72</v>
      </c>
      <c r="O81" s="42" t="n">
        <v>35</v>
      </c>
      <c r="P81" s="42" t="n">
        <v>48</v>
      </c>
      <c r="Q81" s="42" t="n">
        <v>45</v>
      </c>
      <c r="R81" s="42" t="n">
        <v>26</v>
      </c>
      <c r="S81" s="42" t="n">
        <v>38</v>
      </c>
      <c r="T81" s="42" t="n">
        <v>32</v>
      </c>
      <c r="U81" s="42" t="n">
        <v>137</v>
      </c>
      <c r="V81" s="42" t="n">
        <v>162</v>
      </c>
      <c r="W81" s="42" t="n">
        <v>220</v>
      </c>
      <c r="X81" s="42" t="n">
        <v>282</v>
      </c>
      <c r="Y81" s="42" t="n">
        <v>221</v>
      </c>
    </row>
    <row r="82">
      <c r="C82" s="6" t="n"/>
    </row>
    <row r="83" customFormat="1" s="1">
      <c r="A83" s="1" t="inlineStr">
        <is>
          <t xml:space="preserve">Promo </t>
        </is>
      </c>
      <c r="D83" s="24" t="inlineStr">
        <is>
          <t>$k</t>
        </is>
      </c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>
        <v>0</v>
      </c>
      <c r="R83" s="44" t="n">
        <v>0</v>
      </c>
      <c r="S83" s="44" t="n">
        <v>0</v>
      </c>
      <c r="T83" s="44" t="n">
        <v>0</v>
      </c>
      <c r="U83" s="44" t="n"/>
      <c r="V83" s="44" t="n"/>
      <c r="W83" s="44" t="n"/>
      <c r="X83" s="44" t="n"/>
      <c r="Y83" s="44" t="n">
        <v>9.923</v>
      </c>
    </row>
    <row r="84" customFormat="1" s="9">
      <c r="B84" s="9" t="inlineStr">
        <is>
          <t>Budgeted</t>
        </is>
      </c>
      <c r="D84" s="10" t="inlineStr">
        <is>
          <t>$k</t>
        </is>
      </c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</row>
    <row r="85">
      <c r="B85" t="inlineStr">
        <is>
          <t>As % of budget - this week</t>
        </is>
      </c>
      <c r="D85" s="6" t="inlineStr">
        <is>
          <t>%</t>
        </is>
      </c>
      <c r="E85" s="43">
        <f>IFERROR(E83/E84,"")</f>
        <v/>
      </c>
      <c r="F85" s="43">
        <f>IFERROR(F83/F84,"")</f>
        <v/>
      </c>
      <c r="G85" s="43">
        <f>IFERROR(G83/G84,"")</f>
        <v/>
      </c>
      <c r="H85" s="43">
        <f>IFERROR(H83/H84,"")</f>
        <v/>
      </c>
      <c r="I85" s="43">
        <f>IFERROR(I83/I84,"")</f>
        <v/>
      </c>
      <c r="J85" s="43">
        <f>IFERROR(J83/J84,"")</f>
        <v/>
      </c>
      <c r="K85" s="43">
        <f>IFERROR(K83/K84,"")</f>
        <v/>
      </c>
      <c r="L85" s="43">
        <f>IFERROR(L83/L84,"")</f>
        <v/>
      </c>
      <c r="M85" s="43">
        <f>IFERROR(M83/M84,"")</f>
        <v/>
      </c>
      <c r="N85" s="43">
        <f>IFERROR(N83/N84,"")</f>
        <v/>
      </c>
      <c r="O85" s="43">
        <f>IFERROR(O83/O84,"")</f>
        <v/>
      </c>
      <c r="P85" s="43">
        <f>IFERROR(P83/P84,"")</f>
        <v/>
      </c>
      <c r="Q85" s="43">
        <f>IFERROR(Q83/Q84,"")</f>
        <v/>
      </c>
      <c r="R85" s="43">
        <f>IFERROR(R83/R84,"")</f>
        <v/>
      </c>
      <c r="S85" s="43">
        <f>IFERROR(S83/S84,"")</f>
        <v/>
      </c>
      <c r="T85" s="43">
        <f>IFERROR(T83/T84,"")</f>
        <v/>
      </c>
      <c r="U85" s="43">
        <f>IFERROR(U83/U84,"")</f>
        <v/>
      </c>
      <c r="V85" s="43">
        <f>IFERROR(V83/V84,"")</f>
        <v/>
      </c>
      <c r="W85" s="43">
        <f>IFERROR(W83/W84,"")</f>
        <v/>
      </c>
      <c r="X85" s="43">
        <f>IFERROR(X83/X84,"")</f>
        <v/>
      </c>
      <c r="Y85" s="43">
        <f>IFERROR(Y83/Y84,"")</f>
        <v/>
      </c>
    </row>
    <row r="86">
      <c r="B86" t="inlineStr">
        <is>
          <t>As % of budget - YTD</t>
        </is>
      </c>
      <c r="D86" s="6" t="inlineStr">
        <is>
          <t>%</t>
        </is>
      </c>
      <c r="E86" s="43">
        <f>IFERROR(SUM($E$83:E83)/SUM($E$84:E84),"")</f>
        <v/>
      </c>
      <c r="F86" s="43">
        <f>IFERROR(SUM($E$83:F83)/SUM($E$84:F84),"")</f>
        <v/>
      </c>
      <c r="G86" s="43">
        <f>IFERROR(SUM($E$83:G83)/SUM($E$84:G84),"")</f>
        <v/>
      </c>
      <c r="H86" s="43">
        <f>IFERROR(SUM($E$83:H83)/SUM($E$84:H84),"")</f>
        <v/>
      </c>
      <c r="I86" s="43">
        <f>IFERROR(SUM($E$83:I83)/SUM($E$84:I84),"")</f>
        <v/>
      </c>
      <c r="J86" s="43">
        <f>IFERROR(SUM($E$83:J83)/SUM($E$84:J84),"")</f>
        <v/>
      </c>
      <c r="K86" s="43">
        <f>IFERROR(SUM($E$83:K83)/SUM($E$84:K84),"")</f>
        <v/>
      </c>
      <c r="L86" s="43">
        <f>IFERROR(SUM($E$83:L83)/SUM($E$84:L84),"")</f>
        <v/>
      </c>
      <c r="M86" s="43">
        <f>IFERROR(SUM($E$83:M83)/SUM($E$84:M84),"")</f>
        <v/>
      </c>
      <c r="N86" s="43">
        <f>IFERROR(SUM($E$83:N83)/SUM($E$84:N84),"")</f>
        <v/>
      </c>
      <c r="O86" s="43">
        <f>IFERROR(SUM($E$83:O83)/SUM($E$84:O84),"")</f>
        <v/>
      </c>
      <c r="P86" s="43">
        <f>IFERROR(SUM($E$83:P83)/SUM($E$84:P84),"")</f>
        <v/>
      </c>
      <c r="Q86" s="43">
        <f>IFERROR(SUM($E$83:Q83)/SUM($E$84:Q84),"")</f>
        <v/>
      </c>
      <c r="R86" s="43">
        <f>IFERROR(SUM($E$83:R83)/SUM($E$84:R84),"")</f>
        <v/>
      </c>
      <c r="S86" s="43">
        <f>IFERROR(SUM($E$83:S83)/SUM($E$84:S84),"")</f>
        <v/>
      </c>
      <c r="T86" s="43">
        <f>IFERROR(SUM($E$83:T83)/SUM($E$84:T84),"")</f>
        <v/>
      </c>
      <c r="U86" s="43">
        <f>IFERROR(SUM($E$83:U83)/SUM($E$84:U84),"")</f>
        <v/>
      </c>
      <c r="V86" s="43">
        <f>IFERROR(SUM($E$83:V83)/SUM($E$84:V84),"")</f>
        <v/>
      </c>
      <c r="W86" s="43">
        <f>IFERROR(SUM($E$83:W83)/SUM($E$84:W84),"")</f>
        <v/>
      </c>
      <c r="X86" s="43">
        <f>IFERROR(SUM($E$83:X83)/SUM($E$84:X84),"")</f>
        <v/>
      </c>
      <c r="Y86" s="43">
        <f>IFERROR(SUM($E$83:Y83)/SUM($E$84:Y84),"")</f>
        <v/>
      </c>
    </row>
    <row r="87"/>
    <row r="88" customFormat="1" s="1">
      <c r="A88" s="1" t="inlineStr">
        <is>
          <t>Ads</t>
        </is>
      </c>
      <c r="D88" s="24" t="inlineStr">
        <is>
          <t>$k</t>
        </is>
      </c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</row>
    <row r="89">
      <c r="B89" s="9" t="inlineStr">
        <is>
          <t>Budgeted</t>
        </is>
      </c>
      <c r="D89" s="10" t="inlineStr">
        <is>
          <t>$k</t>
        </is>
      </c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</row>
    <row r="90">
      <c r="B90" t="inlineStr">
        <is>
          <t>As % of budget - this week</t>
        </is>
      </c>
      <c r="D90" s="6" t="inlineStr">
        <is>
          <t>%</t>
        </is>
      </c>
      <c r="E90" s="43">
        <f>IFERROR(E88/E89,"")</f>
        <v/>
      </c>
      <c r="F90" s="43">
        <f>IFERROR(F88/F89,"")</f>
        <v/>
      </c>
      <c r="G90" s="43">
        <f>IFERROR(G88/G89,"")</f>
        <v/>
      </c>
      <c r="H90" s="43">
        <f>IFERROR(H88/H89,"")</f>
        <v/>
      </c>
      <c r="I90" s="43">
        <f>IFERROR(I88/I89,"")</f>
        <v/>
      </c>
      <c r="J90" s="43">
        <f>IFERROR(J88/J89,"")</f>
        <v/>
      </c>
      <c r="K90" s="43">
        <f>IFERROR(K88/K89,"")</f>
        <v/>
      </c>
      <c r="L90" s="43">
        <f>IFERROR(L88/L89,"")</f>
        <v/>
      </c>
      <c r="M90" s="43">
        <f>IFERROR(M88/M89,"")</f>
        <v/>
      </c>
      <c r="N90" s="43">
        <f>IFERROR(N88/N89,"")</f>
        <v/>
      </c>
      <c r="O90" s="43">
        <f>IFERROR(O88/O89,"")</f>
        <v/>
      </c>
      <c r="P90" s="43">
        <f>IFERROR(P88/P89,"")</f>
        <v/>
      </c>
      <c r="Q90" s="43">
        <f>IFERROR(Q88/Q89,"")</f>
        <v/>
      </c>
      <c r="R90" s="43">
        <f>IFERROR(R88/R89,"")</f>
        <v/>
      </c>
      <c r="S90" s="43">
        <f>IFERROR(S88/S89,"")</f>
        <v/>
      </c>
      <c r="T90" s="43">
        <f>IFERROR(T88/T89,"")</f>
        <v/>
      </c>
      <c r="U90" s="43">
        <f>IFERROR(U88/U89,"")</f>
        <v/>
      </c>
      <c r="V90" s="43">
        <f>IFERROR(V88/V89,"")</f>
        <v/>
      </c>
      <c r="W90" s="43">
        <f>IFERROR(W88/W89,"")</f>
        <v/>
      </c>
      <c r="X90" s="43">
        <f>IFERROR(X88/X89,"")</f>
        <v/>
      </c>
      <c r="Y90" s="43">
        <f>IFERROR(Y88/Y89,"")</f>
        <v/>
      </c>
    </row>
    <row r="91">
      <c r="B91" t="inlineStr">
        <is>
          <t>As % of budget - YTD</t>
        </is>
      </c>
      <c r="D91" s="6" t="inlineStr">
        <is>
          <t>%</t>
        </is>
      </c>
      <c r="E91" s="43">
        <f>IFERROR(SUM($E$88:E88)/SUM($E$89:E89),"")</f>
        <v/>
      </c>
      <c r="F91" s="43">
        <f>IFERROR(SUM($E$88:F88)/SUM($E$89:F89),"")</f>
        <v/>
      </c>
      <c r="G91" s="43">
        <f>IFERROR(SUM($E$88:G88)/SUM($E$89:G89),"")</f>
        <v/>
      </c>
      <c r="H91" s="43">
        <f>IFERROR(SUM($E$88:H88)/SUM($E$89:H89),"")</f>
        <v/>
      </c>
      <c r="I91" s="43">
        <f>IFERROR(SUM($E$88:I88)/SUM($E$89:I89),"")</f>
        <v/>
      </c>
      <c r="J91" s="43">
        <f>IFERROR(SUM($E$88:J88)/SUM($E$89:J89),"")</f>
        <v/>
      </c>
      <c r="K91" s="43">
        <f>IFERROR(SUM($E$88:K88)/SUM($E$89:K89),"")</f>
        <v/>
      </c>
      <c r="L91" s="43">
        <f>IFERROR(SUM($E$88:L88)/SUM($E$89:L89),"")</f>
        <v/>
      </c>
      <c r="M91" s="43">
        <f>IFERROR(SUM($E$88:M88)/SUM($E$89:M89),"")</f>
        <v/>
      </c>
      <c r="N91" s="43">
        <f>IFERROR(SUM($E$88:N88)/SUM($E$89:N89),"")</f>
        <v/>
      </c>
      <c r="O91" s="43">
        <f>IFERROR(SUM($E$88:O88)/SUM($E$89:O89),"")</f>
        <v/>
      </c>
      <c r="P91" s="43">
        <f>IFERROR(SUM($E$88:P88)/SUM($E$89:P89),"")</f>
        <v/>
      </c>
      <c r="Q91" s="43">
        <f>IFERROR(SUM($E$88:Q88)/SUM($E$89:Q89),"")</f>
        <v/>
      </c>
      <c r="R91" s="43">
        <f>IFERROR(SUM($E$88:R88)/SUM($E$89:R89),"")</f>
        <v/>
      </c>
      <c r="S91" s="43">
        <f>IFERROR(SUM($E$88:S88)/SUM($E$89:S89),"")</f>
        <v/>
      </c>
      <c r="T91" s="43">
        <f>IFERROR(SUM($E$88:T88)/SUM($E$89:T89),"")</f>
        <v/>
      </c>
      <c r="U91" s="43">
        <f>IFERROR(SUM($E$88:U88)/SUM($E$89:U89),"")</f>
        <v/>
      </c>
      <c r="V91" s="43">
        <f>IFERROR(SUM($E$88:V88)/SUM($E$89:V89),"")</f>
        <v/>
      </c>
      <c r="W91" s="43">
        <f>IFERROR(SUM($E$88:W88)/SUM($E$89:W89),"")</f>
        <v/>
      </c>
      <c r="X91" s="43">
        <f>IFERROR(SUM($E$88:X88)/SUM($E$89:X89),"")</f>
        <v/>
      </c>
      <c r="Y91" s="43">
        <f>IFERROR(SUM($E$88:Y88)/SUM($E$89:Y89),"")</f>
        <v/>
      </c>
    </row>
    <row r="92"/>
    <row r="93" customFormat="1" s="1">
      <c r="A93" s="1" t="inlineStr">
        <is>
          <t>Other Marketing - Retail marketing, etc</t>
        </is>
      </c>
      <c r="D93" s="24" t="inlineStr">
        <is>
          <t>$k</t>
        </is>
      </c>
      <c r="E93" s="45" t="n"/>
      <c r="F93" s="45" t="n"/>
      <c r="G93" s="45" t="n"/>
      <c r="H93" s="45" t="n"/>
      <c r="I93" s="44" t="n"/>
      <c r="J93" s="45" t="n"/>
      <c r="K93" s="45" t="n"/>
      <c r="L93" s="45" t="n"/>
      <c r="M93" s="44" t="n"/>
      <c r="N93" s="45" t="n"/>
      <c r="O93" s="45" t="n"/>
      <c r="P93" s="45" t="n"/>
      <c r="Q93" s="45" t="n"/>
      <c r="R93" s="44" t="n"/>
      <c r="S93" s="45" t="n"/>
      <c r="T93" s="45" t="n"/>
      <c r="U93" s="45" t="n"/>
      <c r="V93" s="44" t="n"/>
      <c r="W93" s="45" t="n"/>
      <c r="X93" s="45" t="n"/>
      <c r="Y93" s="45" t="n"/>
      <c r="Z93" s="41" t="n"/>
      <c r="AB93" s="41" t="n"/>
      <c r="AC93" s="41" t="n"/>
      <c r="AD93" s="41" t="n"/>
      <c r="AF93" s="41" t="n"/>
      <c r="AG93" s="41" t="n"/>
      <c r="AH93" s="41" t="n"/>
      <c r="AJ93" s="41" t="n"/>
      <c r="AK93" s="41" t="n"/>
      <c r="AL93" s="41" t="n"/>
      <c r="AM93" s="41" t="n"/>
      <c r="AO93" s="41" t="n"/>
      <c r="AP93" s="41" t="n"/>
      <c r="AQ93" s="41" t="n"/>
      <c r="AS93" s="41" t="n"/>
      <c r="AT93" s="41" t="n"/>
      <c r="AU93" s="41" t="n"/>
      <c r="AW93" s="41" t="n"/>
      <c r="AX93" s="41" t="n"/>
      <c r="AY93" s="41" t="n"/>
      <c r="AZ93" s="41" t="n"/>
      <c r="BB93" s="41" t="n"/>
      <c r="BC93" s="41" t="n"/>
      <c r="BD93" s="41" t="n"/>
    </row>
    <row r="94">
      <c r="B94" s="9" t="inlineStr">
        <is>
          <t>Budgeted</t>
        </is>
      </c>
      <c r="D94" s="10" t="inlineStr">
        <is>
          <t>$k</t>
        </is>
      </c>
      <c r="E94" s="46" t="n"/>
      <c r="F94" s="46" t="n"/>
      <c r="G94" s="46" t="n"/>
      <c r="H94" s="46" t="n"/>
      <c r="I94" s="44" t="n"/>
      <c r="J94" s="46" t="n"/>
      <c r="K94" s="46" t="n"/>
      <c r="L94" s="46" t="n"/>
      <c r="M94" s="44" t="n"/>
      <c r="N94" s="46" t="n"/>
      <c r="O94" s="46" t="n"/>
      <c r="P94" s="46" t="n"/>
      <c r="Q94" s="46" t="n"/>
      <c r="R94" s="44" t="n"/>
      <c r="S94" s="46" t="n"/>
      <c r="T94" s="46" t="n"/>
      <c r="U94" s="46" t="n"/>
      <c r="V94" s="44" t="n"/>
      <c r="W94" s="46" t="n"/>
      <c r="X94" s="46" t="n"/>
      <c r="Y94" s="46" t="n"/>
      <c r="Z94" s="40" t="n"/>
      <c r="AB94" s="40" t="n"/>
      <c r="AC94" s="40" t="n"/>
      <c r="AD94" s="40" t="n"/>
      <c r="AF94" s="40" t="n"/>
      <c r="AG94" s="40" t="n"/>
      <c r="AH94" s="40" t="n"/>
      <c r="AJ94" s="40" t="n"/>
      <c r="AK94" s="40" t="n"/>
      <c r="AL94" s="40" t="n"/>
      <c r="AM94" s="40" t="n"/>
      <c r="AO94" s="40" t="n"/>
      <c r="AP94" s="40" t="n"/>
      <c r="AQ94" s="40" t="n"/>
      <c r="AS94" s="40" t="n"/>
      <c r="AT94" s="40" t="n"/>
      <c r="AU94" s="40" t="n"/>
      <c r="AW94" s="40" t="n"/>
      <c r="AX94" s="40" t="n"/>
      <c r="AY94" s="40" t="n"/>
      <c r="AZ94" s="40" t="n"/>
      <c r="BB94" s="40" t="n"/>
      <c r="BC94" s="40" t="n"/>
      <c r="BD94" s="40" t="n"/>
    </row>
    <row r="95">
      <c r="B95" t="inlineStr">
        <is>
          <t>As % of budget - this week</t>
        </is>
      </c>
      <c r="D95" s="6" t="inlineStr">
        <is>
          <t>%</t>
        </is>
      </c>
      <c r="E95" s="47">
        <f>IFERROR(E93/E94,"")</f>
        <v/>
      </c>
      <c r="F95" s="47">
        <f>IFERROR(F93/F94,"")</f>
        <v/>
      </c>
      <c r="G95" s="47">
        <f>IFERROR(G93/G94,"")</f>
        <v/>
      </c>
      <c r="H95" s="47">
        <f>IFERROR(H93/H94,"")</f>
        <v/>
      </c>
      <c r="I95" s="43">
        <f>IFERROR(I93/I94,"")</f>
        <v/>
      </c>
      <c r="J95" s="47">
        <f>IFERROR(J93/J94,"")</f>
        <v/>
      </c>
      <c r="K95" s="47">
        <f>IFERROR(K93/K94,"")</f>
        <v/>
      </c>
      <c r="L95" s="47">
        <f>IFERROR(L93/L94,"")</f>
        <v/>
      </c>
      <c r="M95" s="43">
        <f>IFERROR(M93/M94,"")</f>
        <v/>
      </c>
      <c r="N95" s="47">
        <f>IFERROR(N93/N94,"")</f>
        <v/>
      </c>
      <c r="O95" s="47">
        <f>IFERROR(O93/O94,"")</f>
        <v/>
      </c>
      <c r="P95" s="47">
        <f>IFERROR(P93/P94,"")</f>
        <v/>
      </c>
      <c r="Q95" s="47">
        <f>IFERROR(Q93/Q94,"")</f>
        <v/>
      </c>
      <c r="R95" s="43">
        <f>IFERROR(R93/R94,"")</f>
        <v/>
      </c>
      <c r="S95" s="47">
        <f>IFERROR(S93/S94,"")</f>
        <v/>
      </c>
      <c r="T95" s="47">
        <f>IFERROR(T93/T94,"")</f>
        <v/>
      </c>
      <c r="U95" s="47">
        <f>IFERROR(U93/U94,"")</f>
        <v/>
      </c>
      <c r="V95" s="43">
        <f>IFERROR(V93/V94,"")</f>
        <v/>
      </c>
      <c r="W95" s="47">
        <f>IFERROR(W93/W94,"")</f>
        <v/>
      </c>
      <c r="X95" s="47">
        <f>IFERROR(X93/X94,"")</f>
        <v/>
      </c>
      <c r="Y95" s="47">
        <f>IFERROR(Y93/Y94,"")</f>
        <v/>
      </c>
      <c r="Z95" s="40" t="n"/>
      <c r="AB95" s="40" t="n"/>
      <c r="AC95" s="40" t="n"/>
      <c r="AD95" s="40" t="n"/>
      <c r="AF95" s="40" t="n"/>
      <c r="AG95" s="40" t="n"/>
      <c r="AH95" s="40" t="n"/>
      <c r="AJ95" s="40" t="n"/>
      <c r="AK95" s="40" t="n"/>
      <c r="AL95" s="40" t="n"/>
      <c r="AM95" s="40" t="n"/>
      <c r="AO95" s="40" t="n"/>
      <c r="AP95" s="40" t="n"/>
      <c r="AQ95" s="40" t="n"/>
      <c r="AS95" s="40" t="n"/>
      <c r="AT95" s="40" t="n"/>
      <c r="AU95" s="40" t="n"/>
      <c r="AW95" s="40" t="n"/>
      <c r="AX95" s="40" t="n"/>
      <c r="AY95" s="40" t="n"/>
      <c r="AZ95" s="40" t="n"/>
      <c r="BB95" s="40" t="n"/>
      <c r="BC95" s="40" t="n"/>
      <c r="BD95" s="40" t="n"/>
    </row>
    <row r="96">
      <c r="B96" t="inlineStr">
        <is>
          <t>As % of budget - YTD</t>
        </is>
      </c>
      <c r="D96" s="6" t="inlineStr">
        <is>
          <t>%</t>
        </is>
      </c>
      <c r="E96" s="47">
        <f>IFERROR(SUM($E$93:E93)/SUM($E$94:E94),"")</f>
        <v/>
      </c>
      <c r="F96" s="47">
        <f>IFERROR(SUM($E$93:F93)/SUM($E$94:F94),"")</f>
        <v/>
      </c>
      <c r="G96" s="47">
        <f>IFERROR(SUM($E$93:G93)/SUM($E$94:G94),"")</f>
        <v/>
      </c>
      <c r="H96" s="47">
        <f>IFERROR(SUM($E$93:H93)/SUM($E$94:H94),"")</f>
        <v/>
      </c>
      <c r="I96" s="43">
        <f>IFERROR(SUM($E$93:I93)/SUM($E$94:I94),"")</f>
        <v/>
      </c>
      <c r="J96" s="47">
        <f>IFERROR(SUM($E$93:J93)/SUM($E$94:J94),"")</f>
        <v/>
      </c>
      <c r="K96" s="47">
        <f>IFERROR(SUM($E$93:K93)/SUM($E$94:K94),"")</f>
        <v/>
      </c>
      <c r="L96" s="47">
        <f>IFERROR(SUM($E$93:L93)/SUM($E$94:L94),"")</f>
        <v/>
      </c>
      <c r="M96" s="43">
        <f>IFERROR(SUM($E$93:M93)/SUM($E$94:M94),"")</f>
        <v/>
      </c>
      <c r="N96" s="47">
        <f>IFERROR(SUM($E$93:N93)/SUM($E$94:N94),"")</f>
        <v/>
      </c>
      <c r="O96" s="47">
        <f>IFERROR(SUM($E$93:O93)/SUM($E$94:O94),"")</f>
        <v/>
      </c>
      <c r="P96" s="47">
        <f>IFERROR(SUM($E$93:P93)/SUM($E$94:P94),"")</f>
        <v/>
      </c>
      <c r="Q96" s="47">
        <f>IFERROR(SUM($E$93:Q93)/SUM($E$94:Q94),"")</f>
        <v/>
      </c>
      <c r="R96" s="43">
        <f>IFERROR(SUM($E$93:R93)/SUM($E$94:R94),"")</f>
        <v/>
      </c>
      <c r="S96" s="47">
        <f>IFERROR(SUM($E$93:S93)/SUM($E$94:S94),"")</f>
        <v/>
      </c>
      <c r="T96" s="47">
        <f>IFERROR(SUM($E$93:T93)/SUM($E$94:T94),"")</f>
        <v/>
      </c>
      <c r="U96" s="47">
        <f>IFERROR(SUM($E$93:U93)/SUM($E$94:U94),"")</f>
        <v/>
      </c>
      <c r="V96" s="43">
        <f>IFERROR(SUM($E$93:V93)/SUM($E$94:V94),"")</f>
        <v/>
      </c>
      <c r="W96" s="47">
        <f>IFERROR(SUM($E$93:W93)/SUM($E$94:W94),"")</f>
        <v/>
      </c>
      <c r="X96" s="47">
        <f>IFERROR(SUM($E$93:X93)/SUM($E$94:X94),"")</f>
        <v/>
      </c>
      <c r="Y96" s="47">
        <f>IFERROR(SUM($E$93:Y93)/SUM($E$94:Y94),"")</f>
        <v/>
      </c>
      <c r="Z96" s="40" t="n"/>
      <c r="AB96" s="40" t="n"/>
      <c r="AC96" s="40" t="n"/>
      <c r="AD96" s="40" t="n"/>
      <c r="AF96" s="40" t="n"/>
      <c r="AG96" s="40" t="n"/>
      <c r="AH96" s="40" t="n"/>
      <c r="AJ96" s="40" t="n"/>
      <c r="AK96" s="40" t="n"/>
      <c r="AL96" s="40" t="n"/>
      <c r="AM96" s="40" t="n"/>
      <c r="AO96" s="40" t="n"/>
      <c r="AP96" s="40" t="n"/>
      <c r="AQ96" s="40" t="n"/>
      <c r="AS96" s="40" t="n"/>
      <c r="AT96" s="40" t="n"/>
      <c r="AU96" s="40" t="n"/>
      <c r="AW96" s="40" t="n"/>
      <c r="AX96" s="40" t="n"/>
      <c r="AY96" s="40" t="n"/>
      <c r="AZ96" s="40" t="n"/>
      <c r="BB96" s="40" t="n"/>
      <c r="BC96" s="40" t="n"/>
      <c r="BD96" s="40" t="n"/>
    </row>
    <row r="97"/>
    <row r="98"/>
    <row r="99" customFormat="1" s="29">
      <c r="A99" s="28" t="inlineStr">
        <is>
          <t>The Home Deport (In-store + Online)</t>
        </is>
      </c>
      <c r="D99" s="30" t="n"/>
    </row>
    <row r="100">
      <c r="A100" s="1" t="inlineStr">
        <is>
          <t>Sell-in value</t>
        </is>
      </c>
      <c r="D100" s="24" t="inlineStr">
        <is>
          <t>$k</t>
        </is>
      </c>
      <c r="E100" s="42" t="n">
        <v>0</v>
      </c>
      <c r="F100" s="42" t="n">
        <v>177.257</v>
      </c>
      <c r="G100" s="42" t="n">
        <v>185.714</v>
      </c>
      <c r="H100" s="42" t="n">
        <v>142.685</v>
      </c>
      <c r="I100" s="42" t="n">
        <v>1529.357</v>
      </c>
      <c r="J100" s="42" t="n">
        <v>558.474</v>
      </c>
      <c r="K100" s="42" t="n">
        <v>80.14</v>
      </c>
      <c r="L100" s="42" t="n">
        <v>345.375</v>
      </c>
      <c r="M100" s="42" t="n">
        <v>133.153</v>
      </c>
      <c r="N100" s="42" t="n">
        <v>255.815</v>
      </c>
      <c r="O100" s="42" t="n">
        <v>125.933</v>
      </c>
      <c r="P100" s="42" t="n">
        <v>444.779</v>
      </c>
      <c r="Q100" s="42" t="n">
        <v>169.942</v>
      </c>
      <c r="R100" s="42" t="n">
        <v>-1129.9</v>
      </c>
      <c r="S100" s="42" t="n">
        <v>55.557</v>
      </c>
      <c r="T100" s="42" t="n">
        <v>166.198</v>
      </c>
      <c r="U100" s="42" t="n">
        <v>95.827</v>
      </c>
      <c r="V100" s="42" t="n">
        <v>170.757</v>
      </c>
      <c r="W100" s="42" t="n">
        <v>181.164</v>
      </c>
      <c r="X100" s="42" t="n">
        <v>247.52</v>
      </c>
      <c r="Y100" s="42" t="n">
        <v>358.557</v>
      </c>
    </row>
    <row r="101" customFormat="1" s="4">
      <c r="A101" s="3" t="n"/>
      <c r="B101" s="4" t="inlineStr">
        <is>
          <t>% of Total - YTD</t>
        </is>
      </c>
      <c r="D101" s="33" t="inlineStr">
        <is>
          <t>%</t>
        </is>
      </c>
      <c r="E101" s="43">
        <f>IFERROR(SUM($E$100:E100)/SUM($E$3:E3),"")</f>
        <v/>
      </c>
      <c r="F101" s="43">
        <f>IFERROR(SUM($E$100:F100)/SUM($E$3:F3),"")</f>
        <v/>
      </c>
      <c r="G101" s="43">
        <f>IFERROR(SUM($E$100:G100)/SUM($E$3:G3),"")</f>
        <v/>
      </c>
      <c r="H101" s="43">
        <f>IFERROR(SUM($E$100:H100)/SUM($E$3:H3),"")</f>
        <v/>
      </c>
      <c r="I101" s="43">
        <f>IFERROR(SUM($E$100:I100)/SUM($E$3:I3),"")</f>
        <v/>
      </c>
      <c r="J101" s="43">
        <f>IFERROR(SUM($E$100:J100)/SUM($E$3:J3),"")</f>
        <v/>
      </c>
      <c r="K101" s="43">
        <f>IFERROR(SUM($E$100:K100)/SUM($E$3:K3),"")</f>
        <v/>
      </c>
      <c r="L101" s="43">
        <f>IFERROR(SUM($E$100:L100)/SUM($E$3:L3),"")</f>
        <v/>
      </c>
      <c r="M101" s="43">
        <f>IFERROR(SUM($E$100:M100)/SUM($E$3:M3),"")</f>
        <v/>
      </c>
      <c r="N101" s="43">
        <f>IFERROR(SUM($E$100:N100)/SUM($E$3:N3),"")</f>
        <v/>
      </c>
      <c r="O101" s="43">
        <f>IFERROR(SUM($E$100:O100)/SUM($E$3:O3),"")</f>
        <v/>
      </c>
      <c r="P101" s="43">
        <f>IFERROR(SUM($E$100:P100)/SUM($E$3:P3),"")</f>
        <v/>
      </c>
      <c r="Q101" s="43">
        <f>IFERROR(SUM($E$100:Q100)/SUM($E$3:Q3),"")</f>
        <v/>
      </c>
      <c r="R101" s="43">
        <f>IFERROR(SUM($E$100:R100)/SUM($E$3:R3),"")</f>
        <v/>
      </c>
      <c r="S101" s="43">
        <f>IFERROR(SUM($E$100:S100)/SUM($E$3:S3),"")</f>
        <v/>
      </c>
      <c r="T101" s="43">
        <f>IFERROR(SUM($E$100:T100)/SUM($E$3:T3),"")</f>
        <v/>
      </c>
      <c r="U101" s="43">
        <f>IFERROR(SUM($E$100:U100)/SUM($E$3:U3),"")</f>
        <v/>
      </c>
      <c r="V101" s="43">
        <f>IFERROR(SUM($E$100:V100)/SUM($E$3:V3),"")</f>
        <v/>
      </c>
      <c r="W101" s="43">
        <f>IFERROR(SUM($E$100:W100)/SUM($E$3:W3),"")</f>
        <v/>
      </c>
      <c r="X101" s="43">
        <f>IFERROR(SUM($E$100:X100)/SUM($E$3:X3),"")</f>
        <v/>
      </c>
      <c r="Y101" s="43">
        <f>IFERROR(SUM($E$100:Y100)/SUM($E$3:Y3),"")</f>
        <v/>
      </c>
    </row>
    <row r="102" customFormat="1" s="7">
      <c r="B102" s="7" t="inlineStr">
        <is>
          <t>% of Target</t>
        </is>
      </c>
      <c r="D102" s="8" t="inlineStr">
        <is>
          <t>%</t>
        </is>
      </c>
      <c r="E102" s="43">
        <f>IFERROR(E100/E103,"")</f>
        <v/>
      </c>
      <c r="F102" s="43">
        <f>IFERROR(F100/F103,"")</f>
        <v/>
      </c>
      <c r="G102" s="43">
        <f>IFERROR(G100/G103,"")</f>
        <v/>
      </c>
      <c r="H102" s="43">
        <f>IFERROR(H100/H103,"")</f>
        <v/>
      </c>
      <c r="I102" s="43">
        <f>IFERROR(I100/I103,"")</f>
        <v/>
      </c>
      <c r="J102" s="43">
        <f>IFERROR(J100/J103,"")</f>
        <v/>
      </c>
      <c r="K102" s="43">
        <f>IFERROR(K100/K103,"")</f>
        <v/>
      </c>
      <c r="L102" s="43">
        <f>IFERROR(L100/L103,"")</f>
        <v/>
      </c>
      <c r="M102" s="43">
        <f>IFERROR(M100/M103,"")</f>
        <v/>
      </c>
      <c r="N102" s="43">
        <f>IFERROR(N100/N103,"")</f>
        <v/>
      </c>
      <c r="O102" s="43">
        <f>IFERROR(O100/O103,"")</f>
        <v/>
      </c>
      <c r="P102" s="43">
        <f>IFERROR(P100/P103,"")</f>
        <v/>
      </c>
      <c r="Q102" s="43">
        <f>IFERROR(Q100/Q103,"")</f>
        <v/>
      </c>
      <c r="R102" s="43">
        <f>IFERROR(R100/R103,"")</f>
        <v/>
      </c>
      <c r="S102" s="43">
        <f>IFERROR(S100/S103,"")</f>
        <v/>
      </c>
      <c r="T102" s="43">
        <f>IFERROR(T100/T103,"")</f>
        <v/>
      </c>
      <c r="U102" s="43">
        <f>IFERROR(U100/U103,"")</f>
        <v/>
      </c>
      <c r="V102" s="43">
        <f>IFERROR(V100/V103,"")</f>
        <v/>
      </c>
      <c r="W102" s="43">
        <f>IFERROR(W100/W103,"")</f>
        <v/>
      </c>
      <c r="X102" s="43">
        <f>IFERROR(X100/X103,"")</f>
        <v/>
      </c>
      <c r="Y102" s="43">
        <f>IFERROR(Y100/Y103,"")</f>
        <v/>
      </c>
    </row>
    <row r="103" customFormat="1" s="9">
      <c r="B103" s="9" t="inlineStr">
        <is>
          <t>Target</t>
        </is>
      </c>
      <c r="D103" s="10" t="inlineStr">
        <is>
          <t>$k</t>
        </is>
      </c>
      <c r="E103" s="42" t="n">
        <v>371.427515208</v>
      </c>
      <c r="F103" s="42" t="n">
        <v>649.998151614</v>
      </c>
      <c r="G103" s="42" t="n">
        <v>649.998151614</v>
      </c>
      <c r="H103" s="42" t="n">
        <v>649.998151614</v>
      </c>
      <c r="I103" s="42" t="n">
        <v>593.715730214</v>
      </c>
      <c r="J103" s="42" t="n">
        <v>256.02325</v>
      </c>
      <c r="K103" s="42" t="n">
        <v>256.02325</v>
      </c>
      <c r="L103" s="42" t="n">
        <v>256.02325</v>
      </c>
      <c r="M103" s="42" t="n">
        <v>261.432611856</v>
      </c>
      <c r="N103" s="42" t="n">
        <v>293.886734806</v>
      </c>
      <c r="O103" s="42" t="n">
        <v>293.886734806</v>
      </c>
      <c r="P103" s="42" t="n">
        <v>293.886734806</v>
      </c>
      <c r="Q103" s="42" t="n">
        <v>293.886734806</v>
      </c>
      <c r="R103" s="42" t="n">
        <v>274.713186673</v>
      </c>
      <c r="S103" s="42" t="n">
        <v>267.042851843</v>
      </c>
      <c r="T103" s="42" t="n">
        <v>267.042851843</v>
      </c>
      <c r="U103" s="42" t="n">
        <v>267.042851843</v>
      </c>
      <c r="V103" s="42" t="n">
        <v>284.745874639</v>
      </c>
      <c r="W103" s="42" t="n">
        <v>308.350286524</v>
      </c>
      <c r="X103" s="42" t="n">
        <v>308.350286524</v>
      </c>
      <c r="Y103" s="42" t="n">
        <v>308.350286524</v>
      </c>
    </row>
    <row r="104"/>
    <row r="105">
      <c r="A105" s="1" t="inlineStr">
        <is>
          <t xml:space="preserve">Sell-through units </t>
        </is>
      </c>
      <c r="D105" s="24" t="inlineStr">
        <is>
          <t>#</t>
        </is>
      </c>
      <c r="E105" s="42" t="n">
        <v>7925</v>
      </c>
      <c r="F105" s="42" t="n">
        <v>6591</v>
      </c>
      <c r="G105" s="42" t="n">
        <v>6586</v>
      </c>
      <c r="H105" s="42" t="n">
        <v>6032</v>
      </c>
      <c r="I105" s="42" t="n">
        <v>5612</v>
      </c>
      <c r="J105" s="42" t="n">
        <v>5652</v>
      </c>
      <c r="K105" s="42" t="n">
        <v>6200</v>
      </c>
      <c r="L105" s="42" t="n">
        <v>6980</v>
      </c>
      <c r="M105" s="42" t="n">
        <v>7594</v>
      </c>
      <c r="N105" s="42" t="n">
        <v>7368</v>
      </c>
      <c r="O105" s="42" t="n">
        <v>7153</v>
      </c>
      <c r="P105" s="42" t="n">
        <v>6180</v>
      </c>
      <c r="Q105" s="42" t="n">
        <v>6985</v>
      </c>
      <c r="R105" s="42" t="n">
        <v>6180</v>
      </c>
      <c r="S105" s="42" t="n">
        <v>6722</v>
      </c>
      <c r="T105" s="42" t="n">
        <v>6514</v>
      </c>
      <c r="U105" s="42" t="n">
        <v>5646</v>
      </c>
      <c r="V105" s="42" t="n">
        <v>5684</v>
      </c>
      <c r="W105" s="42" t="n">
        <v>5775</v>
      </c>
      <c r="X105" s="42" t="n">
        <v>5340</v>
      </c>
      <c r="Y105" s="42" t="n">
        <v>6157</v>
      </c>
    </row>
    <row r="106" customFormat="1" s="4">
      <c r="A106" s="3" t="n"/>
      <c r="B106" s="4" t="inlineStr">
        <is>
          <t>% of Total - YTD</t>
        </is>
      </c>
      <c r="D106" s="33" t="inlineStr">
        <is>
          <t>%</t>
        </is>
      </c>
      <c r="E106" s="43">
        <f>IFERROR(SUM($E$105:E105)/SUM($E$4:E4),"")</f>
        <v/>
      </c>
      <c r="F106" s="43">
        <f>IFERROR(SUM($E$105:F105)/SUM($E$4:F4),"")</f>
        <v/>
      </c>
      <c r="G106" s="43">
        <f>IFERROR(SUM($E$105:G105)/SUM($E$4:G4),"")</f>
        <v/>
      </c>
      <c r="H106" s="43">
        <f>IFERROR(SUM($E$105:H105)/SUM($E$4:H4),"")</f>
        <v/>
      </c>
      <c r="I106" s="43">
        <f>IFERROR(SUM($E$105:I105)/SUM($E$4:I4),"")</f>
        <v/>
      </c>
      <c r="J106" s="43">
        <f>IFERROR(SUM($E$105:J105)/SUM($E$4:J4),"")</f>
        <v/>
      </c>
      <c r="K106" s="43">
        <f>IFERROR(SUM($E$105:K105)/SUM($E$4:K4),"")</f>
        <v/>
      </c>
      <c r="L106" s="43">
        <f>IFERROR(SUM($E$105:L105)/SUM($E$4:L4),"")</f>
        <v/>
      </c>
      <c r="M106" s="43">
        <f>IFERROR(SUM($E$105:M105)/SUM($E$4:M4),"")</f>
        <v/>
      </c>
      <c r="N106" s="43">
        <f>IFERROR(SUM($E$105:N105)/SUM($E$4:N4),"")</f>
        <v/>
      </c>
      <c r="O106" s="43">
        <f>IFERROR(SUM($E$105:O105)/SUM($E$4:O4),"")</f>
        <v/>
      </c>
      <c r="P106" s="43">
        <f>IFERROR(SUM($E$105:P105)/SUM($E$4:P4),"")</f>
        <v/>
      </c>
      <c r="Q106" s="43">
        <f>IFERROR(SUM($E$105:Q105)/SUM($E$4:Q4),"")</f>
        <v/>
      </c>
      <c r="R106" s="43">
        <f>IFERROR(SUM($E$105:R105)/SUM($E$4:R4),"")</f>
        <v/>
      </c>
      <c r="S106" s="43">
        <f>IFERROR(SUM($E$105:S105)/SUM($E$4:S4),"")</f>
        <v/>
      </c>
      <c r="T106" s="43">
        <f>IFERROR(SUM($E$105:T105)/SUM($E$4:T4),"")</f>
        <v/>
      </c>
      <c r="U106" s="43">
        <f>IFERROR(SUM($E$105:U105)/SUM($E$4:U4),"")</f>
        <v/>
      </c>
      <c r="V106" s="43">
        <f>IFERROR(SUM($E$105:V105)/SUM($E$4:V4),"")</f>
        <v/>
      </c>
      <c r="W106" s="43">
        <f>IFERROR(SUM($E$105:W105)/SUM($E$4:W4),"")</f>
        <v/>
      </c>
      <c r="X106" s="43">
        <f>IFERROR(SUM($E$105:X105)/SUM($E$4:X4),"")</f>
        <v/>
      </c>
      <c r="Y106" s="43">
        <f>IFERROR(SUM($E$105:Y105)/SUM($E$4:Y4),"")</f>
        <v/>
      </c>
    </row>
    <row r="107" customFormat="1" s="16">
      <c r="A107" s="15" t="n"/>
      <c r="B107" s="16" t="inlineStr">
        <is>
          <t>% of Target</t>
        </is>
      </c>
      <c r="D107" s="17" t="inlineStr">
        <is>
          <t>%</t>
        </is>
      </c>
      <c r="E107" s="43">
        <f>IFERROR(E105/E108,"")</f>
        <v/>
      </c>
      <c r="F107" s="43">
        <f>IFERROR(F105/F108,"")</f>
        <v/>
      </c>
      <c r="G107" s="43">
        <f>IFERROR(G105/G108,"")</f>
        <v/>
      </c>
      <c r="H107" s="43">
        <f>IFERROR(H105/H108,"")</f>
        <v/>
      </c>
      <c r="I107" s="43">
        <f>IFERROR(I105/I108,"")</f>
        <v/>
      </c>
      <c r="J107" s="43">
        <f>IFERROR(J105/J108,"")</f>
        <v/>
      </c>
      <c r="K107" s="43">
        <f>IFERROR(K105/K108,"")</f>
        <v/>
      </c>
      <c r="L107" s="43">
        <f>IFERROR(L105/L108,"")</f>
        <v/>
      </c>
      <c r="M107" s="43">
        <f>IFERROR(M105/M108,"")</f>
        <v/>
      </c>
      <c r="N107" s="43">
        <f>IFERROR(N105/N108,"")</f>
        <v/>
      </c>
      <c r="O107" s="43">
        <f>IFERROR(O105/O108,"")</f>
        <v/>
      </c>
      <c r="P107" s="43">
        <f>IFERROR(P105/P108,"")</f>
        <v/>
      </c>
      <c r="Q107" s="43">
        <f>IFERROR(Q105/Q108,"")</f>
        <v/>
      </c>
      <c r="R107" s="43">
        <f>IFERROR(R105/R108,"")</f>
        <v/>
      </c>
      <c r="S107" s="43">
        <f>IFERROR(S105/S108,"")</f>
        <v/>
      </c>
      <c r="T107" s="43">
        <f>IFERROR(T105/T108,"")</f>
        <v/>
      </c>
      <c r="U107" s="43">
        <f>IFERROR(U105/U108,"")</f>
        <v/>
      </c>
      <c r="V107" s="43">
        <f>IFERROR(V105/V108,"")</f>
        <v/>
      </c>
      <c r="W107" s="43">
        <f>IFERROR(W105/W108,"")</f>
        <v/>
      </c>
      <c r="X107" s="43">
        <f>IFERROR(X105/X108,"")</f>
        <v/>
      </c>
      <c r="Y107" s="43">
        <f>IFERROR(Y105/Y108,"")</f>
        <v/>
      </c>
    </row>
    <row r="108" customFormat="1" s="13">
      <c r="A108" s="12" t="n"/>
      <c r="B108" s="13" t="inlineStr">
        <is>
          <t>Target</t>
        </is>
      </c>
      <c r="D108" s="14" t="inlineStr">
        <is>
          <t>#</t>
        </is>
      </c>
      <c r="E108" s="42" t="n"/>
      <c r="F108" s="42" t="n">
        <v>20532</v>
      </c>
      <c r="G108" s="42" t="n">
        <v>9377</v>
      </c>
      <c r="H108" s="42" t="n">
        <v>9369</v>
      </c>
      <c r="I108" s="42" t="n">
        <v>9255</v>
      </c>
      <c r="J108" s="42" t="n">
        <v>6331</v>
      </c>
      <c r="K108" s="42" t="n">
        <v>6845</v>
      </c>
      <c r="L108" s="42" t="n">
        <v>5480</v>
      </c>
      <c r="M108" s="42" t="n">
        <v>5272</v>
      </c>
      <c r="N108" s="42" t="n">
        <v>5374</v>
      </c>
      <c r="O108" s="42" t="n">
        <v>5477</v>
      </c>
      <c r="P108" s="42" t="n">
        <v>7760</v>
      </c>
      <c r="Q108" s="42" t="n">
        <v>3420</v>
      </c>
      <c r="R108" s="42" t="n">
        <v>3449</v>
      </c>
      <c r="S108" s="42" t="n">
        <v>5226</v>
      </c>
      <c r="T108" s="42" t="n">
        <v>3809</v>
      </c>
      <c r="U108" s="42" t="n">
        <v>6205</v>
      </c>
      <c r="V108" s="42" t="n">
        <v>5652</v>
      </c>
      <c r="W108" s="42" t="n">
        <v>6138</v>
      </c>
      <c r="X108" s="42" t="n">
        <v>6138</v>
      </c>
      <c r="Y108" s="42" t="n">
        <v>6899</v>
      </c>
    </row>
    <row r="109">
      <c r="C109" s="11" t="inlineStr">
        <is>
          <t xml:space="preserve">Cam </t>
        </is>
      </c>
      <c r="D109" s="6" t="inlineStr">
        <is>
          <t>#</t>
        </is>
      </c>
      <c r="E109" s="42" t="n">
        <v>7567</v>
      </c>
      <c r="F109" s="42" t="n">
        <v>6230</v>
      </c>
      <c r="G109" s="42" t="n">
        <v>6106</v>
      </c>
      <c r="H109" s="42" t="n">
        <v>5546</v>
      </c>
      <c r="I109" s="42" t="n">
        <v>5218</v>
      </c>
      <c r="J109" s="42" t="n">
        <v>5345</v>
      </c>
      <c r="K109" s="42" t="n">
        <v>5868</v>
      </c>
      <c r="L109" s="42" t="n">
        <v>6619</v>
      </c>
      <c r="M109" s="42" t="n">
        <v>7170</v>
      </c>
      <c r="N109" s="42" t="n">
        <v>6880</v>
      </c>
      <c r="O109" s="42" t="n">
        <v>6805</v>
      </c>
      <c r="P109" s="42" t="n">
        <v>5849</v>
      </c>
      <c r="Q109" s="42" t="n">
        <v>6703</v>
      </c>
      <c r="R109" s="42" t="n">
        <v>5935</v>
      </c>
      <c r="S109" s="42" t="n">
        <v>6657</v>
      </c>
      <c r="T109" s="42" t="n">
        <v>6449</v>
      </c>
      <c r="U109" s="42" t="n">
        <v>5565</v>
      </c>
      <c r="V109" s="42" t="n">
        <v>5578</v>
      </c>
      <c r="W109" s="42" t="n">
        <v>5691</v>
      </c>
      <c r="X109" s="42" t="n">
        <v>5276</v>
      </c>
      <c r="Y109" s="42" t="n">
        <v>6060</v>
      </c>
    </row>
    <row r="110">
      <c r="C110" s="11" t="inlineStr">
        <is>
          <t>Non Cam</t>
        </is>
      </c>
      <c r="D110" s="6" t="inlineStr">
        <is>
          <t>#</t>
        </is>
      </c>
      <c r="E110" s="42" t="n">
        <v>358</v>
      </c>
      <c r="F110" s="42" t="n">
        <v>361</v>
      </c>
      <c r="G110" s="42" t="n">
        <v>479</v>
      </c>
      <c r="H110" s="42" t="n">
        <v>486</v>
      </c>
      <c r="I110" s="42" t="n">
        <v>394</v>
      </c>
      <c r="J110" s="42" t="n">
        <v>287</v>
      </c>
      <c r="K110" s="42" t="n">
        <v>263</v>
      </c>
      <c r="L110" s="42" t="n">
        <v>233</v>
      </c>
      <c r="M110" s="42" t="n">
        <v>236</v>
      </c>
      <c r="N110" s="42" t="n">
        <v>289</v>
      </c>
      <c r="O110" s="42" t="n">
        <v>146</v>
      </c>
      <c r="P110" s="42" t="n">
        <v>148</v>
      </c>
      <c r="Q110" s="42" t="n">
        <v>29</v>
      </c>
      <c r="R110" s="42" t="n">
        <v>69</v>
      </c>
      <c r="S110" s="42" t="n">
        <v>65</v>
      </c>
      <c r="T110" s="42" t="n">
        <v>65</v>
      </c>
      <c r="U110" s="42" t="n">
        <v>81</v>
      </c>
      <c r="V110" s="42" t="n">
        <v>106</v>
      </c>
      <c r="W110" s="42" t="n">
        <v>84</v>
      </c>
      <c r="X110" s="42" t="n">
        <v>64</v>
      </c>
      <c r="Y110" s="42" t="n">
        <v>97</v>
      </c>
    </row>
    <row r="111">
      <c r="C111" s="6" t="n"/>
    </row>
    <row r="112" customFormat="1" s="1">
      <c r="A112" s="1" t="inlineStr">
        <is>
          <t xml:space="preserve">Promo </t>
        </is>
      </c>
      <c r="D112" s="24" t="inlineStr">
        <is>
          <t>$k</t>
        </is>
      </c>
      <c r="E112" s="44" t="n"/>
      <c r="F112" s="44" t="n"/>
      <c r="G112" s="44" t="n"/>
      <c r="H112" s="44" t="n"/>
      <c r="I112" s="44" t="n"/>
      <c r="J112" s="44" t="n">
        <v>11.86</v>
      </c>
      <c r="K112" s="44" t="n">
        <v>13.7</v>
      </c>
      <c r="L112" s="44" t="n">
        <v>16.17</v>
      </c>
      <c r="M112" s="44" t="n">
        <v>7.43</v>
      </c>
      <c r="N112" s="44" t="n"/>
      <c r="O112" s="44" t="n"/>
      <c r="P112" s="44" t="n"/>
      <c r="Q112" s="44" t="n">
        <v>37.574</v>
      </c>
      <c r="R112" s="44" t="n">
        <v>12.372</v>
      </c>
      <c r="S112" s="44" t="n">
        <v>28.236</v>
      </c>
      <c r="T112" s="44" t="n">
        <v>25.323</v>
      </c>
      <c r="U112" s="44" t="n">
        <v>4.6</v>
      </c>
      <c r="V112" s="44" t="n">
        <v>5.55</v>
      </c>
      <c r="W112" s="44" t="n">
        <v>2.25</v>
      </c>
      <c r="X112" s="44" t="n">
        <v>0.55</v>
      </c>
      <c r="Y112" s="44" t="n">
        <v>24.136</v>
      </c>
    </row>
    <row r="113" customFormat="1" s="9">
      <c r="B113" s="9" t="inlineStr">
        <is>
          <t>Budgeted</t>
        </is>
      </c>
      <c r="D113" s="10" t="inlineStr">
        <is>
          <t>$k</t>
        </is>
      </c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</row>
    <row r="114">
      <c r="B114" t="inlineStr">
        <is>
          <t>As % of budget - this week</t>
        </is>
      </c>
      <c r="D114" s="6" t="inlineStr">
        <is>
          <t>%</t>
        </is>
      </c>
      <c r="E114" s="43">
        <f>IFERROR(E112/E113,"")</f>
        <v/>
      </c>
      <c r="F114" s="43">
        <f>IFERROR(F112/F113,"")</f>
        <v/>
      </c>
      <c r="G114" s="43">
        <f>IFERROR(G112/G113,"")</f>
        <v/>
      </c>
      <c r="H114" s="43">
        <f>IFERROR(H112/H113,"")</f>
        <v/>
      </c>
      <c r="I114" s="43">
        <f>IFERROR(I112/I113,"")</f>
        <v/>
      </c>
      <c r="J114" s="43">
        <f>IFERROR(J112/J113,"")</f>
        <v/>
      </c>
      <c r="K114" s="43">
        <f>IFERROR(K112/K113,"")</f>
        <v/>
      </c>
      <c r="L114" s="43">
        <f>IFERROR(L112/L113,"")</f>
        <v/>
      </c>
      <c r="M114" s="43">
        <f>IFERROR(M112/M113,"")</f>
        <v/>
      </c>
      <c r="N114" s="43">
        <f>IFERROR(N112/N113,"")</f>
        <v/>
      </c>
      <c r="O114" s="43">
        <f>IFERROR(O112/O113,"")</f>
        <v/>
      </c>
      <c r="P114" s="43">
        <f>IFERROR(P112/P113,"")</f>
        <v/>
      </c>
      <c r="Q114" s="43">
        <f>IFERROR(Q112/Q113,"")</f>
        <v/>
      </c>
      <c r="R114" s="43">
        <f>IFERROR(R112/R113,"")</f>
        <v/>
      </c>
      <c r="S114" s="43">
        <f>IFERROR(S112/S113,"")</f>
        <v/>
      </c>
      <c r="T114" s="43">
        <f>IFERROR(T112/T113,"")</f>
        <v/>
      </c>
      <c r="U114" s="43">
        <f>IFERROR(U112/U113,"")</f>
        <v/>
      </c>
      <c r="V114" s="43">
        <f>IFERROR(V112/V113,"")</f>
        <v/>
      </c>
      <c r="W114" s="43">
        <f>IFERROR(W112/W113,"")</f>
        <v/>
      </c>
      <c r="X114" s="43">
        <f>IFERROR(X112/X113,"")</f>
        <v/>
      </c>
      <c r="Y114" s="43">
        <f>IFERROR(Y112/Y113,"")</f>
        <v/>
      </c>
    </row>
    <row r="115">
      <c r="B115" t="inlineStr">
        <is>
          <t>As % of budget - YTD</t>
        </is>
      </c>
      <c r="D115" s="6" t="inlineStr">
        <is>
          <t>%</t>
        </is>
      </c>
      <c r="E115" s="43">
        <f>IFERROR(SUM($E$112:E112)/SUM($E$113:E113),"")</f>
        <v/>
      </c>
      <c r="F115" s="43">
        <f>IFERROR(SUM($E$112:F112)/SUM($E$113:F113),"")</f>
        <v/>
      </c>
      <c r="G115" s="43">
        <f>IFERROR(SUM($E$112:G112)/SUM($E$113:G113),"")</f>
        <v/>
      </c>
      <c r="H115" s="43">
        <f>IFERROR(SUM($E$112:H112)/SUM($E$113:H113),"")</f>
        <v/>
      </c>
      <c r="I115" s="43">
        <f>IFERROR(SUM($E$112:I112)/SUM($E$113:I113),"")</f>
        <v/>
      </c>
      <c r="J115" s="43">
        <f>IFERROR(SUM($E$112:J112)/SUM($E$113:J113),"")</f>
        <v/>
      </c>
      <c r="K115" s="43">
        <f>IFERROR(SUM($E$112:K112)/SUM($E$113:K113),"")</f>
        <v/>
      </c>
      <c r="L115" s="43">
        <f>IFERROR(SUM($E$112:L112)/SUM($E$113:L113),"")</f>
        <v/>
      </c>
      <c r="M115" s="43">
        <f>IFERROR(SUM($E$112:M112)/SUM($E$113:M113),"")</f>
        <v/>
      </c>
      <c r="N115" s="43">
        <f>IFERROR(SUM($E$112:N112)/SUM($E$113:N113),"")</f>
        <v/>
      </c>
      <c r="O115" s="43">
        <f>IFERROR(SUM($E$112:O112)/SUM($E$113:O113),"")</f>
        <v/>
      </c>
      <c r="P115" s="43">
        <f>IFERROR(SUM($E$112:P112)/SUM($E$113:P113),"")</f>
        <v/>
      </c>
      <c r="Q115" s="43">
        <f>IFERROR(SUM($E$112:Q112)/SUM($E$113:Q113),"")</f>
        <v/>
      </c>
      <c r="R115" s="43">
        <f>IFERROR(SUM($E$112:R112)/SUM($E$113:R113),"")</f>
        <v/>
      </c>
      <c r="S115" s="43">
        <f>IFERROR(SUM($E$112:S112)/SUM($E$113:S113),"")</f>
        <v/>
      </c>
      <c r="T115" s="43">
        <f>IFERROR(SUM($E$112:T112)/SUM($E$113:T113),"")</f>
        <v/>
      </c>
      <c r="U115" s="43">
        <f>IFERROR(SUM($E$112:U112)/SUM($E$113:U113),"")</f>
        <v/>
      </c>
      <c r="V115" s="43">
        <f>IFERROR(SUM($E$112:V112)/SUM($E$113:V113),"")</f>
        <v/>
      </c>
      <c r="W115" s="43">
        <f>IFERROR(SUM($E$112:W112)/SUM($E$113:W113),"")</f>
        <v/>
      </c>
      <c r="X115" s="43">
        <f>IFERROR(SUM($E$112:X112)/SUM($E$113:X113),"")</f>
        <v/>
      </c>
      <c r="Y115" s="43">
        <f>IFERROR(SUM($E$112:Y112)/SUM($E$113:Y113),"")</f>
        <v/>
      </c>
    </row>
    <row r="116"/>
    <row r="117" customFormat="1" s="1">
      <c r="A117" s="1" t="inlineStr">
        <is>
          <t>Ads</t>
        </is>
      </c>
      <c r="D117" s="24" t="inlineStr">
        <is>
          <t>$k</t>
        </is>
      </c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</row>
    <row r="118">
      <c r="B118" s="9" t="inlineStr">
        <is>
          <t>Budgeted</t>
        </is>
      </c>
      <c r="D118" s="10" t="inlineStr">
        <is>
          <t>$k</t>
        </is>
      </c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</row>
    <row r="119">
      <c r="B119" t="inlineStr">
        <is>
          <t>As % of budget - this week</t>
        </is>
      </c>
      <c r="D119" s="6" t="inlineStr">
        <is>
          <t>%</t>
        </is>
      </c>
      <c r="E119" s="43">
        <f>IFERROR(E117/E118,"")</f>
        <v/>
      </c>
      <c r="F119" s="43">
        <f>IFERROR(F117/F118,"")</f>
        <v/>
      </c>
      <c r="G119" s="43">
        <f>IFERROR(G117/G118,"")</f>
        <v/>
      </c>
      <c r="H119" s="43">
        <f>IFERROR(H117/H118,"")</f>
        <v/>
      </c>
      <c r="I119" s="43">
        <f>IFERROR(I117/I118,"")</f>
        <v/>
      </c>
      <c r="J119" s="43">
        <f>IFERROR(J117/J118,"")</f>
        <v/>
      </c>
      <c r="K119" s="43">
        <f>IFERROR(K117/K118,"")</f>
        <v/>
      </c>
      <c r="L119" s="43">
        <f>IFERROR(L117/L118,"")</f>
        <v/>
      </c>
      <c r="M119" s="43">
        <f>IFERROR(M117/M118,"")</f>
        <v/>
      </c>
      <c r="N119" s="43">
        <f>IFERROR(N117/N118,"")</f>
        <v/>
      </c>
      <c r="O119" s="43">
        <f>IFERROR(O117/O118,"")</f>
        <v/>
      </c>
      <c r="P119" s="43">
        <f>IFERROR(P117/P118,"")</f>
        <v/>
      </c>
      <c r="Q119" s="43">
        <f>IFERROR(Q117/Q118,"")</f>
        <v/>
      </c>
      <c r="R119" s="43">
        <f>IFERROR(R117/R118,"")</f>
        <v/>
      </c>
      <c r="S119" s="43">
        <f>IFERROR(S117/S118,"")</f>
        <v/>
      </c>
      <c r="T119" s="43">
        <f>IFERROR(T117/T118,"")</f>
        <v/>
      </c>
      <c r="U119" s="43">
        <f>IFERROR(U117/U118,"")</f>
        <v/>
      </c>
      <c r="V119" s="43">
        <f>IFERROR(V117/V118,"")</f>
        <v/>
      </c>
      <c r="W119" s="43">
        <f>IFERROR(W117/W118,"")</f>
        <v/>
      </c>
      <c r="X119" s="43">
        <f>IFERROR(X117/X118,"")</f>
        <v/>
      </c>
      <c r="Y119" s="43">
        <f>IFERROR(Y117/Y118,"")</f>
        <v/>
      </c>
    </row>
    <row r="120">
      <c r="B120" t="inlineStr">
        <is>
          <t>As % of budget - YTD</t>
        </is>
      </c>
      <c r="D120" s="6" t="inlineStr">
        <is>
          <t>%</t>
        </is>
      </c>
      <c r="E120" s="43">
        <f>IFERROR(SUM($E$117:E117)/SUM($E$118:E118),"")</f>
        <v/>
      </c>
      <c r="F120" s="43">
        <f>IFERROR(SUM($E$117:F117)/SUM($E$118:F118),"")</f>
        <v/>
      </c>
      <c r="G120" s="43">
        <f>IFERROR(SUM($E$117:G117)/SUM($E$118:G118),"")</f>
        <v/>
      </c>
      <c r="H120" s="43">
        <f>IFERROR(SUM($E$117:H117)/SUM($E$118:H118),"")</f>
        <v/>
      </c>
      <c r="I120" s="43">
        <f>IFERROR(SUM($E$117:I117)/SUM($E$118:I118),"")</f>
        <v/>
      </c>
      <c r="J120" s="43">
        <f>IFERROR(SUM($E$117:J117)/SUM($E$118:J118),"")</f>
        <v/>
      </c>
      <c r="K120" s="43">
        <f>IFERROR(SUM($E$117:K117)/SUM($E$118:K118),"")</f>
        <v/>
      </c>
      <c r="L120" s="43">
        <f>IFERROR(SUM($E$117:L117)/SUM($E$118:L118),"")</f>
        <v/>
      </c>
      <c r="M120" s="43">
        <f>IFERROR(SUM($E$117:M117)/SUM($E$118:M118),"")</f>
        <v/>
      </c>
      <c r="N120" s="43">
        <f>IFERROR(SUM($E$117:N117)/SUM($E$118:N118),"")</f>
        <v/>
      </c>
      <c r="O120" s="43">
        <f>IFERROR(SUM($E$117:O117)/SUM($E$118:O118),"")</f>
        <v/>
      </c>
      <c r="P120" s="43">
        <f>IFERROR(SUM($E$117:P117)/SUM($E$118:P118),"")</f>
        <v/>
      </c>
      <c r="Q120" s="43">
        <f>IFERROR(SUM($E$117:Q117)/SUM($E$118:Q118),"")</f>
        <v/>
      </c>
      <c r="R120" s="43">
        <f>IFERROR(SUM($E$117:R117)/SUM($E$118:R118),"")</f>
        <v/>
      </c>
      <c r="S120" s="43">
        <f>IFERROR(SUM($E$117:S117)/SUM($E$118:S118),"")</f>
        <v/>
      </c>
      <c r="T120" s="43">
        <f>IFERROR(SUM($E$117:T117)/SUM($E$118:T118),"")</f>
        <v/>
      </c>
      <c r="U120" s="43">
        <f>IFERROR(SUM($E$117:U117)/SUM($E$118:U118),"")</f>
        <v/>
      </c>
      <c r="V120" s="43">
        <f>IFERROR(SUM($E$117:V117)/SUM($E$118:V118),"")</f>
        <v/>
      </c>
      <c r="W120" s="43">
        <f>IFERROR(SUM($E$117:W117)/SUM($E$118:W118),"")</f>
        <v/>
      </c>
      <c r="X120" s="43">
        <f>IFERROR(SUM($E$117:X117)/SUM($E$118:X118),"")</f>
        <v/>
      </c>
      <c r="Y120" s="43">
        <f>IFERROR(SUM($E$117:Y117)/SUM($E$118:Y118),"")</f>
        <v/>
      </c>
    </row>
    <row r="121"/>
    <row r="122" customFormat="1" s="1">
      <c r="A122" s="1" t="inlineStr">
        <is>
          <t>Other Marketing - Retail marketing, etc</t>
        </is>
      </c>
      <c r="D122" s="24" t="inlineStr">
        <is>
          <t>$k</t>
        </is>
      </c>
      <c r="E122" s="45" t="n"/>
      <c r="F122" s="45" t="n"/>
      <c r="G122" s="45" t="n"/>
      <c r="H122" s="45" t="n"/>
      <c r="I122" s="44" t="n"/>
      <c r="J122" s="45" t="n"/>
      <c r="K122" s="45" t="n"/>
      <c r="L122" s="45" t="n"/>
      <c r="M122" s="44" t="n"/>
      <c r="N122" s="45" t="n"/>
      <c r="O122" s="45" t="n"/>
      <c r="P122" s="45" t="n"/>
      <c r="Q122" s="45" t="n"/>
      <c r="R122" s="44" t="n"/>
      <c r="S122" s="45" t="n"/>
      <c r="T122" s="45" t="n"/>
      <c r="U122" s="45" t="n"/>
      <c r="V122" s="44" t="n"/>
      <c r="W122" s="45" t="n"/>
      <c r="X122" s="45" t="n"/>
      <c r="Y122" s="45" t="n"/>
      <c r="Z122" s="41" t="n"/>
      <c r="AB122" s="41" t="n"/>
      <c r="AC122" s="41" t="n"/>
      <c r="AD122" s="41" t="n"/>
      <c r="AF122" s="41" t="n"/>
      <c r="AG122" s="41" t="n"/>
      <c r="AH122" s="41" t="n"/>
      <c r="AJ122" s="41" t="n"/>
      <c r="AK122" s="41" t="n"/>
      <c r="AL122" s="41" t="n"/>
      <c r="AM122" s="41" t="n"/>
      <c r="AO122" s="41" t="n"/>
      <c r="AP122" s="41" t="n"/>
      <c r="AQ122" s="41" t="n"/>
      <c r="AS122" s="41" t="n"/>
      <c r="AT122" s="41" t="n"/>
      <c r="AU122" s="41" t="n"/>
      <c r="AW122" s="41" t="n"/>
      <c r="AX122" s="41" t="n"/>
      <c r="AY122" s="41" t="n"/>
      <c r="AZ122" s="41" t="n"/>
      <c r="BB122" s="41" t="n"/>
      <c r="BC122" s="41" t="n"/>
      <c r="BD122" s="41" t="n"/>
    </row>
    <row r="123">
      <c r="B123" s="9" t="inlineStr">
        <is>
          <t>Budgeted</t>
        </is>
      </c>
      <c r="D123" s="10" t="inlineStr">
        <is>
          <t>$k</t>
        </is>
      </c>
      <c r="E123" s="46" t="n"/>
      <c r="F123" s="46" t="n"/>
      <c r="G123" s="46" t="n"/>
      <c r="H123" s="46" t="n"/>
      <c r="I123" s="44" t="n"/>
      <c r="J123" s="46" t="n"/>
      <c r="K123" s="46" t="n"/>
      <c r="L123" s="46" t="n"/>
      <c r="M123" s="44" t="n"/>
      <c r="N123" s="46" t="n"/>
      <c r="O123" s="46" t="n"/>
      <c r="P123" s="46" t="n"/>
      <c r="Q123" s="46" t="n"/>
      <c r="R123" s="44" t="n"/>
      <c r="S123" s="46" t="n"/>
      <c r="T123" s="46" t="n"/>
      <c r="U123" s="46" t="n"/>
      <c r="V123" s="44" t="n"/>
      <c r="W123" s="46" t="n"/>
      <c r="X123" s="46" t="n"/>
      <c r="Y123" s="46" t="n"/>
      <c r="Z123" s="40" t="n"/>
      <c r="AB123" s="40" t="n"/>
      <c r="AC123" s="40" t="n"/>
      <c r="AD123" s="40" t="n"/>
      <c r="AF123" s="40" t="n"/>
      <c r="AG123" s="40" t="n"/>
      <c r="AH123" s="40" t="n"/>
      <c r="AJ123" s="40" t="n"/>
      <c r="AK123" s="40" t="n"/>
      <c r="AL123" s="40" t="n"/>
      <c r="AM123" s="40" t="n"/>
      <c r="AO123" s="40" t="n"/>
      <c r="AP123" s="40" t="n"/>
      <c r="AQ123" s="40" t="n"/>
      <c r="AS123" s="40" t="n"/>
      <c r="AT123" s="40" t="n"/>
      <c r="AU123" s="40" t="n"/>
      <c r="AW123" s="40" t="n"/>
      <c r="AX123" s="40" t="n"/>
      <c r="AY123" s="40" t="n"/>
      <c r="AZ123" s="40" t="n"/>
      <c r="BB123" s="40" t="n"/>
      <c r="BC123" s="40" t="n"/>
      <c r="BD123" s="40" t="n"/>
    </row>
    <row r="124">
      <c r="B124" t="inlineStr">
        <is>
          <t>As % of budget - this week</t>
        </is>
      </c>
      <c r="D124" s="6" t="inlineStr">
        <is>
          <t>%</t>
        </is>
      </c>
      <c r="E124" s="47">
        <f>IFERROR(E122/E123,"")</f>
        <v/>
      </c>
      <c r="F124" s="47">
        <f>IFERROR(F122/F123,"")</f>
        <v/>
      </c>
      <c r="G124" s="47">
        <f>IFERROR(G122/G123,"")</f>
        <v/>
      </c>
      <c r="H124" s="47">
        <f>IFERROR(H122/H123,"")</f>
        <v/>
      </c>
      <c r="I124" s="43">
        <f>IFERROR(I122/I123,"")</f>
        <v/>
      </c>
      <c r="J124" s="47">
        <f>IFERROR(J122/J123,"")</f>
        <v/>
      </c>
      <c r="K124" s="47">
        <f>IFERROR(K122/K123,"")</f>
        <v/>
      </c>
      <c r="L124" s="47">
        <f>IFERROR(L122/L123,"")</f>
        <v/>
      </c>
      <c r="M124" s="43">
        <f>IFERROR(M122/M123,"")</f>
        <v/>
      </c>
      <c r="N124" s="47">
        <f>IFERROR(N122/N123,"")</f>
        <v/>
      </c>
      <c r="O124" s="47">
        <f>IFERROR(O122/O123,"")</f>
        <v/>
      </c>
      <c r="P124" s="47">
        <f>IFERROR(P122/P123,"")</f>
        <v/>
      </c>
      <c r="Q124" s="47">
        <f>IFERROR(Q122/Q123,"")</f>
        <v/>
      </c>
      <c r="R124" s="43">
        <f>IFERROR(R122/R123,"")</f>
        <v/>
      </c>
      <c r="S124" s="47">
        <f>IFERROR(S122/S123,"")</f>
        <v/>
      </c>
      <c r="T124" s="47">
        <f>IFERROR(T122/T123,"")</f>
        <v/>
      </c>
      <c r="U124" s="47">
        <f>IFERROR(U122/U123,"")</f>
        <v/>
      </c>
      <c r="V124" s="43">
        <f>IFERROR(V122/V123,"")</f>
        <v/>
      </c>
      <c r="W124" s="47">
        <f>IFERROR(W122/W123,"")</f>
        <v/>
      </c>
      <c r="X124" s="47">
        <f>IFERROR(X122/X123,"")</f>
        <v/>
      </c>
      <c r="Y124" s="47">
        <f>IFERROR(Y122/Y123,"")</f>
        <v/>
      </c>
      <c r="Z124" s="40" t="n"/>
      <c r="AB124" s="40" t="n"/>
      <c r="AC124" s="40" t="n"/>
      <c r="AD124" s="40" t="n"/>
      <c r="AF124" s="40" t="n"/>
      <c r="AG124" s="40" t="n"/>
      <c r="AH124" s="40" t="n"/>
      <c r="AJ124" s="40" t="n"/>
      <c r="AK124" s="40" t="n"/>
      <c r="AL124" s="40" t="n"/>
      <c r="AM124" s="40" t="n"/>
      <c r="AO124" s="40" t="n"/>
      <c r="AP124" s="40" t="n"/>
      <c r="AQ124" s="40" t="n"/>
      <c r="AS124" s="40" t="n"/>
      <c r="AT124" s="40" t="n"/>
      <c r="AU124" s="40" t="n"/>
      <c r="AW124" s="40" t="n"/>
      <c r="AX124" s="40" t="n"/>
      <c r="AY124" s="40" t="n"/>
      <c r="AZ124" s="40" t="n"/>
      <c r="BB124" s="40" t="n"/>
      <c r="BC124" s="40" t="n"/>
      <c r="BD124" s="40" t="n"/>
    </row>
    <row r="125">
      <c r="B125" t="inlineStr">
        <is>
          <t>As % of budget - YTD</t>
        </is>
      </c>
      <c r="D125" s="6" t="inlineStr">
        <is>
          <t>%</t>
        </is>
      </c>
      <c r="E125" s="47">
        <f>IFERROR(SUM($E$122:E122)/SUM($E$123:E123),"")</f>
        <v/>
      </c>
      <c r="F125" s="47">
        <f>IFERROR(SUM($E$122:F122)/SUM($E$123:F123),"")</f>
        <v/>
      </c>
      <c r="G125" s="47">
        <f>IFERROR(SUM($E$122:G122)/SUM($E$123:G123),"")</f>
        <v/>
      </c>
      <c r="H125" s="47">
        <f>IFERROR(SUM($E$122:H122)/SUM($E$123:H123),"")</f>
        <v/>
      </c>
      <c r="I125" s="43">
        <f>IFERROR(SUM($E$122:I122)/SUM($E$123:I123),"")</f>
        <v/>
      </c>
      <c r="J125" s="47">
        <f>IFERROR(SUM($E$122:J122)/SUM($E$123:J123),"")</f>
        <v/>
      </c>
      <c r="K125" s="47">
        <f>IFERROR(SUM($E$122:K122)/SUM($E$123:K123),"")</f>
        <v/>
      </c>
      <c r="L125" s="47">
        <f>IFERROR(SUM($E$122:L122)/SUM($E$123:L123),"")</f>
        <v/>
      </c>
      <c r="M125" s="43">
        <f>IFERROR(SUM($E$122:M122)/SUM($E$123:M123),"")</f>
        <v/>
      </c>
      <c r="N125" s="47">
        <f>IFERROR(SUM($E$122:N122)/SUM($E$123:N123),"")</f>
        <v/>
      </c>
      <c r="O125" s="47">
        <f>IFERROR(SUM($E$122:O122)/SUM($E$123:O123),"")</f>
        <v/>
      </c>
      <c r="P125" s="47">
        <f>IFERROR(SUM($E$122:P122)/SUM($E$123:P123),"")</f>
        <v/>
      </c>
      <c r="Q125" s="47">
        <f>IFERROR(SUM($E$122:Q122)/SUM($E$123:Q123),"")</f>
        <v/>
      </c>
      <c r="R125" s="43">
        <f>IFERROR(SUM($E$122:R122)/SUM($E$123:R123),"")</f>
        <v/>
      </c>
      <c r="S125" s="47">
        <f>IFERROR(SUM($E$122:S122)/SUM($E$123:S123),"")</f>
        <v/>
      </c>
      <c r="T125" s="47">
        <f>IFERROR(SUM($E$122:T122)/SUM($E$123:T123),"")</f>
        <v/>
      </c>
      <c r="U125" s="47">
        <f>IFERROR(SUM($E$122:U122)/SUM($E$123:U123),"")</f>
        <v/>
      </c>
      <c r="V125" s="43">
        <f>IFERROR(SUM($E$122:V122)/SUM($E$123:V123),"")</f>
        <v/>
      </c>
      <c r="W125" s="47">
        <f>IFERROR(SUM($E$122:W122)/SUM($E$123:W123),"")</f>
        <v/>
      </c>
      <c r="X125" s="47">
        <f>IFERROR(SUM($E$122:X122)/SUM($E$123:X123),"")</f>
        <v/>
      </c>
      <c r="Y125" s="47">
        <f>IFERROR(SUM($E$122:Y122)/SUM($E$123:Y123),"")</f>
        <v/>
      </c>
      <c r="Z125" s="40" t="n"/>
      <c r="AB125" s="40" t="n"/>
      <c r="AC125" s="40" t="n"/>
      <c r="AD125" s="40" t="n"/>
      <c r="AF125" s="40" t="n"/>
      <c r="AG125" s="40" t="n"/>
      <c r="AH125" s="40" t="n"/>
      <c r="AJ125" s="40" t="n"/>
      <c r="AK125" s="40" t="n"/>
      <c r="AL125" s="40" t="n"/>
      <c r="AM125" s="40" t="n"/>
      <c r="AO125" s="40" t="n"/>
      <c r="AP125" s="40" t="n"/>
      <c r="AQ125" s="40" t="n"/>
      <c r="AS125" s="40" t="n"/>
      <c r="AT125" s="40" t="n"/>
      <c r="AU125" s="40" t="n"/>
      <c r="AW125" s="40" t="n"/>
      <c r="AX125" s="40" t="n"/>
      <c r="AY125" s="40" t="n"/>
      <c r="AZ125" s="40" t="n"/>
      <c r="BB125" s="40" t="n"/>
      <c r="BC125" s="40" t="n"/>
      <c r="BD125" s="40" t="n"/>
    </row>
    <row r="126"/>
    <row r="127"/>
    <row r="128" customFormat="1" s="35">
      <c r="A128" s="34" t="inlineStr">
        <is>
          <t>Other Omni-channel Accounts</t>
        </is>
      </c>
      <c r="D128" s="36" t="n"/>
    </row>
    <row r="129">
      <c r="A129" s="1" t="inlineStr">
        <is>
          <t>Sell-in value</t>
        </is>
      </c>
      <c r="D129" s="24" t="inlineStr">
        <is>
          <t>$k</t>
        </is>
      </c>
      <c r="E129" s="42" t="n">
        <v>547.825</v>
      </c>
      <c r="F129" s="42" t="n">
        <v>40.265</v>
      </c>
      <c r="G129" s="42" t="n">
        <v>36.672</v>
      </c>
      <c r="H129" s="42" t="n">
        <v>69.074</v>
      </c>
      <c r="I129" s="42" t="n">
        <v>127.596</v>
      </c>
      <c r="J129" s="42" t="n">
        <v>86.351</v>
      </c>
      <c r="K129" s="42" t="n">
        <v>26.149</v>
      </c>
      <c r="L129" s="42" t="n">
        <v>44.528</v>
      </c>
      <c r="M129" s="42" t="n">
        <v>156.413</v>
      </c>
      <c r="N129" s="42" t="n">
        <v>40.758</v>
      </c>
      <c r="O129" s="42" t="n">
        <v>45.15</v>
      </c>
      <c r="P129" s="42" t="n">
        <v>48.79</v>
      </c>
      <c r="Q129" s="42" t="n">
        <v>47.999</v>
      </c>
      <c r="R129" s="42" t="n">
        <v>242.401</v>
      </c>
      <c r="S129" s="42" t="n">
        <v>45.439</v>
      </c>
      <c r="T129" s="42" t="n">
        <v>64.428</v>
      </c>
      <c r="U129" s="42" t="n">
        <v>15.019</v>
      </c>
      <c r="V129" s="42" t="n">
        <v>148.254</v>
      </c>
      <c r="W129" s="42" t="n">
        <v>28.287</v>
      </c>
      <c r="X129" s="42" t="n">
        <v>39.21</v>
      </c>
      <c r="Y129" s="42" t="n">
        <v>23.143</v>
      </c>
    </row>
    <row r="130" customFormat="1" s="4">
      <c r="A130" s="3" t="n"/>
      <c r="B130" s="4" t="inlineStr">
        <is>
          <t>% of Total - YTD</t>
        </is>
      </c>
      <c r="D130" s="33" t="inlineStr">
        <is>
          <t>%</t>
        </is>
      </c>
      <c r="E130" s="43">
        <f>IFERROR(SUM($E$129:E129)/SUM($E$3:E3),"")</f>
        <v/>
      </c>
      <c r="F130" s="43">
        <f>IFERROR(SUM($E$129:F129)/SUM($E$3:F3),"")</f>
        <v/>
      </c>
      <c r="G130" s="43">
        <f>IFERROR(SUM($E$129:G129)/SUM($E$3:G3),"")</f>
        <v/>
      </c>
      <c r="H130" s="43">
        <f>IFERROR(SUM($E$129:H129)/SUM($E$3:H3),"")</f>
        <v/>
      </c>
      <c r="I130" s="43">
        <f>IFERROR(SUM($E$129:I129)/SUM($E$3:I3),"")</f>
        <v/>
      </c>
      <c r="J130" s="43">
        <f>IFERROR(SUM($E$129:J129)/SUM($E$3:J3),"")</f>
        <v/>
      </c>
      <c r="K130" s="43">
        <f>IFERROR(SUM($E$129:K129)/SUM($E$3:K3),"")</f>
        <v/>
      </c>
      <c r="L130" s="43">
        <f>IFERROR(SUM($E$129:L129)/SUM($E$3:L3),"")</f>
        <v/>
      </c>
      <c r="M130" s="43">
        <f>IFERROR(SUM($E$129:M129)/SUM($E$3:M3),"")</f>
        <v/>
      </c>
      <c r="N130" s="43">
        <f>IFERROR(SUM($E$129:N129)/SUM($E$3:N3),"")</f>
        <v/>
      </c>
      <c r="O130" s="43">
        <f>IFERROR(SUM($E$129:O129)/SUM($E$3:O3),"")</f>
        <v/>
      </c>
      <c r="P130" s="43">
        <f>IFERROR(SUM($E$129:P129)/SUM($E$3:P3),"")</f>
        <v/>
      </c>
      <c r="Q130" s="43">
        <f>IFERROR(SUM($E$129:Q129)/SUM($E$3:Q3),"")</f>
        <v/>
      </c>
      <c r="R130" s="43">
        <f>IFERROR(SUM($E$129:R129)/SUM($E$3:R3),"")</f>
        <v/>
      </c>
      <c r="S130" s="43">
        <f>IFERROR(SUM($E$129:S129)/SUM($E$3:S3),"")</f>
        <v/>
      </c>
      <c r="T130" s="43">
        <f>IFERROR(SUM($E$129:T129)/SUM($E$3:T3),"")</f>
        <v/>
      </c>
      <c r="U130" s="43">
        <f>IFERROR(SUM($E$129:U129)/SUM($E$3:U3),"")</f>
        <v/>
      </c>
      <c r="V130" s="43">
        <f>IFERROR(SUM($E$129:V129)/SUM($E$3:V3),"")</f>
        <v/>
      </c>
      <c r="W130" s="43">
        <f>IFERROR(SUM($E$129:W129)/SUM($E$3:W3),"")</f>
        <v/>
      </c>
      <c r="X130" s="43">
        <f>IFERROR(SUM($E$129:X129)/SUM($E$3:X3),"")</f>
        <v/>
      </c>
      <c r="Y130" s="43">
        <f>IFERROR(SUM($E$129:Y129)/SUM($E$3:Y3),"")</f>
        <v/>
      </c>
    </row>
    <row r="131" customFormat="1" s="7">
      <c r="B131" s="7" t="inlineStr">
        <is>
          <t>% of Target</t>
        </is>
      </c>
      <c r="D131" s="8" t="inlineStr">
        <is>
          <t>%</t>
        </is>
      </c>
      <c r="E131" s="43">
        <f>IFERROR(E129/E132,"")</f>
        <v/>
      </c>
      <c r="F131" s="43">
        <f>IFERROR(F129/F132,"")</f>
        <v/>
      </c>
      <c r="G131" s="43">
        <f>IFERROR(G129/G132,"")</f>
        <v/>
      </c>
      <c r="H131" s="43">
        <f>IFERROR(H129/H132,"")</f>
        <v/>
      </c>
      <c r="I131" s="43">
        <f>IFERROR(I129/I132,"")</f>
        <v/>
      </c>
      <c r="J131" s="43">
        <f>IFERROR(J129/J132,"")</f>
        <v/>
      </c>
      <c r="K131" s="43">
        <f>IFERROR(K129/K132,"")</f>
        <v/>
      </c>
      <c r="L131" s="43">
        <f>IFERROR(L129/L132,"")</f>
        <v/>
      </c>
      <c r="M131" s="43">
        <f>IFERROR(M129/M132,"")</f>
        <v/>
      </c>
      <c r="N131" s="43">
        <f>IFERROR(N129/N132,"")</f>
        <v/>
      </c>
      <c r="O131" s="43">
        <f>IFERROR(O129/O132,"")</f>
        <v/>
      </c>
      <c r="P131" s="43">
        <f>IFERROR(P129/P132,"")</f>
        <v/>
      </c>
      <c r="Q131" s="43">
        <f>IFERROR(Q129/Q132,"")</f>
        <v/>
      </c>
      <c r="R131" s="43">
        <f>IFERROR(R129/R132,"")</f>
        <v/>
      </c>
      <c r="S131" s="43">
        <f>IFERROR(S129/S132,"")</f>
        <v/>
      </c>
      <c r="T131" s="43">
        <f>IFERROR(T129/T132,"")</f>
        <v/>
      </c>
      <c r="U131" s="43">
        <f>IFERROR(U129/U132,"")</f>
        <v/>
      </c>
      <c r="V131" s="43">
        <f>IFERROR(V129/V132,"")</f>
        <v/>
      </c>
      <c r="W131" s="43">
        <f>IFERROR(W129/W132,"")</f>
        <v/>
      </c>
      <c r="X131" s="43">
        <f>IFERROR(X129/X132,"")</f>
        <v/>
      </c>
      <c r="Y131" s="43">
        <f>IFERROR(Y129/Y132,"")</f>
        <v/>
      </c>
    </row>
    <row r="132" customFormat="1" s="9">
      <c r="B132" s="9" t="inlineStr">
        <is>
          <t>Target</t>
        </is>
      </c>
      <c r="D132" s="10" t="inlineStr">
        <is>
          <t>$k</t>
        </is>
      </c>
      <c r="E132" s="42" t="n">
        <v>41.219788528</v>
      </c>
      <c r="F132" s="42" t="n">
        <v>72.134629924</v>
      </c>
      <c r="G132" s="42" t="n">
        <v>72.134629924</v>
      </c>
      <c r="H132" s="42" t="n">
        <v>72.134629924</v>
      </c>
      <c r="I132" s="42" t="n">
        <v>75.09150526799999</v>
      </c>
      <c r="J132" s="42" t="n">
        <v>92.8335</v>
      </c>
      <c r="K132" s="42" t="n">
        <v>92.8335</v>
      </c>
      <c r="L132" s="42" t="n">
        <v>92.8335</v>
      </c>
      <c r="M132" s="42" t="n">
        <v>88.96398132</v>
      </c>
      <c r="N132" s="42" t="n">
        <v>65.74612657200001</v>
      </c>
      <c r="O132" s="42" t="n">
        <v>65.74612657200001</v>
      </c>
      <c r="P132" s="42" t="n">
        <v>65.74612657200001</v>
      </c>
      <c r="Q132" s="42" t="n">
        <v>65.74612657200001</v>
      </c>
      <c r="R132" s="42" t="n">
        <v>69.526709076</v>
      </c>
      <c r="S132" s="42" t="n">
        <v>71.03869851600001</v>
      </c>
      <c r="T132" s="42" t="n">
        <v>71.03869851600001</v>
      </c>
      <c r="U132" s="42" t="n">
        <v>71.03869851600001</v>
      </c>
      <c r="V132" s="42" t="n">
        <v>77.047780446</v>
      </c>
      <c r="W132" s="42" t="n">
        <v>85.05999116999999</v>
      </c>
      <c r="X132" s="42" t="n">
        <v>85.05999116999999</v>
      </c>
      <c r="Y132" s="42" t="n">
        <v>85.05999116999999</v>
      </c>
    </row>
    <row r="133"/>
    <row r="134">
      <c r="A134" s="1" t="inlineStr">
        <is>
          <t xml:space="preserve">Sell-through units </t>
        </is>
      </c>
      <c r="D134" s="24" t="inlineStr">
        <is>
          <t>#</t>
        </is>
      </c>
      <c r="E134" s="42" t="n">
        <v>1183</v>
      </c>
      <c r="F134" s="42" t="n">
        <v>941</v>
      </c>
      <c r="G134" s="42" t="n">
        <v>1082</v>
      </c>
      <c r="H134" s="42" t="n">
        <v>924</v>
      </c>
      <c r="I134" s="42" t="n">
        <v>828</v>
      </c>
      <c r="J134" s="42" t="n">
        <v>946</v>
      </c>
      <c r="K134" s="42" t="n">
        <v>1005</v>
      </c>
      <c r="L134" s="42" t="n">
        <v>1083</v>
      </c>
      <c r="M134" s="42" t="n">
        <v>1343</v>
      </c>
      <c r="N134" s="42" t="n">
        <v>1605</v>
      </c>
      <c r="O134" s="42" t="n">
        <v>1505</v>
      </c>
      <c r="P134" s="42" t="n">
        <v>1481</v>
      </c>
      <c r="Q134" s="42" t="n">
        <v>1379</v>
      </c>
      <c r="R134" s="42" t="n">
        <v>1296</v>
      </c>
      <c r="S134" s="42" t="n">
        <v>1032</v>
      </c>
      <c r="T134" s="42" t="n">
        <v>1062</v>
      </c>
      <c r="U134" s="42" t="n">
        <v>899</v>
      </c>
      <c r="V134" s="42" t="n">
        <v>1103</v>
      </c>
      <c r="W134" s="42" t="n">
        <v>1160</v>
      </c>
      <c r="X134" s="42" t="n">
        <v>970</v>
      </c>
      <c r="Y134" s="42" t="n">
        <v>1093</v>
      </c>
    </row>
    <row r="135" customFormat="1" s="4">
      <c r="A135" s="3" t="n"/>
      <c r="B135" s="4" t="inlineStr">
        <is>
          <t>% of Total - YTD</t>
        </is>
      </c>
      <c r="D135" s="33" t="inlineStr">
        <is>
          <t>%</t>
        </is>
      </c>
      <c r="E135" s="43">
        <f>IFERROR(SUM($E$134:E134)/SUM($E$4:E4),"")</f>
        <v/>
      </c>
      <c r="F135" s="43">
        <f>IFERROR(SUM($E$134:F134)/SUM($E$4:F4),"")</f>
        <v/>
      </c>
      <c r="G135" s="43">
        <f>IFERROR(SUM($E$134:G134)/SUM($E$4:G4),"")</f>
        <v/>
      </c>
      <c r="H135" s="43">
        <f>IFERROR(SUM($E$134:H134)/SUM($E$4:H4),"")</f>
        <v/>
      </c>
      <c r="I135" s="43">
        <f>IFERROR(SUM($E$134:I134)/SUM($E$4:I4),"")</f>
        <v/>
      </c>
      <c r="J135" s="43">
        <f>IFERROR(SUM($E$134:J134)/SUM($E$4:J4),"")</f>
        <v/>
      </c>
      <c r="K135" s="43">
        <f>IFERROR(SUM($E$134:K134)/SUM($E$4:K4),"")</f>
        <v/>
      </c>
      <c r="L135" s="43">
        <f>IFERROR(SUM($E$134:L134)/SUM($E$4:L4),"")</f>
        <v/>
      </c>
      <c r="M135" s="43">
        <f>IFERROR(SUM($E$134:M134)/SUM($E$4:M4),"")</f>
        <v/>
      </c>
      <c r="N135" s="43">
        <f>IFERROR(SUM($E$134:N134)/SUM($E$4:N4),"")</f>
        <v/>
      </c>
      <c r="O135" s="43">
        <f>IFERROR(SUM($E$134:O134)/SUM($E$4:O4),"")</f>
        <v/>
      </c>
      <c r="P135" s="43">
        <f>IFERROR(SUM($E$134:P134)/SUM($E$4:P4),"")</f>
        <v/>
      </c>
      <c r="Q135" s="43">
        <f>IFERROR(SUM($E$134:Q134)/SUM($E$4:Q4),"")</f>
        <v/>
      </c>
      <c r="R135" s="43">
        <f>IFERROR(SUM($E$134:R134)/SUM($E$4:R4),"")</f>
        <v/>
      </c>
      <c r="S135" s="43">
        <f>IFERROR(SUM($E$134:S134)/SUM($E$4:S4),"")</f>
        <v/>
      </c>
      <c r="T135" s="43">
        <f>IFERROR(SUM($E$134:T134)/SUM($E$4:T4),"")</f>
        <v/>
      </c>
      <c r="U135" s="43">
        <f>IFERROR(SUM($E$134:U134)/SUM($E$4:U4),"")</f>
        <v/>
      </c>
      <c r="V135" s="43">
        <f>IFERROR(SUM($E$134:V134)/SUM($E$4:V4),"")</f>
        <v/>
      </c>
      <c r="W135" s="43">
        <f>IFERROR(SUM($E$134:W134)/SUM($E$4:W4),"")</f>
        <v/>
      </c>
      <c r="X135" s="43">
        <f>IFERROR(SUM($E$134:X134)/SUM($E$4:X4),"")</f>
        <v/>
      </c>
      <c r="Y135" s="43">
        <f>IFERROR(SUM($E$134:Y134)/SUM($E$4:Y4),"")</f>
        <v/>
      </c>
    </row>
    <row r="136" customFormat="1" s="16">
      <c r="A136" s="15" t="n"/>
      <c r="B136" s="16" t="inlineStr">
        <is>
          <t>% of Target</t>
        </is>
      </c>
      <c r="D136" s="17" t="inlineStr">
        <is>
          <t>%</t>
        </is>
      </c>
      <c r="E136" s="43">
        <f>IFERROR(E134/E137,"")</f>
        <v/>
      </c>
      <c r="F136" s="43">
        <f>IFERROR(F134/F137,"")</f>
        <v/>
      </c>
      <c r="G136" s="43">
        <f>IFERROR(G134/G137,"")</f>
        <v/>
      </c>
      <c r="H136" s="43">
        <f>IFERROR(H134/H137,"")</f>
        <v/>
      </c>
      <c r="I136" s="43">
        <f>IFERROR(I134/I137,"")</f>
        <v/>
      </c>
      <c r="J136" s="43">
        <f>IFERROR(J134/J137,"")</f>
        <v/>
      </c>
      <c r="K136" s="43">
        <f>IFERROR(K134/K137,"")</f>
        <v/>
      </c>
      <c r="L136" s="43">
        <f>IFERROR(L134/L137,"")</f>
        <v/>
      </c>
      <c r="M136" s="43">
        <f>IFERROR(M134/M137,"")</f>
        <v/>
      </c>
      <c r="N136" s="43">
        <f>IFERROR(N134/N137,"")</f>
        <v/>
      </c>
      <c r="O136" s="43">
        <f>IFERROR(O134/O137,"")</f>
        <v/>
      </c>
      <c r="P136" s="43">
        <f>IFERROR(P134/P137,"")</f>
        <v/>
      </c>
      <c r="Q136" s="43">
        <f>IFERROR(Q134/Q137,"")</f>
        <v/>
      </c>
      <c r="R136" s="43">
        <f>IFERROR(R134/R137,"")</f>
        <v/>
      </c>
      <c r="S136" s="43">
        <f>IFERROR(S134/S137,"")</f>
        <v/>
      </c>
      <c r="T136" s="43">
        <f>IFERROR(T134/T137,"")</f>
        <v/>
      </c>
      <c r="U136" s="43">
        <f>IFERROR(U134/U137,"")</f>
        <v/>
      </c>
      <c r="V136" s="43">
        <f>IFERROR(V134/V137,"")</f>
        <v/>
      </c>
      <c r="W136" s="43">
        <f>IFERROR(W134/W137,"")</f>
        <v/>
      </c>
      <c r="X136" s="43">
        <f>IFERROR(X134/X137,"")</f>
        <v/>
      </c>
      <c r="Y136" s="43">
        <f>IFERROR(Y134/Y137,"")</f>
        <v/>
      </c>
    </row>
    <row r="137" customFormat="1" s="13">
      <c r="A137" s="12" t="n"/>
      <c r="B137" s="13" t="inlineStr">
        <is>
          <t>Target</t>
        </is>
      </c>
      <c r="D137" s="14" t="inlineStr">
        <is>
          <t>#</t>
        </is>
      </c>
      <c r="E137" s="42" t="n"/>
      <c r="F137" s="42" t="n">
        <v>1085</v>
      </c>
      <c r="G137" s="42" t="n">
        <v>1056</v>
      </c>
      <c r="H137" s="42" t="n">
        <v>1056</v>
      </c>
      <c r="I137" s="42" t="n">
        <v>1033</v>
      </c>
      <c r="J137" s="42" t="n">
        <v>1935</v>
      </c>
      <c r="K137" s="42" t="n">
        <v>1162</v>
      </c>
      <c r="L137" s="42" t="n">
        <v>1248</v>
      </c>
      <c r="M137" s="42" t="n">
        <v>1452</v>
      </c>
      <c r="N137" s="42" t="n">
        <v>1133</v>
      </c>
      <c r="O137" s="42" t="n">
        <v>1056</v>
      </c>
      <c r="P137" s="42" t="n">
        <v>1083</v>
      </c>
      <c r="Q137" s="42" t="n">
        <v>975</v>
      </c>
      <c r="R137" s="42" t="n">
        <v>652</v>
      </c>
      <c r="S137" s="42" t="n">
        <v>1033</v>
      </c>
      <c r="T137" s="42" t="n">
        <v>1232</v>
      </c>
      <c r="U137" s="42" t="n">
        <v>1194</v>
      </c>
      <c r="V137" s="42" t="n">
        <v>1194</v>
      </c>
      <c r="W137" s="42" t="n">
        <v>1209</v>
      </c>
      <c r="X137" s="42" t="n">
        <v>1208</v>
      </c>
      <c r="Y137" s="42" t="n">
        <v>1561</v>
      </c>
    </row>
    <row r="138">
      <c r="C138" s="11" t="inlineStr">
        <is>
          <t xml:space="preserve">Cam </t>
        </is>
      </c>
      <c r="D138" s="6" t="inlineStr">
        <is>
          <t>#</t>
        </is>
      </c>
      <c r="E138" s="42" t="n">
        <v>1053</v>
      </c>
      <c r="F138" s="42" t="n">
        <v>849</v>
      </c>
      <c r="G138" s="42" t="n">
        <v>960</v>
      </c>
      <c r="H138" s="42" t="n">
        <v>858</v>
      </c>
      <c r="I138" s="42" t="n">
        <v>745</v>
      </c>
      <c r="J138" s="42" t="n">
        <v>859</v>
      </c>
      <c r="K138" s="42" t="n">
        <v>894</v>
      </c>
      <c r="L138" s="42" t="n">
        <v>979</v>
      </c>
      <c r="M138" s="42" t="n">
        <v>1206</v>
      </c>
      <c r="N138" s="42" t="n">
        <v>1434</v>
      </c>
      <c r="O138" s="42" t="n">
        <v>1305</v>
      </c>
      <c r="P138" s="42" t="n">
        <v>1313</v>
      </c>
      <c r="Q138" s="42" t="n">
        <v>1278</v>
      </c>
      <c r="R138" s="42" t="n">
        <v>1210</v>
      </c>
      <c r="S138" s="42" t="n">
        <v>988</v>
      </c>
      <c r="T138" s="42" t="n">
        <v>1002</v>
      </c>
      <c r="U138" s="42" t="n">
        <v>839</v>
      </c>
      <c r="V138" s="42" t="n">
        <v>1032</v>
      </c>
      <c r="W138" s="42" t="n">
        <v>1085</v>
      </c>
      <c r="X138" s="42" t="n">
        <v>906</v>
      </c>
      <c r="Y138" s="42" t="n">
        <v>1017</v>
      </c>
    </row>
    <row r="139">
      <c r="C139" s="11" t="inlineStr">
        <is>
          <t>Non Cam</t>
        </is>
      </c>
      <c r="D139" s="6" t="inlineStr">
        <is>
          <t>#</t>
        </is>
      </c>
      <c r="E139" s="42" t="n">
        <v>130</v>
      </c>
      <c r="F139" s="42" t="n">
        <v>92</v>
      </c>
      <c r="G139" s="42" t="n">
        <v>122</v>
      </c>
      <c r="H139" s="42" t="n">
        <v>66</v>
      </c>
      <c r="I139" s="42" t="n">
        <v>83</v>
      </c>
      <c r="J139" s="42" t="n">
        <v>87</v>
      </c>
      <c r="K139" s="42" t="n">
        <v>111</v>
      </c>
      <c r="L139" s="42" t="n">
        <v>104</v>
      </c>
      <c r="M139" s="42" t="n">
        <v>137</v>
      </c>
      <c r="N139" s="42" t="n">
        <v>171</v>
      </c>
      <c r="O139" s="42" t="n">
        <v>200</v>
      </c>
      <c r="P139" s="42" t="n">
        <v>168</v>
      </c>
      <c r="Q139" s="42" t="n">
        <v>101</v>
      </c>
      <c r="R139" s="42" t="n">
        <v>86</v>
      </c>
      <c r="S139" s="42" t="n">
        <v>44</v>
      </c>
      <c r="T139" s="42" t="n">
        <v>60</v>
      </c>
      <c r="U139" s="42" t="n">
        <v>60</v>
      </c>
      <c r="V139" s="42" t="n">
        <v>71</v>
      </c>
      <c r="W139" s="42" t="n">
        <v>75</v>
      </c>
      <c r="X139" s="42" t="n">
        <v>64</v>
      </c>
      <c r="Y139" s="42" t="n">
        <v>76</v>
      </c>
    </row>
    <row r="140">
      <c r="C140" s="6" t="n"/>
    </row>
    <row r="141" customFormat="1" s="1">
      <c r="A141" s="1" t="inlineStr">
        <is>
          <t xml:space="preserve">Promo </t>
        </is>
      </c>
      <c r="D141" s="24" t="inlineStr">
        <is>
          <t>$k</t>
        </is>
      </c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>
        <v>2.57714</v>
      </c>
      <c r="R141" s="44" t="n">
        <v>0.9794299999999999</v>
      </c>
      <c r="S141" s="44" t="n">
        <v>1.91657</v>
      </c>
      <c r="T141" s="44" t="n">
        <v>2.78429</v>
      </c>
      <c r="U141" s="44" t="n">
        <v>0</v>
      </c>
      <c r="V141" s="44" t="n">
        <v>0.3</v>
      </c>
      <c r="W141" s="44" t="n">
        <v>0.17143</v>
      </c>
      <c r="X141" s="44" t="n">
        <v>0.15</v>
      </c>
      <c r="Y141" s="44" t="n">
        <v>2.365</v>
      </c>
    </row>
    <row r="142" customFormat="1" s="9">
      <c r="B142" s="9" t="inlineStr">
        <is>
          <t>Budgeted</t>
        </is>
      </c>
      <c r="D142" s="10" t="inlineStr">
        <is>
          <t>$k</t>
        </is>
      </c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</row>
    <row r="143">
      <c r="B143" t="inlineStr">
        <is>
          <t>As % of budget - this week</t>
        </is>
      </c>
      <c r="D143" s="6" t="inlineStr">
        <is>
          <t>%</t>
        </is>
      </c>
      <c r="E143" s="43">
        <f>IFERROR(E141/E142,"")</f>
        <v/>
      </c>
      <c r="F143" s="43">
        <f>IFERROR(F141/F142,"")</f>
        <v/>
      </c>
      <c r="G143" s="43">
        <f>IFERROR(G141/G142,"")</f>
        <v/>
      </c>
      <c r="H143" s="43">
        <f>IFERROR(H141/H142,"")</f>
        <v/>
      </c>
      <c r="I143" s="43">
        <f>IFERROR(I141/I142,"")</f>
        <v/>
      </c>
      <c r="J143" s="43">
        <f>IFERROR(J141/J142,"")</f>
        <v/>
      </c>
      <c r="K143" s="43">
        <f>IFERROR(K141/K142,"")</f>
        <v/>
      </c>
      <c r="L143" s="43">
        <f>IFERROR(L141/L142,"")</f>
        <v/>
      </c>
      <c r="M143" s="43">
        <f>IFERROR(M141/M142,"")</f>
        <v/>
      </c>
      <c r="N143" s="43">
        <f>IFERROR(N141/N142,"")</f>
        <v/>
      </c>
      <c r="O143" s="43">
        <f>IFERROR(O141/O142,"")</f>
        <v/>
      </c>
      <c r="P143" s="43">
        <f>IFERROR(P141/P142,"")</f>
        <v/>
      </c>
      <c r="Q143" s="43">
        <f>IFERROR(Q141/Q142,"")</f>
        <v/>
      </c>
      <c r="R143" s="43">
        <f>IFERROR(R141/R142,"")</f>
        <v/>
      </c>
      <c r="S143" s="43">
        <f>IFERROR(S141/S142,"")</f>
        <v/>
      </c>
      <c r="T143" s="43">
        <f>IFERROR(T141/T142,"")</f>
        <v/>
      </c>
      <c r="U143" s="43">
        <f>IFERROR(U141/U142,"")</f>
        <v/>
      </c>
      <c r="V143" s="43">
        <f>IFERROR(V141/V142,"")</f>
        <v/>
      </c>
      <c r="W143" s="43">
        <f>IFERROR(W141/W142,"")</f>
        <v/>
      </c>
      <c r="X143" s="43">
        <f>IFERROR(X141/X142,"")</f>
        <v/>
      </c>
      <c r="Y143" s="43">
        <f>IFERROR(Y141/Y142,"")</f>
        <v/>
      </c>
    </row>
    <row r="144">
      <c r="B144" t="inlineStr">
        <is>
          <t>As % of budget - YTD</t>
        </is>
      </c>
      <c r="D144" s="6" t="inlineStr">
        <is>
          <t>%</t>
        </is>
      </c>
      <c r="E144" s="43">
        <f>IFERROR(SUM($E$141:E141)/SUM($E$142:E142),"")</f>
        <v/>
      </c>
      <c r="F144" s="43">
        <f>IFERROR(SUM($E$141:F141)/SUM($E$142:F142),"")</f>
        <v/>
      </c>
      <c r="G144" s="43">
        <f>IFERROR(SUM($E$141:G141)/SUM($E$142:G142),"")</f>
        <v/>
      </c>
      <c r="H144" s="43">
        <f>IFERROR(SUM($E$141:H141)/SUM($E$142:H142),"")</f>
        <v/>
      </c>
      <c r="I144" s="43">
        <f>IFERROR(SUM($E$141:I141)/SUM($E$142:I142),"")</f>
        <v/>
      </c>
      <c r="J144" s="43">
        <f>IFERROR(SUM($E$141:J141)/SUM($E$142:J142),"")</f>
        <v/>
      </c>
      <c r="K144" s="43">
        <f>IFERROR(SUM($E$141:K141)/SUM($E$142:K142),"")</f>
        <v/>
      </c>
      <c r="L144" s="43">
        <f>IFERROR(SUM($E$141:L141)/SUM($E$142:L142),"")</f>
        <v/>
      </c>
      <c r="M144" s="43">
        <f>IFERROR(SUM($E$141:M141)/SUM($E$142:M142),"")</f>
        <v/>
      </c>
      <c r="N144" s="43">
        <f>IFERROR(SUM($E$141:N141)/SUM($E$142:N142),"")</f>
        <v/>
      </c>
      <c r="O144" s="43">
        <f>IFERROR(SUM($E$141:O141)/SUM($E$142:O142),"")</f>
        <v/>
      </c>
      <c r="P144" s="43">
        <f>IFERROR(SUM($E$141:P141)/SUM($E$142:P142),"")</f>
        <v/>
      </c>
      <c r="Q144" s="43">
        <f>IFERROR(SUM($E$141:Q141)/SUM($E$142:Q142),"")</f>
        <v/>
      </c>
      <c r="R144" s="43">
        <f>IFERROR(SUM($E$141:R141)/SUM($E$142:R142),"")</f>
        <v/>
      </c>
      <c r="S144" s="43">
        <f>IFERROR(SUM($E$141:S141)/SUM($E$142:S142),"")</f>
        <v/>
      </c>
      <c r="T144" s="43">
        <f>IFERROR(SUM($E$141:T141)/SUM($E$142:T142),"")</f>
        <v/>
      </c>
      <c r="U144" s="43">
        <f>IFERROR(SUM($E$141:U141)/SUM($E$142:U142),"")</f>
        <v/>
      </c>
      <c r="V144" s="43">
        <f>IFERROR(SUM($E$141:V141)/SUM($E$142:V142),"")</f>
        <v/>
      </c>
      <c r="W144" s="43">
        <f>IFERROR(SUM($E$141:W141)/SUM($E$142:W142),"")</f>
        <v/>
      </c>
      <c r="X144" s="43">
        <f>IFERROR(SUM($E$141:X141)/SUM($E$142:X142),"")</f>
        <v/>
      </c>
      <c r="Y144" s="43">
        <f>IFERROR(SUM($E$141:Y141)/SUM($E$142:Y142),"")</f>
        <v/>
      </c>
    </row>
    <row r="145"/>
    <row r="146" customFormat="1" s="1">
      <c r="A146" s="1" t="inlineStr">
        <is>
          <t>Total marketing</t>
        </is>
      </c>
      <c r="D146" s="24" t="inlineStr">
        <is>
          <t>$k</t>
        </is>
      </c>
      <c r="E146" s="45" t="n"/>
      <c r="F146" s="45" t="n"/>
      <c r="G146" s="45" t="n"/>
      <c r="H146" s="45" t="n"/>
      <c r="I146" s="44" t="n"/>
      <c r="J146" s="45" t="n"/>
      <c r="K146" s="45" t="n"/>
      <c r="L146" s="45" t="n"/>
      <c r="M146" s="44" t="n"/>
      <c r="N146" s="45" t="n"/>
      <c r="O146" s="45" t="n"/>
      <c r="P146" s="45" t="n"/>
      <c r="Q146" s="45" t="n"/>
      <c r="R146" s="44" t="n"/>
      <c r="S146" s="45" t="n"/>
      <c r="T146" s="45" t="n"/>
      <c r="U146" s="45" t="n"/>
      <c r="V146" s="44" t="n"/>
      <c r="W146" s="45" t="n"/>
      <c r="X146" s="45" t="n"/>
      <c r="Y146" s="45" t="n"/>
      <c r="Z146" s="41" t="n"/>
      <c r="AB146" s="41" t="n"/>
      <c r="AC146" s="41" t="n"/>
      <c r="AD146" s="41" t="n"/>
      <c r="AF146" s="41" t="n"/>
      <c r="AG146" s="41" t="n"/>
      <c r="AH146" s="41" t="n"/>
      <c r="AJ146" s="41" t="n"/>
      <c r="AK146" s="41" t="n"/>
      <c r="AL146" s="41" t="n"/>
      <c r="AM146" s="41" t="n"/>
      <c r="AO146" s="41" t="n"/>
      <c r="AP146" s="41" t="n"/>
      <c r="AQ146" s="41" t="n"/>
      <c r="AS146" s="41" t="n"/>
      <c r="AT146" s="41" t="n"/>
      <c r="AU146" s="41" t="n"/>
      <c r="AW146" s="41" t="n"/>
      <c r="AX146" s="41" t="n"/>
      <c r="AY146" s="41" t="n"/>
      <c r="AZ146" s="41" t="n"/>
      <c r="BB146" s="41" t="n"/>
      <c r="BC146" s="41" t="n"/>
      <c r="BD146" s="41" t="n"/>
    </row>
    <row r="147">
      <c r="B147" s="9" t="inlineStr">
        <is>
          <t>Budgeted</t>
        </is>
      </c>
      <c r="D147" s="10" t="inlineStr">
        <is>
          <t>$k</t>
        </is>
      </c>
      <c r="E147" s="46" t="n"/>
      <c r="F147" s="46" t="n"/>
      <c r="G147" s="46" t="n"/>
      <c r="H147" s="46" t="n"/>
      <c r="I147" s="44" t="n"/>
      <c r="J147" s="46" t="n"/>
      <c r="K147" s="46" t="n"/>
      <c r="L147" s="46" t="n"/>
      <c r="M147" s="44" t="n"/>
      <c r="N147" s="46" t="n"/>
      <c r="O147" s="46" t="n"/>
      <c r="P147" s="46" t="n"/>
      <c r="Q147" s="46" t="n"/>
      <c r="R147" s="44" t="n"/>
      <c r="S147" s="46" t="n"/>
      <c r="T147" s="46" t="n"/>
      <c r="U147" s="46" t="n"/>
      <c r="V147" s="44" t="n"/>
      <c r="W147" s="46" t="n"/>
      <c r="X147" s="46" t="n"/>
      <c r="Y147" s="46" t="n"/>
      <c r="Z147" s="40" t="n"/>
      <c r="AB147" s="40" t="n"/>
      <c r="AC147" s="40" t="n"/>
      <c r="AD147" s="40" t="n"/>
      <c r="AF147" s="40" t="n"/>
      <c r="AG147" s="40" t="n"/>
      <c r="AH147" s="40" t="n"/>
      <c r="AJ147" s="40" t="n"/>
      <c r="AK147" s="40" t="n"/>
      <c r="AL147" s="40" t="n"/>
      <c r="AM147" s="40" t="n"/>
      <c r="AO147" s="40" t="n"/>
      <c r="AP147" s="40" t="n"/>
      <c r="AQ147" s="40" t="n"/>
      <c r="AS147" s="40" t="n"/>
      <c r="AT147" s="40" t="n"/>
      <c r="AU147" s="40" t="n"/>
      <c r="AW147" s="40" t="n"/>
      <c r="AX147" s="40" t="n"/>
      <c r="AY147" s="40" t="n"/>
      <c r="AZ147" s="40" t="n"/>
      <c r="BB147" s="40" t="n"/>
      <c r="BC147" s="40" t="n"/>
      <c r="BD147" s="40" t="n"/>
    </row>
    <row r="148">
      <c r="B148" t="inlineStr">
        <is>
          <t>As % of budget - this week</t>
        </is>
      </c>
      <c r="D148" s="6" t="inlineStr">
        <is>
          <t>%</t>
        </is>
      </c>
      <c r="E148" s="47">
        <f>IFERROR(E146/E147,"")</f>
        <v/>
      </c>
      <c r="F148" s="47">
        <f>IFERROR(F146/F147,"")</f>
        <v/>
      </c>
      <c r="G148" s="47">
        <f>IFERROR(G146/G147,"")</f>
        <v/>
      </c>
      <c r="H148" s="47">
        <f>IFERROR(H146/H147,"")</f>
        <v/>
      </c>
      <c r="I148" s="43">
        <f>IFERROR(I146/I147,"")</f>
        <v/>
      </c>
      <c r="J148" s="47">
        <f>IFERROR(J146/J147,"")</f>
        <v/>
      </c>
      <c r="K148" s="47">
        <f>IFERROR(K146/K147,"")</f>
        <v/>
      </c>
      <c r="L148" s="47">
        <f>IFERROR(L146/L147,"")</f>
        <v/>
      </c>
      <c r="M148" s="43">
        <f>IFERROR(M146/M147,"")</f>
        <v/>
      </c>
      <c r="N148" s="47">
        <f>IFERROR(N146/N147,"")</f>
        <v/>
      </c>
      <c r="O148" s="47">
        <f>IFERROR(O146/O147,"")</f>
        <v/>
      </c>
      <c r="P148" s="47">
        <f>IFERROR(P146/P147,"")</f>
        <v/>
      </c>
      <c r="Q148" s="47">
        <f>IFERROR(Q146/Q147,"")</f>
        <v/>
      </c>
      <c r="R148" s="43">
        <f>IFERROR(R146/R147,"")</f>
        <v/>
      </c>
      <c r="S148" s="47">
        <f>IFERROR(S146/S147,"")</f>
        <v/>
      </c>
      <c r="T148" s="47">
        <f>IFERROR(T146/T147,"")</f>
        <v/>
      </c>
      <c r="U148" s="47">
        <f>IFERROR(U146/U147,"")</f>
        <v/>
      </c>
      <c r="V148" s="43">
        <f>IFERROR(V146/V147,"")</f>
        <v/>
      </c>
      <c r="W148" s="47">
        <f>IFERROR(W146/W147,"")</f>
        <v/>
      </c>
      <c r="X148" s="47">
        <f>IFERROR(X146/X147,"")</f>
        <v/>
      </c>
      <c r="Y148" s="47">
        <f>IFERROR(Y146/Y147,"")</f>
        <v/>
      </c>
      <c r="Z148" s="40" t="n"/>
      <c r="AB148" s="40" t="n"/>
      <c r="AC148" s="40" t="n"/>
      <c r="AD148" s="40" t="n"/>
      <c r="AF148" s="40" t="n"/>
      <c r="AG148" s="40" t="n"/>
      <c r="AH148" s="40" t="n"/>
      <c r="AJ148" s="40" t="n"/>
      <c r="AK148" s="40" t="n"/>
      <c r="AL148" s="40" t="n"/>
      <c r="AM148" s="40" t="n"/>
      <c r="AO148" s="40" t="n"/>
      <c r="AP148" s="40" t="n"/>
      <c r="AQ148" s="40" t="n"/>
      <c r="AS148" s="40" t="n"/>
      <c r="AT148" s="40" t="n"/>
      <c r="AU148" s="40" t="n"/>
      <c r="AW148" s="40" t="n"/>
      <c r="AX148" s="40" t="n"/>
      <c r="AY148" s="40" t="n"/>
      <c r="AZ148" s="40" t="n"/>
      <c r="BB148" s="40" t="n"/>
      <c r="BC148" s="40" t="n"/>
      <c r="BD148" s="40" t="n"/>
    </row>
    <row r="149">
      <c r="B149" t="inlineStr">
        <is>
          <t>As % of budget - YTD</t>
        </is>
      </c>
      <c r="D149" s="6" t="inlineStr">
        <is>
          <t>%</t>
        </is>
      </c>
      <c r="E149" s="47">
        <f>IFERROR(SUM($E$146:E146)/SUM($E$147:E147),"")</f>
        <v/>
      </c>
      <c r="F149" s="47">
        <f>IFERROR(SUM($E$146:F146)/SUM($E$147:F147),"")</f>
        <v/>
      </c>
      <c r="G149" s="47">
        <f>IFERROR(SUM($E$146:G146)/SUM($E$147:G147),"")</f>
        <v/>
      </c>
      <c r="H149" s="47">
        <f>IFERROR(SUM($E$146:H146)/SUM($E$147:H147),"")</f>
        <v/>
      </c>
      <c r="I149" s="43">
        <f>IFERROR(SUM($E$146:I146)/SUM($E$147:I147),"")</f>
        <v/>
      </c>
      <c r="J149" s="47">
        <f>IFERROR(SUM($E$146:J146)/SUM($E$147:J147),"")</f>
        <v/>
      </c>
      <c r="K149" s="47">
        <f>IFERROR(SUM($E$146:K146)/SUM($E$147:K147),"")</f>
        <v/>
      </c>
      <c r="L149" s="47">
        <f>IFERROR(SUM($E$146:L146)/SUM($E$147:L147),"")</f>
        <v/>
      </c>
      <c r="M149" s="43">
        <f>IFERROR(SUM($E$146:M146)/SUM($E$147:M147),"")</f>
        <v/>
      </c>
      <c r="N149" s="47">
        <f>IFERROR(SUM($E$146:N146)/SUM($E$147:N147),"")</f>
        <v/>
      </c>
      <c r="O149" s="47">
        <f>IFERROR(SUM($E$146:O146)/SUM($E$147:O147),"")</f>
        <v/>
      </c>
      <c r="P149" s="47">
        <f>IFERROR(SUM($E$146:P146)/SUM($E$147:P147),"")</f>
        <v/>
      </c>
      <c r="Q149" s="47">
        <f>IFERROR(SUM($E$146:Q146)/SUM($E$147:Q147),"")</f>
        <v/>
      </c>
      <c r="R149" s="43">
        <f>IFERROR(SUM($E$146:R146)/SUM($E$147:R147),"")</f>
        <v/>
      </c>
      <c r="S149" s="47">
        <f>IFERROR(SUM($E$146:S146)/SUM($E$147:S147),"")</f>
        <v/>
      </c>
      <c r="T149" s="47">
        <f>IFERROR(SUM($E$146:T146)/SUM($E$147:T147),"")</f>
        <v/>
      </c>
      <c r="U149" s="47">
        <f>IFERROR(SUM($E$146:U146)/SUM($E$147:U147),"")</f>
        <v/>
      </c>
      <c r="V149" s="43">
        <f>IFERROR(SUM($E$146:V146)/SUM($E$147:V147),"")</f>
        <v/>
      </c>
      <c r="W149" s="47">
        <f>IFERROR(SUM($E$146:W146)/SUM($E$147:W147),"")</f>
        <v/>
      </c>
      <c r="X149" s="47">
        <f>IFERROR(SUM($E$146:X146)/SUM($E$147:X147),"")</f>
        <v/>
      </c>
      <c r="Y149" s="47">
        <f>IFERROR(SUM($E$146:Y146)/SUM($E$147:Y147),"")</f>
        <v/>
      </c>
      <c r="Z149" s="40" t="n"/>
      <c r="AB149" s="40" t="n"/>
      <c r="AC149" s="40" t="n"/>
      <c r="AD149" s="40" t="n"/>
      <c r="AF149" s="40" t="n"/>
      <c r="AG149" s="40" t="n"/>
      <c r="AH149" s="40" t="n"/>
      <c r="AJ149" s="40" t="n"/>
      <c r="AK149" s="40" t="n"/>
      <c r="AL149" s="40" t="n"/>
      <c r="AM149" s="40" t="n"/>
      <c r="AO149" s="40" t="n"/>
      <c r="AP149" s="40" t="n"/>
      <c r="AQ149" s="40" t="n"/>
      <c r="AS149" s="40" t="n"/>
      <c r="AT149" s="40" t="n"/>
      <c r="AU149" s="40" t="n"/>
      <c r="AW149" s="40" t="n"/>
      <c r="AX149" s="40" t="n"/>
      <c r="AY149" s="40" t="n"/>
      <c r="AZ149" s="40" t="n"/>
      <c r="BB149" s="40" t="n"/>
      <c r="BC149" s="40" t="n"/>
      <c r="BD149" s="40" t="n"/>
    </row>
    <row r="150"/>
    <row r="151"/>
    <row r="152" customFormat="1" s="38">
      <c r="A152" s="37" t="inlineStr">
        <is>
          <t>TikTok Shop</t>
        </is>
      </c>
      <c r="D152" s="39" t="n"/>
    </row>
    <row r="153">
      <c r="A153" s="1" t="inlineStr">
        <is>
          <t>Sell-in value</t>
        </is>
      </c>
      <c r="D153" s="24" t="inlineStr">
        <is>
          <t>$k</t>
        </is>
      </c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</row>
    <row r="154" customFormat="1" s="4">
      <c r="A154" s="3" t="n"/>
      <c r="B154" s="4" t="inlineStr">
        <is>
          <t>% of Total - YTD</t>
        </is>
      </c>
      <c r="D154" s="33" t="inlineStr">
        <is>
          <t>%</t>
        </is>
      </c>
      <c r="E154" s="43">
        <f>IFERROR(SUM($E$153:E153)/SUM($E$3:E3),"")</f>
        <v/>
      </c>
      <c r="F154" s="43">
        <f>IFERROR(SUM($E$153:F153)/SUM($E$3:F3),"")</f>
        <v/>
      </c>
      <c r="G154" s="43">
        <f>IFERROR(SUM($E$153:G153)/SUM($E$3:G3),"")</f>
        <v/>
      </c>
      <c r="H154" s="43">
        <f>IFERROR(SUM($E$153:H153)/SUM($E$3:H3),"")</f>
        <v/>
      </c>
      <c r="I154" s="43">
        <f>IFERROR(SUM($E$153:I153)/SUM($E$3:I3),"")</f>
        <v/>
      </c>
      <c r="J154" s="43">
        <f>IFERROR(SUM($E$153:J153)/SUM($E$3:J3),"")</f>
        <v/>
      </c>
      <c r="K154" s="43">
        <f>IFERROR(SUM($E$153:K153)/SUM($E$3:K3),"")</f>
        <v/>
      </c>
      <c r="L154" s="43">
        <f>IFERROR(SUM($E$153:L153)/SUM($E$3:L3),"")</f>
        <v/>
      </c>
      <c r="M154" s="43">
        <f>IFERROR(SUM($E$153:M153)/SUM($E$3:M3),"")</f>
        <v/>
      </c>
      <c r="N154" s="43">
        <f>IFERROR(SUM($E$153:N153)/SUM($E$3:N3),"")</f>
        <v/>
      </c>
      <c r="O154" s="43">
        <f>IFERROR(SUM($E$153:O153)/SUM($E$3:O3),"")</f>
        <v/>
      </c>
      <c r="P154" s="43">
        <f>IFERROR(SUM($E$153:P153)/SUM($E$3:P3),"")</f>
        <v/>
      </c>
      <c r="Q154" s="43">
        <f>IFERROR(SUM($E$153:Q153)/SUM($E$3:Q3),"")</f>
        <v/>
      </c>
      <c r="R154" s="43">
        <f>IFERROR(SUM($E$153:R153)/SUM($E$3:R3),"")</f>
        <v/>
      </c>
      <c r="S154" s="43">
        <f>IFERROR(SUM($E$153:S153)/SUM($E$3:S3),"")</f>
        <v/>
      </c>
      <c r="T154" s="43">
        <f>IFERROR(SUM($E$153:T153)/SUM($E$3:T3),"")</f>
        <v/>
      </c>
      <c r="U154" s="43">
        <f>IFERROR(SUM($E$153:U153)/SUM($E$3:U3),"")</f>
        <v/>
      </c>
      <c r="V154" s="43">
        <f>IFERROR(SUM($E$153:V153)/SUM($E$3:V3),"")</f>
        <v/>
      </c>
      <c r="W154" s="43">
        <f>IFERROR(SUM($E$153:W153)/SUM($E$3:W3),"")</f>
        <v/>
      </c>
      <c r="X154" s="43">
        <f>IFERROR(SUM($E$153:X153)/SUM($E$3:X3),"")</f>
        <v/>
      </c>
      <c r="Y154" s="43">
        <f>IFERROR(SUM($E$153:Y153)/SUM($E$3:Y3),"")</f>
        <v/>
      </c>
    </row>
    <row r="155" customFormat="1" s="7">
      <c r="B155" s="7" t="inlineStr">
        <is>
          <t>% of Target</t>
        </is>
      </c>
      <c r="D155" s="8" t="inlineStr">
        <is>
          <t>%</t>
        </is>
      </c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</row>
    <row r="156" customFormat="1" s="9">
      <c r="B156" s="9" t="inlineStr">
        <is>
          <t>Target</t>
        </is>
      </c>
      <c r="D156" s="10" t="inlineStr">
        <is>
          <t>$k</t>
        </is>
      </c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</row>
    <row r="157"/>
    <row r="158">
      <c r="A158" s="1" t="inlineStr">
        <is>
          <t xml:space="preserve">Sell-through units </t>
        </is>
      </c>
      <c r="D158" s="24" t="inlineStr">
        <is>
          <t>#</t>
        </is>
      </c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</row>
    <row r="159" customFormat="1" s="4">
      <c r="A159" s="3" t="n"/>
      <c r="B159" s="4" t="inlineStr">
        <is>
          <t>% of Total - YTD</t>
        </is>
      </c>
      <c r="D159" s="33" t="inlineStr">
        <is>
          <t>%</t>
        </is>
      </c>
      <c r="E159" s="43">
        <f>IFERROR(SUM($E$158:E158)/SUM($E$4:E4),"")</f>
        <v/>
      </c>
      <c r="F159" s="43">
        <f>IFERROR(SUM($E$158:F158)/SUM($E$4:F4),"")</f>
        <v/>
      </c>
      <c r="G159" s="43">
        <f>IFERROR(SUM($E$158:G158)/SUM($E$4:G4),"")</f>
        <v/>
      </c>
      <c r="H159" s="43">
        <f>IFERROR(SUM($E$158:H158)/SUM($E$4:H4),"")</f>
        <v/>
      </c>
      <c r="I159" s="43">
        <f>IFERROR(SUM($E$158:I158)/SUM($E$4:I4),"")</f>
        <v/>
      </c>
      <c r="J159" s="43">
        <f>IFERROR(SUM($E$158:J158)/SUM($E$4:J4),"")</f>
        <v/>
      </c>
      <c r="K159" s="43">
        <f>IFERROR(SUM($E$158:K158)/SUM($E$4:K4),"")</f>
        <v/>
      </c>
      <c r="L159" s="43">
        <f>IFERROR(SUM($E$158:L158)/SUM($E$4:L4),"")</f>
        <v/>
      </c>
      <c r="M159" s="43">
        <f>IFERROR(SUM($E$158:M158)/SUM($E$4:M4),"")</f>
        <v/>
      </c>
      <c r="N159" s="43">
        <f>IFERROR(SUM($E$158:N158)/SUM($E$4:N4),"")</f>
        <v/>
      </c>
      <c r="O159" s="43">
        <f>IFERROR(SUM($E$158:O158)/SUM($E$4:O4),"")</f>
        <v/>
      </c>
      <c r="P159" s="43">
        <f>IFERROR(SUM($E$158:P158)/SUM($E$4:P4),"")</f>
        <v/>
      </c>
      <c r="Q159" s="43">
        <f>IFERROR(SUM($E$158:Q158)/SUM($E$4:Q4),"")</f>
        <v/>
      </c>
      <c r="R159" s="43">
        <f>IFERROR(SUM($E$158:R158)/SUM($E$4:R4),"")</f>
        <v/>
      </c>
      <c r="S159" s="43">
        <f>IFERROR(SUM($E$158:S158)/SUM($E$4:S4),"")</f>
        <v/>
      </c>
      <c r="T159" s="43">
        <f>IFERROR(SUM($E$158:T158)/SUM($E$4:T4),"")</f>
        <v/>
      </c>
      <c r="U159" s="43">
        <f>IFERROR(SUM($E$158:U158)/SUM($E$4:U4),"")</f>
        <v/>
      </c>
      <c r="V159" s="43">
        <f>IFERROR(SUM($E$158:V158)/SUM($E$4:V4),"")</f>
        <v/>
      </c>
      <c r="W159" s="43">
        <f>IFERROR(SUM($E$158:W158)/SUM($E$4:W4),"")</f>
        <v/>
      </c>
      <c r="X159" s="43">
        <f>IFERROR(SUM($E$158:X158)/SUM($E$4:X4),"")</f>
        <v/>
      </c>
      <c r="Y159" s="43">
        <f>IFERROR(SUM($E$158:Y158)/SUM($E$4:Y4),"")</f>
        <v/>
      </c>
    </row>
    <row r="160" customFormat="1" s="16">
      <c r="A160" s="15" t="n"/>
      <c r="B160" s="16" t="inlineStr">
        <is>
          <t>% of Target</t>
        </is>
      </c>
      <c r="D160" s="17" t="inlineStr">
        <is>
          <t>%</t>
        </is>
      </c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</row>
    <row r="161" customFormat="1" s="13">
      <c r="A161" s="12" t="n"/>
      <c r="B161" s="13" t="inlineStr">
        <is>
          <t>Target</t>
        </is>
      </c>
      <c r="D161" s="14" t="inlineStr">
        <is>
          <t>#</t>
        </is>
      </c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</row>
    <row r="162">
      <c r="C162" s="11" t="inlineStr">
        <is>
          <t xml:space="preserve">Cam </t>
        </is>
      </c>
      <c r="D162" s="6" t="inlineStr">
        <is>
          <t>#</t>
        </is>
      </c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</row>
    <row r="163">
      <c r="C163" s="11" t="inlineStr">
        <is>
          <t>Non Cam</t>
        </is>
      </c>
      <c r="D163" s="6" t="inlineStr">
        <is>
          <t>#</t>
        </is>
      </c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</row>
    <row r="164">
      <c r="C164" s="6" t="n"/>
    </row>
    <row r="165" customFormat="1" s="1">
      <c r="A165" s="1" t="inlineStr">
        <is>
          <t xml:space="preserve">Promo </t>
        </is>
      </c>
      <c r="D165" s="24" t="inlineStr">
        <is>
          <t>$k</t>
        </is>
      </c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</row>
    <row r="166" customFormat="1" s="9">
      <c r="B166" s="9" t="inlineStr">
        <is>
          <t>Budgeted</t>
        </is>
      </c>
      <c r="D166" s="10" t="inlineStr">
        <is>
          <t>$k</t>
        </is>
      </c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</row>
    <row r="167">
      <c r="B167" t="inlineStr">
        <is>
          <t>As % of budget - this week</t>
        </is>
      </c>
      <c r="D167" s="6" t="inlineStr">
        <is>
          <t>%</t>
        </is>
      </c>
      <c r="E167" s="43">
        <f>IFERROR(E165/E166,"")</f>
        <v/>
      </c>
      <c r="F167" s="43">
        <f>IFERROR(F165/F166,"")</f>
        <v/>
      </c>
      <c r="G167" s="43">
        <f>IFERROR(G165/G166,"")</f>
        <v/>
      </c>
      <c r="H167" s="43">
        <f>IFERROR(H165/H166,"")</f>
        <v/>
      </c>
      <c r="I167" s="43">
        <f>IFERROR(I165/I166,"")</f>
        <v/>
      </c>
      <c r="J167" s="43">
        <f>IFERROR(J165/J166,"")</f>
        <v/>
      </c>
      <c r="K167" s="43">
        <f>IFERROR(K165/K166,"")</f>
        <v/>
      </c>
      <c r="L167" s="43">
        <f>IFERROR(L165/L166,"")</f>
        <v/>
      </c>
      <c r="M167" s="43">
        <f>IFERROR(M165/M166,"")</f>
        <v/>
      </c>
      <c r="N167" s="43">
        <f>IFERROR(N165/N166,"")</f>
        <v/>
      </c>
      <c r="O167" s="43">
        <f>IFERROR(O165/O166,"")</f>
        <v/>
      </c>
      <c r="P167" s="43">
        <f>IFERROR(P165/P166,"")</f>
        <v/>
      </c>
      <c r="Q167" s="43">
        <f>IFERROR(Q165/Q166,"")</f>
        <v/>
      </c>
      <c r="R167" s="43">
        <f>IFERROR(R165/R166,"")</f>
        <v/>
      </c>
      <c r="S167" s="43">
        <f>IFERROR(S165/S166,"")</f>
        <v/>
      </c>
      <c r="T167" s="43">
        <f>IFERROR(T165/T166,"")</f>
        <v/>
      </c>
      <c r="U167" s="43">
        <f>IFERROR(U165/U166,"")</f>
        <v/>
      </c>
      <c r="V167" s="43">
        <f>IFERROR(V165/V166,"")</f>
        <v/>
      </c>
      <c r="W167" s="43">
        <f>IFERROR(W165/W166,"")</f>
        <v/>
      </c>
      <c r="X167" s="43">
        <f>IFERROR(X165/X166,"")</f>
        <v/>
      </c>
      <c r="Y167" s="43">
        <f>IFERROR(Y165/Y166,"")</f>
        <v/>
      </c>
    </row>
    <row r="168">
      <c r="B168" t="inlineStr">
        <is>
          <t>As % of budget - YTD</t>
        </is>
      </c>
      <c r="D168" s="6" t="inlineStr">
        <is>
          <t>%</t>
        </is>
      </c>
      <c r="E168" s="43">
        <f>IFERROR(SUM($E$165:E165)/SUM($E$166:E166),"")</f>
        <v/>
      </c>
      <c r="F168" s="43">
        <f>IFERROR(SUM($E$165:F165)/SUM($E$166:F166),"")</f>
        <v/>
      </c>
      <c r="G168" s="43">
        <f>IFERROR(SUM($E$165:G165)/SUM($E$166:G166),"")</f>
        <v/>
      </c>
      <c r="H168" s="43">
        <f>IFERROR(SUM($E$165:H165)/SUM($E$166:H166),"")</f>
        <v/>
      </c>
      <c r="I168" s="43">
        <f>IFERROR(SUM($E$165:I165)/SUM($E$166:I166),"")</f>
        <v/>
      </c>
      <c r="J168" s="43">
        <f>IFERROR(SUM($E$165:J165)/SUM($E$166:J166),"")</f>
        <v/>
      </c>
      <c r="K168" s="43">
        <f>IFERROR(SUM($E$165:K165)/SUM($E$166:K166),"")</f>
        <v/>
      </c>
      <c r="L168" s="43">
        <f>IFERROR(SUM($E$165:L165)/SUM($E$166:L166),"")</f>
        <v/>
      </c>
      <c r="M168" s="43">
        <f>IFERROR(SUM($E$165:M165)/SUM($E$166:M166),"")</f>
        <v/>
      </c>
      <c r="N168" s="43">
        <f>IFERROR(SUM($E$165:N165)/SUM($E$166:N166),"")</f>
        <v/>
      </c>
      <c r="O168" s="43">
        <f>IFERROR(SUM($E$165:O165)/SUM($E$166:O166),"")</f>
        <v/>
      </c>
      <c r="P168" s="43">
        <f>IFERROR(SUM($E$165:P165)/SUM($E$166:P166),"")</f>
        <v/>
      </c>
      <c r="Q168" s="43">
        <f>IFERROR(SUM($E$165:Q165)/SUM($E$166:Q166),"")</f>
        <v/>
      </c>
      <c r="R168" s="43">
        <f>IFERROR(SUM($E$165:R165)/SUM($E$166:R166),"")</f>
        <v/>
      </c>
      <c r="S168" s="43">
        <f>IFERROR(SUM($E$165:S165)/SUM($E$166:S166),"")</f>
        <v/>
      </c>
      <c r="T168" s="43">
        <f>IFERROR(SUM($E$165:T165)/SUM($E$166:T166),"")</f>
        <v/>
      </c>
      <c r="U168" s="43">
        <f>IFERROR(SUM($E$165:U165)/SUM($E$166:U166),"")</f>
        <v/>
      </c>
      <c r="V168" s="43">
        <f>IFERROR(SUM($E$165:V165)/SUM($E$166:V166),"")</f>
        <v/>
      </c>
      <c r="W168" s="43">
        <f>IFERROR(SUM($E$165:W165)/SUM($E$166:W166),"")</f>
        <v/>
      </c>
      <c r="X168" s="43">
        <f>IFERROR(SUM($E$165:X165)/SUM($E$166:X166),"")</f>
        <v/>
      </c>
      <c r="Y168" s="43">
        <f>IFERROR(SUM($E$165:Y165)/SUM($E$166:Y166),"")</f>
        <v/>
      </c>
    </row>
    <row r="169"/>
    <row r="170" customFormat="1" s="1">
      <c r="A170" s="1" t="inlineStr">
        <is>
          <t>Ads</t>
        </is>
      </c>
      <c r="D170" s="24" t="inlineStr">
        <is>
          <t>$k</t>
        </is>
      </c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</row>
    <row r="171">
      <c r="B171" s="9" t="inlineStr">
        <is>
          <t>Budgeted</t>
        </is>
      </c>
      <c r="D171" s="10" t="inlineStr">
        <is>
          <t>$k</t>
        </is>
      </c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</row>
    <row r="172">
      <c r="B172" t="inlineStr">
        <is>
          <t>As % of budget - this week</t>
        </is>
      </c>
      <c r="D172" s="6" t="inlineStr">
        <is>
          <t>%</t>
        </is>
      </c>
      <c r="E172" s="43">
        <f>IFERROR(E170/E171,"")</f>
        <v/>
      </c>
      <c r="F172" s="43">
        <f>IFERROR(F170/F171,"")</f>
        <v/>
      </c>
      <c r="G172" s="43">
        <f>IFERROR(G170/G171,"")</f>
        <v/>
      </c>
      <c r="H172" s="43">
        <f>IFERROR(H170/H171,"")</f>
        <v/>
      </c>
      <c r="I172" s="43">
        <f>IFERROR(I170/I171,"")</f>
        <v/>
      </c>
      <c r="J172" s="43">
        <f>IFERROR(J170/J171,"")</f>
        <v/>
      </c>
      <c r="K172" s="43">
        <f>IFERROR(K170/K171,"")</f>
        <v/>
      </c>
      <c r="L172" s="43">
        <f>IFERROR(L170/L171,"")</f>
        <v/>
      </c>
      <c r="M172" s="43">
        <f>IFERROR(M170/M171,"")</f>
        <v/>
      </c>
      <c r="N172" s="43">
        <f>IFERROR(N170/N171,"")</f>
        <v/>
      </c>
      <c r="O172" s="43">
        <f>IFERROR(O170/O171,"")</f>
        <v/>
      </c>
      <c r="P172" s="43">
        <f>IFERROR(P170/P171,"")</f>
        <v/>
      </c>
      <c r="Q172" s="43">
        <f>IFERROR(Q170/Q171,"")</f>
        <v/>
      </c>
      <c r="R172" s="43">
        <f>IFERROR(R170/R171,"")</f>
        <v/>
      </c>
      <c r="S172" s="43">
        <f>IFERROR(S170/S171,"")</f>
        <v/>
      </c>
      <c r="T172" s="43">
        <f>IFERROR(T170/T171,"")</f>
        <v/>
      </c>
      <c r="U172" s="43">
        <f>IFERROR(U170/U171,"")</f>
        <v/>
      </c>
      <c r="V172" s="43">
        <f>IFERROR(V170/V171,"")</f>
        <v/>
      </c>
      <c r="W172" s="43">
        <f>IFERROR(W170/W171,"")</f>
        <v/>
      </c>
      <c r="X172" s="43">
        <f>IFERROR(X170/X171,"")</f>
        <v/>
      </c>
      <c r="Y172" s="43">
        <f>IFERROR(Y170/Y171,"")</f>
        <v/>
      </c>
    </row>
    <row r="173">
      <c r="B173" t="inlineStr">
        <is>
          <t>As % of budget - YTD</t>
        </is>
      </c>
      <c r="D173" s="6" t="inlineStr">
        <is>
          <t>%</t>
        </is>
      </c>
      <c r="E173" s="43">
        <f>IFERROR(SUM($E$170:E170)/SUM($E$171:E171),"")</f>
        <v/>
      </c>
      <c r="F173" s="43">
        <f>IFERROR(SUM($E$170:F170)/SUM($E$171:F171),"")</f>
        <v/>
      </c>
      <c r="G173" s="43">
        <f>IFERROR(SUM($E$170:G170)/SUM($E$171:G171),"")</f>
        <v/>
      </c>
      <c r="H173" s="43">
        <f>IFERROR(SUM($E$170:H170)/SUM($E$171:H171),"")</f>
        <v/>
      </c>
      <c r="I173" s="43">
        <f>IFERROR(SUM($E$170:I170)/SUM($E$171:I171),"")</f>
        <v/>
      </c>
      <c r="J173" s="43">
        <f>IFERROR(SUM($E$170:J170)/SUM($E$171:J171),"")</f>
        <v/>
      </c>
      <c r="K173" s="43">
        <f>IFERROR(SUM($E$170:K170)/SUM($E$171:K171),"")</f>
        <v/>
      </c>
      <c r="L173" s="43">
        <f>IFERROR(SUM($E$170:L170)/SUM($E$171:L171),"")</f>
        <v/>
      </c>
      <c r="M173" s="43">
        <f>IFERROR(SUM($E$170:M170)/SUM($E$171:M171),"")</f>
        <v/>
      </c>
      <c r="N173" s="43">
        <f>IFERROR(SUM($E$170:N170)/SUM($E$171:N171),"")</f>
        <v/>
      </c>
      <c r="O173" s="43">
        <f>IFERROR(SUM($E$170:O170)/SUM($E$171:O171),"")</f>
        <v/>
      </c>
      <c r="P173" s="43">
        <f>IFERROR(SUM($E$170:P170)/SUM($E$171:P171),"")</f>
        <v/>
      </c>
      <c r="Q173" s="43">
        <f>IFERROR(SUM($E$170:Q170)/SUM($E$171:Q171),"")</f>
        <v/>
      </c>
      <c r="R173" s="43">
        <f>IFERROR(SUM($E$170:R170)/SUM($E$171:R171),"")</f>
        <v/>
      </c>
      <c r="S173" s="43">
        <f>IFERROR(SUM($E$170:S170)/SUM($E$171:S171),"")</f>
        <v/>
      </c>
      <c r="T173" s="43">
        <f>IFERROR(SUM($E$170:T170)/SUM($E$171:T171),"")</f>
        <v/>
      </c>
      <c r="U173" s="43">
        <f>IFERROR(SUM($E$170:U170)/SUM($E$171:U171),"")</f>
        <v/>
      </c>
      <c r="V173" s="43">
        <f>IFERROR(SUM($E$170:V170)/SUM($E$171:V171),"")</f>
        <v/>
      </c>
      <c r="W173" s="43">
        <f>IFERROR(SUM($E$170:W170)/SUM($E$171:W171),"")</f>
        <v/>
      </c>
      <c r="X173" s="43">
        <f>IFERROR(SUM($E$170:X170)/SUM($E$171:X171),"")</f>
        <v/>
      </c>
      <c r="Y173" s="43">
        <f>IFERROR(SUM($E$170:Y170)/SUM($E$171:Y171),"")</f>
        <v/>
      </c>
    </row>
    <row r="174"/>
    <row r="175" customFormat="1" s="1">
      <c r="A175" s="1" t="inlineStr">
        <is>
          <t>Other Marketing - Commissions &amp; Samples, etc.</t>
        </is>
      </c>
      <c r="D175" s="24" t="inlineStr">
        <is>
          <t>$k</t>
        </is>
      </c>
      <c r="E175" s="45" t="n"/>
      <c r="F175" s="45" t="n"/>
      <c r="G175" s="45" t="n"/>
      <c r="H175" s="45" t="n"/>
      <c r="I175" s="44" t="n"/>
      <c r="J175" s="45" t="n"/>
      <c r="K175" s="45" t="n"/>
      <c r="L175" s="45" t="n"/>
      <c r="M175" s="44" t="n"/>
      <c r="N175" s="45" t="n"/>
      <c r="O175" s="45" t="n"/>
      <c r="P175" s="45" t="n"/>
      <c r="Q175" s="45" t="n"/>
      <c r="R175" s="44" t="n"/>
      <c r="S175" s="45" t="n"/>
      <c r="T175" s="45" t="n"/>
      <c r="U175" s="45" t="n"/>
      <c r="V175" s="44" t="n"/>
      <c r="W175" s="45" t="n"/>
      <c r="X175" s="45" t="n"/>
      <c r="Y175" s="45" t="n"/>
      <c r="Z175" s="41" t="n"/>
      <c r="AB175" s="41" t="n"/>
      <c r="AC175" s="41" t="n"/>
      <c r="AD175" s="41" t="n"/>
      <c r="AF175" s="41" t="n"/>
      <c r="AG175" s="41" t="n"/>
      <c r="AH175" s="41" t="n"/>
      <c r="AJ175" s="41" t="n"/>
      <c r="AK175" s="41" t="n"/>
      <c r="AL175" s="41" t="n"/>
      <c r="AM175" s="41" t="n"/>
      <c r="AO175" s="41" t="n"/>
      <c r="AP175" s="41" t="n"/>
      <c r="AQ175" s="41" t="n"/>
      <c r="AS175" s="41" t="n"/>
      <c r="AT175" s="41" t="n"/>
      <c r="AU175" s="41" t="n"/>
      <c r="AW175" s="41" t="n"/>
      <c r="AX175" s="41" t="n"/>
      <c r="AY175" s="41" t="n"/>
      <c r="AZ175" s="41" t="n"/>
      <c r="BB175" s="41" t="n"/>
      <c r="BC175" s="41" t="n"/>
      <c r="BD175" s="41" t="n"/>
    </row>
    <row r="176">
      <c r="B176" s="9" t="inlineStr">
        <is>
          <t>Budgeted</t>
        </is>
      </c>
      <c r="D176" s="10" t="inlineStr">
        <is>
          <t>$k</t>
        </is>
      </c>
      <c r="E176" s="46" t="n"/>
      <c r="F176" s="46" t="n"/>
      <c r="G176" s="46" t="n"/>
      <c r="H176" s="46" t="n"/>
      <c r="I176" s="44" t="n"/>
      <c r="J176" s="46" t="n"/>
      <c r="K176" s="46" t="n"/>
      <c r="L176" s="46" t="n"/>
      <c r="M176" s="44" t="n"/>
      <c r="N176" s="46" t="n"/>
      <c r="O176" s="46" t="n"/>
      <c r="P176" s="46" t="n"/>
      <c r="Q176" s="46" t="n"/>
      <c r="R176" s="44" t="n"/>
      <c r="S176" s="46" t="n"/>
      <c r="T176" s="46" t="n"/>
      <c r="U176" s="46" t="n"/>
      <c r="V176" s="44" t="n"/>
      <c r="W176" s="46" t="n"/>
      <c r="X176" s="46" t="n"/>
      <c r="Y176" s="46" t="n"/>
      <c r="Z176" s="40" t="n"/>
      <c r="AB176" s="40" t="n"/>
      <c r="AC176" s="40" t="n"/>
      <c r="AD176" s="40" t="n"/>
      <c r="AF176" s="40" t="n"/>
      <c r="AG176" s="40" t="n"/>
      <c r="AH176" s="40" t="n"/>
      <c r="AJ176" s="40" t="n"/>
      <c r="AK176" s="40" t="n"/>
      <c r="AL176" s="40" t="n"/>
      <c r="AM176" s="40" t="n"/>
      <c r="AO176" s="40" t="n"/>
      <c r="AP176" s="40" t="n"/>
      <c r="AQ176" s="40" t="n"/>
      <c r="AS176" s="40" t="n"/>
      <c r="AT176" s="40" t="n"/>
      <c r="AU176" s="40" t="n"/>
      <c r="AW176" s="40" t="n"/>
      <c r="AX176" s="40" t="n"/>
      <c r="AY176" s="40" t="n"/>
      <c r="AZ176" s="40" t="n"/>
      <c r="BB176" s="40" t="n"/>
      <c r="BC176" s="40" t="n"/>
      <c r="BD176" s="40" t="n"/>
    </row>
    <row r="177">
      <c r="B177" t="inlineStr">
        <is>
          <t>As % of budget - this week</t>
        </is>
      </c>
      <c r="D177" s="6" t="inlineStr">
        <is>
          <t>%</t>
        </is>
      </c>
      <c r="E177" s="47">
        <f>IFERROR(E175/E176,"")</f>
        <v/>
      </c>
      <c r="F177" s="47">
        <f>IFERROR(F175/F176,"")</f>
        <v/>
      </c>
      <c r="G177" s="47">
        <f>IFERROR(G175/G176,"")</f>
        <v/>
      </c>
      <c r="H177" s="47">
        <f>IFERROR(H175/H176,"")</f>
        <v/>
      </c>
      <c r="I177" s="43">
        <f>IFERROR(I175/I176,"")</f>
        <v/>
      </c>
      <c r="J177" s="47">
        <f>IFERROR(J175/J176,"")</f>
        <v/>
      </c>
      <c r="K177" s="47">
        <f>IFERROR(K175/K176,"")</f>
        <v/>
      </c>
      <c r="L177" s="47">
        <f>IFERROR(L175/L176,"")</f>
        <v/>
      </c>
      <c r="M177" s="43">
        <f>IFERROR(M175/M176,"")</f>
        <v/>
      </c>
      <c r="N177" s="47">
        <f>IFERROR(N175/N176,"")</f>
        <v/>
      </c>
      <c r="O177" s="47">
        <f>IFERROR(O175/O176,"")</f>
        <v/>
      </c>
      <c r="P177" s="47">
        <f>IFERROR(P175/P176,"")</f>
        <v/>
      </c>
      <c r="Q177" s="47">
        <f>IFERROR(Q175/Q176,"")</f>
        <v/>
      </c>
      <c r="R177" s="43">
        <f>IFERROR(R175/R176,"")</f>
        <v/>
      </c>
      <c r="S177" s="47">
        <f>IFERROR(S175/S176,"")</f>
        <v/>
      </c>
      <c r="T177" s="47">
        <f>IFERROR(T175/T176,"")</f>
        <v/>
      </c>
      <c r="U177" s="47">
        <f>IFERROR(U175/U176,"")</f>
        <v/>
      </c>
      <c r="V177" s="43">
        <f>IFERROR(V175/V176,"")</f>
        <v/>
      </c>
      <c r="W177" s="47">
        <f>IFERROR(W175/W176,"")</f>
        <v/>
      </c>
      <c r="X177" s="47">
        <f>IFERROR(X175/X176,"")</f>
        <v/>
      </c>
      <c r="Y177" s="47">
        <f>IFERROR(Y175/Y176,"")</f>
        <v/>
      </c>
      <c r="Z177" s="40" t="n"/>
      <c r="AB177" s="40" t="n"/>
      <c r="AC177" s="40" t="n"/>
      <c r="AD177" s="40" t="n"/>
      <c r="AF177" s="40" t="n"/>
      <c r="AG177" s="40" t="n"/>
      <c r="AH177" s="40" t="n"/>
      <c r="AJ177" s="40" t="n"/>
      <c r="AK177" s="40" t="n"/>
      <c r="AL177" s="40" t="n"/>
      <c r="AM177" s="40" t="n"/>
      <c r="AO177" s="40" t="n"/>
      <c r="AP177" s="40" t="n"/>
      <c r="AQ177" s="40" t="n"/>
      <c r="AS177" s="40" t="n"/>
      <c r="AT177" s="40" t="n"/>
      <c r="AU177" s="40" t="n"/>
      <c r="AW177" s="40" t="n"/>
      <c r="AX177" s="40" t="n"/>
      <c r="AY177" s="40" t="n"/>
      <c r="AZ177" s="40" t="n"/>
      <c r="BB177" s="40" t="n"/>
      <c r="BC177" s="40" t="n"/>
      <c r="BD177" s="40" t="n"/>
    </row>
    <row r="178">
      <c r="B178" t="inlineStr">
        <is>
          <t>As % of budget - YTD</t>
        </is>
      </c>
      <c r="D178" s="6" t="inlineStr">
        <is>
          <t>%</t>
        </is>
      </c>
      <c r="E178" s="47">
        <f>IFERROR(SUM($E$175:E175)/SUM($E$176:E176),"")</f>
        <v/>
      </c>
      <c r="F178" s="47">
        <f>IFERROR(SUM($E$175:F175)/SUM($E$176:F176),"")</f>
        <v/>
      </c>
      <c r="G178" s="47">
        <f>IFERROR(SUM($E$175:G175)/SUM($E$176:G176),"")</f>
        <v/>
      </c>
      <c r="H178" s="47">
        <f>IFERROR(SUM($E$175:H175)/SUM($E$176:H176),"")</f>
        <v/>
      </c>
      <c r="I178" s="43">
        <f>IFERROR(SUM($E$175:I175)/SUM($E$176:I176),"")</f>
        <v/>
      </c>
      <c r="J178" s="47">
        <f>IFERROR(SUM($E$175:J175)/SUM($E$176:J176),"")</f>
        <v/>
      </c>
      <c r="K178" s="47">
        <f>IFERROR(SUM($E$175:K175)/SUM($E$176:K176),"")</f>
        <v/>
      </c>
      <c r="L178" s="47">
        <f>IFERROR(SUM($E$175:L175)/SUM($E$176:L176),"")</f>
        <v/>
      </c>
      <c r="M178" s="43">
        <f>IFERROR(SUM($E$175:M175)/SUM($E$176:M176),"")</f>
        <v/>
      </c>
      <c r="N178" s="47">
        <f>IFERROR(SUM($E$175:N175)/SUM($E$176:N176),"")</f>
        <v/>
      </c>
      <c r="O178" s="47">
        <f>IFERROR(SUM($E$175:O175)/SUM($E$176:O176),"")</f>
        <v/>
      </c>
      <c r="P178" s="47">
        <f>IFERROR(SUM($E$175:P175)/SUM($E$176:P176),"")</f>
        <v/>
      </c>
      <c r="Q178" s="47">
        <f>IFERROR(SUM($E$175:Q175)/SUM($E$176:Q176),"")</f>
        <v/>
      </c>
      <c r="R178" s="43">
        <f>IFERROR(SUM($E$175:R175)/SUM($E$176:R176),"")</f>
        <v/>
      </c>
      <c r="S178" s="47">
        <f>IFERROR(SUM($E$175:S175)/SUM($E$176:S176),"")</f>
        <v/>
      </c>
      <c r="T178" s="47">
        <f>IFERROR(SUM($E$175:T175)/SUM($E$176:T176),"")</f>
        <v/>
      </c>
      <c r="U178" s="47">
        <f>IFERROR(SUM($E$175:U175)/SUM($E$176:U176),"")</f>
        <v/>
      </c>
      <c r="V178" s="43">
        <f>IFERROR(SUM($E$175:V175)/SUM($E$176:V176),"")</f>
        <v/>
      </c>
      <c r="W178" s="47">
        <f>IFERROR(SUM($E$175:W175)/SUM($E$176:W176),"")</f>
        <v/>
      </c>
      <c r="X178" s="47">
        <f>IFERROR(SUM($E$175:X175)/SUM($E$176:X176),"")</f>
        <v/>
      </c>
      <c r="Y178" s="47">
        <f>IFERROR(SUM($E$175:Y175)/SUM($E$176:Y176),"")</f>
        <v/>
      </c>
      <c r="Z178" s="40" t="n"/>
      <c r="AB178" s="40" t="n"/>
      <c r="AC178" s="40" t="n"/>
      <c r="AD178" s="40" t="n"/>
      <c r="AF178" s="40" t="n"/>
      <c r="AG178" s="40" t="n"/>
      <c r="AH178" s="40" t="n"/>
      <c r="AJ178" s="40" t="n"/>
      <c r="AK178" s="40" t="n"/>
      <c r="AL178" s="40" t="n"/>
      <c r="AM178" s="40" t="n"/>
      <c r="AO178" s="40" t="n"/>
      <c r="AP178" s="40" t="n"/>
      <c r="AQ178" s="40" t="n"/>
      <c r="AS178" s="40" t="n"/>
      <c r="AT178" s="40" t="n"/>
      <c r="AU178" s="40" t="n"/>
      <c r="AW178" s="40" t="n"/>
      <c r="AX178" s="40" t="n"/>
      <c r="AY178" s="40" t="n"/>
      <c r="AZ178" s="40" t="n"/>
      <c r="BB178" s="40" t="n"/>
      <c r="BC178" s="40" t="n"/>
      <c r="BD178" s="4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48" t="inlineStr">
        <is>
          <t>Finance Monthly Actuals — Total (placeholder)</t>
        </is>
      </c>
    </row>
    <row r="2">
      <c r="A2" s="49" t="inlineStr">
        <is>
          <t>Source: TBD — finance team monthly marketing-spend summary</t>
        </is>
      </c>
    </row>
    <row r="3">
      <c r="A3" s="49" t="inlineStr">
        <is>
          <t>Update cadence: monthly. Likely TOTAL only (no per-channel breakdown).</t>
        </is>
      </c>
    </row>
    <row r="4">
      <c r="A4" s="49" t="inlineStr">
        <is>
          <t>Compare against my weekly sums for variance / sanity check.</t>
        </is>
      </c>
    </row>
    <row r="6">
      <c r="A6" s="50" t="inlineStr">
        <is>
          <t>Metric</t>
        </is>
      </c>
      <c r="B6" s="51" t="inlineStr">
        <is>
          <t>2026-01</t>
        </is>
      </c>
      <c r="C6" s="51" t="inlineStr">
        <is>
          <t>2026-02</t>
        </is>
      </c>
      <c r="D6" s="51" t="inlineStr">
        <is>
          <t>2026-03</t>
        </is>
      </c>
      <c r="E6" s="51" t="inlineStr">
        <is>
          <t>2026-04</t>
        </is>
      </c>
      <c r="F6" s="51" t="inlineStr">
        <is>
          <t>2026-05</t>
        </is>
      </c>
      <c r="G6" s="51" t="inlineStr">
        <is>
          <t>2026-06</t>
        </is>
      </c>
      <c r="H6" s="51" t="inlineStr">
        <is>
          <t>2026-07</t>
        </is>
      </c>
      <c r="I6" s="51" t="inlineStr">
        <is>
          <t>2026-08</t>
        </is>
      </c>
      <c r="J6" s="51" t="inlineStr">
        <is>
          <t>2026-09</t>
        </is>
      </c>
      <c r="K6" s="51" t="inlineStr">
        <is>
          <t>2026-10</t>
        </is>
      </c>
      <c r="L6" s="51" t="inlineStr">
        <is>
          <t>2026-11</t>
        </is>
      </c>
      <c r="M6" s="51" t="inlineStr">
        <is>
          <t>2026-12</t>
        </is>
      </c>
      <c r="N6" s="50" t="inlineStr">
        <is>
          <t>YTD</t>
        </is>
      </c>
    </row>
    <row r="7">
      <c r="A7" t="inlineStr">
        <is>
          <t>Promo (Total)</t>
        </is>
      </c>
      <c r="N7">
        <f>IFERROR(SUM(B7:M7),"")</f>
        <v/>
      </c>
    </row>
    <row r="8">
      <c r="A8" t="inlineStr">
        <is>
          <t>Ads — Amazon On-site (SP 1P+3P)</t>
        </is>
      </c>
      <c r="N8">
        <f>IFERROR(SUM(B8:M8),"")</f>
        <v/>
      </c>
    </row>
    <row r="9">
      <c r="A9" t="inlineStr">
        <is>
          <t>Ads — Amazon DSP</t>
        </is>
      </c>
      <c r="N9">
        <f>IFERROR(SUM(B9:M9),"")</f>
        <v/>
      </c>
    </row>
    <row r="10">
      <c r="A10" t="inlineStr">
        <is>
          <t>Ads — Walmart Connect</t>
        </is>
      </c>
      <c r="N10">
        <f>IFERROR(SUM(B10:M10),"")</f>
        <v/>
      </c>
    </row>
    <row r="11">
      <c r="A11" t="inlineStr">
        <is>
          <t>Ads — Home Depot media</t>
        </is>
      </c>
      <c r="N11">
        <f>IFERROR(SUM(B11:M11),"")</f>
        <v/>
      </c>
    </row>
    <row r="12">
      <c r="A12" t="inlineStr">
        <is>
          <t>Ads — Other Omni (BB / Costco / Other)</t>
        </is>
      </c>
      <c r="N12">
        <f>IFERROR(SUM(B12:M12),"")</f>
        <v/>
      </c>
    </row>
    <row r="13">
      <c r="A13" t="inlineStr">
        <is>
          <t>Ads — TTS GMV Max</t>
        </is>
      </c>
      <c r="N13">
        <f>IFERROR(SUM(B13:M13),"")</f>
        <v/>
      </c>
    </row>
    <row r="14">
      <c r="A14" s="52" t="inlineStr">
        <is>
          <t>Ads — Total</t>
        </is>
      </c>
      <c r="B14" s="53" t="n"/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>
        <f>IFERROR(SUM(B14:M14),"")</f>
        <v/>
      </c>
    </row>
    <row r="15">
      <c r="A15" t="inlineStr">
        <is>
          <t>Other Marketing — Amazon MDF / influencer / SVS-FTE / Prime Video</t>
        </is>
      </c>
      <c r="N15">
        <f>IFERROR(SUM(B15:M15),"")</f>
        <v/>
      </c>
    </row>
    <row r="16">
      <c r="A16" t="inlineStr">
        <is>
          <t>Other Marketing — Retail in-store displays / marketing packages</t>
        </is>
      </c>
      <c r="N16">
        <f>IFERROR(SUM(B16:M16),"")</f>
        <v/>
      </c>
    </row>
    <row r="17">
      <c r="A17" t="inlineStr">
        <is>
          <t>Other Marketing — TTS commissions / samples / livestream</t>
        </is>
      </c>
      <c r="N17">
        <f>IFERROR(SUM(B17:M17),"")</f>
        <v/>
      </c>
    </row>
    <row r="18">
      <c r="A18" t="inlineStr">
        <is>
          <t>Other Marketing — DTC PR / creative / affiliate</t>
        </is>
      </c>
      <c r="N18">
        <f>IFERROR(SUM(B18:M18),"")</f>
        <v/>
      </c>
    </row>
    <row r="19">
      <c r="A19" s="52" t="inlineStr">
        <is>
          <t>Other Marketing — Total</t>
        </is>
      </c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>
        <f>IFERROR(SUM(B19:M19),"")</f>
        <v/>
      </c>
    </row>
    <row r="20">
      <c r="A20" s="54" t="inlineStr">
        <is>
          <t>TOTAL MARKETING SPEND</t>
        </is>
      </c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>
        <f>IFERROR(SUM(B20:M20),"")</f>
        <v/>
      </c>
    </row>
    <row r="23">
      <c r="A23" s="56" t="inlineStr">
        <is>
          <t>— Variance vs my weekly sums (for cross-check) —</t>
        </is>
      </c>
    </row>
    <row r="24">
      <c r="A24" s="49" t="inlineStr">
        <is>
          <t>My weekly Promo sum (filtered to month)</t>
        </is>
      </c>
    </row>
    <row r="25">
      <c r="A25" s="49" t="inlineStr">
        <is>
          <t>My weekly Ads sum (Amazon + TTS, filtered to month)</t>
        </is>
      </c>
    </row>
    <row r="26">
      <c r="A26" s="49" t="inlineStr">
        <is>
          <t>Variance — Promo (Finance − Mine)</t>
        </is>
      </c>
    </row>
    <row r="27">
      <c r="A27" s="49" t="inlineStr">
        <is>
          <t>Variance — Ads (Finance − Mine)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Tina Si</dc:creator>
  <dcterms:created xmlns:dcterms="http://purl.org/dc/terms/" xmlns:xsi="http://www.w3.org/2001/XMLSchema-instance" xsi:type="dcterms:W3CDTF">2026-05-14T18:29:42Z</dcterms:created>
  <dcterms:modified xmlns:dcterms="http://purl.org/dc/terms/" xmlns:xsi="http://www.w3.org/2001/XMLSchema-instance" xsi:type="dcterms:W3CDTF">2026-06-01T19:11:22Z</dcterms:modified>
</cp:coreProperties>
</file>