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0" tint="-0.499984740745262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center"/>
    </xf>
    <xf numFmtId="0" fontId="10" fillId="3" borderId="0" pivotButton="0" quotePrefix="0" xfId="0"/>
    <xf numFmtId="0" fontId="11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1" fillId="5" borderId="0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horizontal="center"/>
    </xf>
    <xf numFmtId="0" fontId="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8" fillId="8" borderId="0" applyAlignment="1" pivotButton="0" quotePrefix="0" xfId="0">
      <alignment horizontal="center"/>
    </xf>
    <xf numFmtId="0" fontId="8" fillId="8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3" fontId="5" fillId="0" borderId="0" pivotButton="0" quotePrefix="0" xfId="0"/>
    <xf numFmtId="9" fontId="14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4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8"/>
  <sheetViews>
    <sheetView tabSelected="1" workbookViewId="0">
      <pane xSplit="4" ySplit="6" topLeftCell="E20" activePane="bottomRight" state="frozen"/>
      <selection pane="bottomRight" activeCell="A43" sqref="A43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8.625" customWidth="1" min="5" max="5"/>
  </cols>
  <sheetData>
    <row r="1" ht="15.75" customFormat="1" customHeight="1" s="1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0">
      <c r="A3" s="30" t="inlineStr">
        <is>
          <t>Sell-in value (gross sales) -- all channels, incl. Int'l</t>
        </is>
      </c>
      <c r="D3" s="31" t="inlineStr">
        <is>
          <t>$k</t>
        </is>
      </c>
      <c r="E3" s="52" t="n">
        <v>4956.05008929662</v>
      </c>
      <c r="F3" s="52" t="n">
        <v>2237.4512113112</v>
      </c>
      <c r="G3" s="52" t="n">
        <v>2335.4586737674</v>
      </c>
      <c r="H3" s="52" t="n">
        <v>1649.07083781414</v>
      </c>
      <c r="I3" s="52" t="n">
        <v>4150.7015449296</v>
      </c>
      <c r="J3" s="52" t="n">
        <v>2442.7975764364</v>
      </c>
      <c r="K3" s="52" t="n">
        <v>2422.39902996014</v>
      </c>
      <c r="L3" s="52" t="n">
        <v>3638.85222668684</v>
      </c>
      <c r="M3" s="52" t="n">
        <v>3854.504668764</v>
      </c>
      <c r="N3" s="52" t="n">
        <v>5146.87236335751</v>
      </c>
      <c r="O3" s="52" t="n">
        <v>1873.12654342892</v>
      </c>
      <c r="P3" s="52" t="n">
        <v>3799.64861455711</v>
      </c>
      <c r="Q3" s="52" t="n">
        <v>2194.51577538332</v>
      </c>
      <c r="R3" s="52" t="n">
        <v>2690.88277960665</v>
      </c>
      <c r="S3" s="52" t="n">
        <v>2624.02298683649</v>
      </c>
      <c r="T3" s="52" t="n">
        <v>3427.01404612472</v>
      </c>
      <c r="U3" s="52" t="n">
        <v>3319.94226771397</v>
      </c>
      <c r="V3" s="52" t="n">
        <v>4744.59565836478</v>
      </c>
      <c r="W3" s="52" t="n">
        <v>5035.0203536147</v>
      </c>
      <c r="X3" s="52" t="n">
        <v>2871.07439712839</v>
      </c>
      <c r="Y3" s="52" t="n">
        <v>7353.19002671799</v>
      </c>
      <c r="Z3" s="52" t="n">
        <v>2421.73377689049</v>
      </c>
      <c r="AA3" s="52" t="n">
        <v>3361.75945631233</v>
      </c>
      <c r="AB3" s="52" t="n">
        <v>3931.85043259336</v>
      </c>
      <c r="AC3" s="52" t="n">
        <v>3515.11312960548</v>
      </c>
      <c r="AD3" s="52" t="n">
        <v>5224.263840749811</v>
      </c>
      <c r="AE3" s="52" t="n">
        <v>2011.13293196893</v>
      </c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</row>
    <row r="4" ht="15.75" customFormat="1" customHeight="1" s="30">
      <c r="A4" s="30" t="inlineStr">
        <is>
          <t>Sell-through units -- all channels, incl. Int'l</t>
        </is>
      </c>
      <c r="D4" s="31" t="inlineStr">
        <is>
          <t>#</t>
        </is>
      </c>
      <c r="E4" s="52" t="n">
        <v>151092</v>
      </c>
      <c r="F4" s="52" t="n">
        <v>86492</v>
      </c>
      <c r="G4" s="52" t="n">
        <v>86842</v>
      </c>
      <c r="H4" s="52" t="n">
        <v>74274</v>
      </c>
      <c r="I4" s="52" t="n">
        <v>70564</v>
      </c>
      <c r="J4" s="52" t="n">
        <v>73281</v>
      </c>
      <c r="K4" s="52" t="n">
        <v>79963</v>
      </c>
      <c r="L4" s="52" t="n">
        <v>85948</v>
      </c>
      <c r="M4" s="52" t="n">
        <v>102606</v>
      </c>
      <c r="N4" s="52" t="n">
        <v>82587</v>
      </c>
      <c r="O4" s="52" t="n">
        <v>80916</v>
      </c>
      <c r="P4" s="52" t="n">
        <v>78803</v>
      </c>
      <c r="Q4" s="52" t="n">
        <v>95274</v>
      </c>
      <c r="R4" s="52" t="n">
        <v>87200</v>
      </c>
      <c r="S4" s="52" t="n">
        <v>86429</v>
      </c>
      <c r="T4" s="52" t="n">
        <v>92110</v>
      </c>
      <c r="U4" s="52" t="n">
        <v>73288</v>
      </c>
      <c r="V4" s="52" t="n">
        <v>79655</v>
      </c>
      <c r="W4" s="52" t="n">
        <v>73301</v>
      </c>
      <c r="X4" s="52" t="n">
        <v>74618</v>
      </c>
      <c r="Y4" s="52" t="n">
        <v>89496</v>
      </c>
      <c r="Z4" s="52" t="n">
        <v>84018</v>
      </c>
      <c r="AA4" s="52" t="n">
        <v>80049</v>
      </c>
      <c r="AB4" s="52" t="n">
        <v>78155</v>
      </c>
      <c r="AC4" s="52" t="n">
        <v>103148</v>
      </c>
      <c r="AD4" s="52" t="n">
        <v>176984</v>
      </c>
      <c r="AE4" s="52" t="n">
        <v>69884</v>
      </c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</row>
    <row r="5" ht="15.75" customFormat="1" customHeight="1" s="30">
      <c r="A5" s="30" t="inlineStr">
        <is>
          <t>New Customers -- all channels, incl. Int'l</t>
        </is>
      </c>
      <c r="D5" s="31" t="inlineStr">
        <is>
          <t># ppl</t>
        </is>
      </c>
      <c r="E5" s="52" t="n">
        <v>31917</v>
      </c>
      <c r="F5" s="52" t="n">
        <v>29726</v>
      </c>
      <c r="G5" s="52" t="n">
        <v>27296</v>
      </c>
      <c r="H5" s="52" t="n">
        <v>24916</v>
      </c>
      <c r="I5" s="52" t="n">
        <v>22553</v>
      </c>
      <c r="J5" s="52" t="n">
        <v>23949</v>
      </c>
      <c r="K5" s="52" t="n">
        <v>24003</v>
      </c>
      <c r="L5" s="52" t="n">
        <v>25882</v>
      </c>
      <c r="M5" s="52" t="n">
        <v>26430</v>
      </c>
      <c r="N5" s="52" t="n">
        <v>27237</v>
      </c>
      <c r="O5" s="52" t="n">
        <v>26206</v>
      </c>
      <c r="P5" s="52" t="n">
        <v>24836</v>
      </c>
      <c r="Q5" s="52" t="n">
        <v>26298</v>
      </c>
      <c r="R5" s="52" t="n">
        <v>26821</v>
      </c>
      <c r="S5" s="52" t="n">
        <v>26145</v>
      </c>
      <c r="T5" s="52" t="n">
        <v>26511</v>
      </c>
      <c r="U5" s="52" t="n">
        <v>25456</v>
      </c>
      <c r="V5" s="52" t="n">
        <v>24824</v>
      </c>
      <c r="W5" s="52" t="n">
        <v>24498</v>
      </c>
      <c r="X5" s="52" t="n">
        <v>24033</v>
      </c>
      <c r="Y5" s="52" t="n">
        <v>24727</v>
      </c>
      <c r="Z5" s="52" t="n">
        <v>25823</v>
      </c>
      <c r="AA5" s="52" t="n">
        <v>26239</v>
      </c>
      <c r="AB5" s="52" t="n">
        <v>25269</v>
      </c>
      <c r="AC5" s="52" t="n">
        <v>26792</v>
      </c>
      <c r="AD5" s="52" t="n">
        <v>30497</v>
      </c>
      <c r="AE5" s="52" t="n">
        <v>28785</v>
      </c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</row>
    <row r="6" ht="6.95" customHeight="1">
      <c r="A6" s="1" t="n"/>
      <c r="D6" s="5" t="n"/>
    </row>
    <row r="7" ht="15.75" customFormat="1" customHeight="1" s="18">
      <c r="A7" s="17" t="inlineStr">
        <is>
          <t>Total Retail and TTS  (excl. Amazon 3P &amp; International)</t>
        </is>
      </c>
      <c r="D7" s="19" t="n"/>
    </row>
    <row r="8" ht="15.75" customHeight="1">
      <c r="A8" s="1" t="inlineStr">
        <is>
          <t>Sell-in value</t>
        </is>
      </c>
      <c r="D8" s="23" t="inlineStr">
        <is>
          <t>$k</t>
        </is>
      </c>
      <c r="E8" s="53">
        <f>E29+E77+E113+E149+E179</f>
        <v/>
      </c>
      <c r="F8" s="53">
        <f>F29+F77+F113+F149+F179</f>
        <v/>
      </c>
      <c r="G8" s="53">
        <f>G29+G77+G113+G149+G179</f>
        <v/>
      </c>
      <c r="H8" s="53">
        <f>H29+H77+H113+H149+H179</f>
        <v/>
      </c>
      <c r="I8" s="53">
        <f>I29+I77+I113+I149+I179</f>
        <v/>
      </c>
      <c r="J8" s="53">
        <f>J29+J77+J113+J149+J179</f>
        <v/>
      </c>
      <c r="K8" s="53">
        <f>K29+K77+K113+K149+K179</f>
        <v/>
      </c>
      <c r="L8" s="53">
        <f>L29+L77+L113+L149+L179</f>
        <v/>
      </c>
      <c r="M8" s="53">
        <f>M29+M77+M113+M149+M179</f>
        <v/>
      </c>
      <c r="N8" s="53">
        <f>N29+N77+N113+N149+N179</f>
        <v/>
      </c>
      <c r="O8" s="53">
        <f>O29+O77+O113+O149+O179</f>
        <v/>
      </c>
      <c r="P8" s="53">
        <f>P29+P77+P113+P149+P179</f>
        <v/>
      </c>
      <c r="Q8" s="53">
        <f>Q29+Q77+Q113+Q149+Q179</f>
        <v/>
      </c>
      <c r="R8" s="53">
        <f>R29+R77+R113+R149+R179</f>
        <v/>
      </c>
      <c r="S8" s="53">
        <f>S29+S77+S113+S149+S179</f>
        <v/>
      </c>
      <c r="T8" s="53">
        <f>T29+T77+T113+T149+T179</f>
        <v/>
      </c>
      <c r="U8" s="53">
        <f>U29+U77+U113+U149+U179</f>
        <v/>
      </c>
      <c r="V8" s="53">
        <f>V29+V77+V113+V149+V179</f>
        <v/>
      </c>
      <c r="W8" s="53">
        <f>W29+W77+W113+W149+W179</f>
        <v/>
      </c>
      <c r="X8" s="53">
        <f>X29+X77+X113+X149+X179</f>
        <v/>
      </c>
      <c r="Y8" s="53">
        <f>Y29+Y77+Y113+Y149+Y179</f>
        <v/>
      </c>
      <c r="Z8" s="53">
        <f>Z29+Z77+Z113+Z149+Z179</f>
        <v/>
      </c>
      <c r="AA8" s="53">
        <f>AA29+AA77+AA113+AA149+AA179</f>
        <v/>
      </c>
      <c r="AB8" s="53">
        <f>AB29+AB77+AB113+AB149+AB179</f>
        <v/>
      </c>
      <c r="AC8" s="53">
        <f>AC29+AC77+AC113+AC149+AC179</f>
        <v/>
      </c>
      <c r="AD8" s="53">
        <f>AD29+AD77+AD113+AD149+AD179</f>
        <v/>
      </c>
      <c r="AE8" s="53">
        <f>AE29+AE77+AE113+AE149+AE179</f>
        <v/>
      </c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4">
        <f>IFERROR(E8/E11,"")</f>
        <v/>
      </c>
      <c r="F9" s="54">
        <f>IFERROR(F8/F11,"")</f>
        <v/>
      </c>
      <c r="G9" s="54">
        <f>IFERROR(G8/G11,"")</f>
        <v/>
      </c>
      <c r="H9" s="54">
        <f>IFERROR(H8/H11,"")</f>
        <v/>
      </c>
      <c r="I9" s="54">
        <f>IFERROR(I8/I11,"")</f>
        <v/>
      </c>
      <c r="J9" s="54">
        <f>IFERROR(J8/J11,"")</f>
        <v/>
      </c>
      <c r="K9" s="54">
        <f>IFERROR(K8/K11,"")</f>
        <v/>
      </c>
      <c r="L9" s="54">
        <f>IFERROR(L8/L11,"")</f>
        <v/>
      </c>
      <c r="M9" s="54">
        <f>IFERROR(M8/M11,"")</f>
        <v/>
      </c>
      <c r="N9" s="54">
        <f>IFERROR(N8/N11,"")</f>
        <v/>
      </c>
      <c r="O9" s="54">
        <f>IFERROR(O8/O11,"")</f>
        <v/>
      </c>
      <c r="P9" s="54">
        <f>IFERROR(P8/P11,"")</f>
        <v/>
      </c>
      <c r="Q9" s="54">
        <f>IFERROR(Q8/Q11,"")</f>
        <v/>
      </c>
      <c r="R9" s="54">
        <f>IFERROR(R8/R11,"")</f>
        <v/>
      </c>
      <c r="S9" s="54">
        <f>IFERROR(S8/S11,"")</f>
        <v/>
      </c>
      <c r="T9" s="54">
        <f>IFERROR(T8/T11,"")</f>
        <v/>
      </c>
      <c r="U9" s="54">
        <f>IFERROR(U8/U11,"")</f>
        <v/>
      </c>
      <c r="V9" s="54">
        <f>IFERROR(V8/V11,"")</f>
        <v/>
      </c>
      <c r="W9" s="54">
        <f>IFERROR(W8/W11,"")</f>
        <v/>
      </c>
      <c r="X9" s="54">
        <f>IFERROR(X8/X11,"")</f>
        <v/>
      </c>
      <c r="Y9" s="54">
        <f>IFERROR(Y8/Y11,"")</f>
        <v/>
      </c>
      <c r="Z9" s="54">
        <f>IFERROR(Z8/Z11,"")</f>
        <v/>
      </c>
      <c r="AA9" s="54">
        <f>IFERROR(AA8/AA11,"")</f>
        <v/>
      </c>
      <c r="AB9" s="54">
        <f>IFERROR(AB8/AB11,"")</f>
        <v/>
      </c>
      <c r="AC9" s="54">
        <f>IFERROR(AC8/AC11,"")</f>
        <v/>
      </c>
      <c r="AD9" s="54">
        <f>IFERROR(AD8/AD11,"")</f>
        <v/>
      </c>
      <c r="AE9" s="54">
        <f>IFERROR(AE8/AE11,"")</f>
        <v/>
      </c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4">
        <f>IFERROR(SUM($E$8:E8)/SUM($E$11:E11),"")</f>
        <v/>
      </c>
      <c r="F10" s="54">
        <f>IFERROR(SUM($E$8:F8)/SUM($E$11:F11),"")</f>
        <v/>
      </c>
      <c r="G10" s="54">
        <f>IFERROR(SUM($E$8:G8)/SUM($E$11:G11),"")</f>
        <v/>
      </c>
      <c r="H10" s="54">
        <f>IFERROR(SUM($E$8:H8)/SUM($E$11:H11),"")</f>
        <v/>
      </c>
      <c r="I10" s="54">
        <f>IFERROR(SUM($E$8:I8)/SUM($E$11:I11),"")</f>
        <v/>
      </c>
      <c r="J10" s="54">
        <f>IFERROR(SUM($E$8:J8)/SUM($E$11:J11),"")</f>
        <v/>
      </c>
      <c r="K10" s="54">
        <f>IFERROR(SUM($E$8:K8)/SUM($E$11:K11),"")</f>
        <v/>
      </c>
      <c r="L10" s="54">
        <f>IFERROR(SUM($E$8:L8)/SUM($E$11:L11),"")</f>
        <v/>
      </c>
      <c r="M10" s="54">
        <f>IFERROR(SUM($E$8:M8)/SUM($E$11:M11),"")</f>
        <v/>
      </c>
      <c r="N10" s="54">
        <f>IFERROR(SUM($E$8:N8)/SUM($E$11:N11),"")</f>
        <v/>
      </c>
      <c r="O10" s="54">
        <f>IFERROR(SUM($E$8:O8)/SUM($E$11:O11),"")</f>
        <v/>
      </c>
      <c r="P10" s="54">
        <f>IFERROR(SUM($E$8:P8)/SUM($E$11:P11),"")</f>
        <v/>
      </c>
      <c r="Q10" s="54">
        <f>IFERROR(SUM($E$8:Q8)/SUM($E$11:Q11),"")</f>
        <v/>
      </c>
      <c r="R10" s="54">
        <f>IFERROR(SUM($E$8:R8)/SUM($E$11:R11),"")</f>
        <v/>
      </c>
      <c r="S10" s="54">
        <f>IFERROR(SUM($E$8:S8)/SUM($E$11:S11),"")</f>
        <v/>
      </c>
      <c r="T10" s="54">
        <f>IFERROR(SUM($E$8:T8)/SUM($E$11:T11),"")</f>
        <v/>
      </c>
      <c r="U10" s="54">
        <f>IFERROR(SUM($E$8:U8)/SUM($E$11:U11),"")</f>
        <v/>
      </c>
      <c r="V10" s="54">
        <f>IFERROR(SUM($E$8:V8)/SUM($E$11:V11),"")</f>
        <v/>
      </c>
      <c r="W10" s="54">
        <f>IFERROR(SUM($E$8:W8)/SUM($E$11:W11),"")</f>
        <v/>
      </c>
      <c r="X10" s="54">
        <f>IFERROR(SUM($E$8:X8)/SUM($E$11:X11),"")</f>
        <v/>
      </c>
      <c r="Y10" s="54">
        <f>IFERROR(SUM($E$8:Y8)/SUM($E$11:Y11),"")</f>
        <v/>
      </c>
      <c r="Z10" s="54">
        <f>IFERROR(SUM($E$8:Z8)/SUM($E$11:Z11),"")</f>
        <v/>
      </c>
      <c r="AA10" s="54">
        <f>IFERROR(SUM($E$8:AA8)/SUM($E$11:AA11),"")</f>
        <v/>
      </c>
      <c r="AB10" s="54">
        <f>IFERROR(SUM($E$8:AB8)/SUM($E$11:AB11),"")</f>
        <v/>
      </c>
      <c r="AC10" s="54">
        <f>IFERROR(SUM($E$8:AC8)/SUM($E$11:AC11),"")</f>
        <v/>
      </c>
      <c r="AD10" s="54">
        <f>IFERROR(SUM($E$8:AD8)/SUM($E$11:AD11),"")</f>
        <v/>
      </c>
      <c r="AE10" s="54">
        <f>IFERROR(SUM($E$8:AE8)/SUM($E$11:AE11),"")</f>
        <v/>
      </c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</row>
    <row r="11" ht="15.75" customFormat="1" customHeight="1" s="9">
      <c r="A11" s="50">
        <f>SUM(E11:BE11)</f>
        <v/>
      </c>
      <c r="B11" s="9" t="inlineStr">
        <is>
          <t>Target</t>
        </is>
      </c>
      <c r="D11" s="10" t="inlineStr">
        <is>
          <t>$k</t>
        </is>
      </c>
      <c r="E11" s="55">
        <f>E33+E81+E117+E153+E183</f>
        <v/>
      </c>
      <c r="F11" s="55">
        <f>F33+F81+F117+F153+F183</f>
        <v/>
      </c>
      <c r="G11" s="55">
        <f>G33+G81+G117+G153+G183</f>
        <v/>
      </c>
      <c r="H11" s="55">
        <f>H33+H81+H117+H153+H183</f>
        <v/>
      </c>
      <c r="I11" s="55">
        <f>I33+I81+I117+I153+I183</f>
        <v/>
      </c>
      <c r="J11" s="55">
        <f>J33+J81+J117+J153+J183</f>
        <v/>
      </c>
      <c r="K11" s="55">
        <f>K33+K81+K117+K153+K183</f>
        <v/>
      </c>
      <c r="L11" s="55">
        <f>L33+L81+L117+L153+L183</f>
        <v/>
      </c>
      <c r="M11" s="55">
        <f>M33+M81+M117+M153+M183</f>
        <v/>
      </c>
      <c r="N11" s="55">
        <f>N33+N81+N117+N153+N183</f>
        <v/>
      </c>
      <c r="O11" s="55">
        <f>O33+O81+O117+O153+O183</f>
        <v/>
      </c>
      <c r="P11" s="55">
        <f>P33+P81+P117+P153+P183</f>
        <v/>
      </c>
      <c r="Q11" s="55">
        <f>Q33+Q81+Q117+Q153+Q183</f>
        <v/>
      </c>
      <c r="R11" s="55">
        <f>R33+R81+R117+R153+R183</f>
        <v/>
      </c>
      <c r="S11" s="55">
        <f>S33+S81+S117+S153+S183</f>
        <v/>
      </c>
      <c r="T11" s="55">
        <f>T33+T81+T117+T153+T183</f>
        <v/>
      </c>
      <c r="U11" s="55">
        <f>U33+U81+U117+U153+U183</f>
        <v/>
      </c>
      <c r="V11" s="55">
        <f>V33+V81+V117+V153+V183</f>
        <v/>
      </c>
      <c r="W11" s="55">
        <f>W33+W81+W117+W153+W183</f>
        <v/>
      </c>
      <c r="X11" s="55">
        <f>X33+X81+X117+X153+X183</f>
        <v/>
      </c>
      <c r="Y11" s="55">
        <f>Y33+Y81+Y117+Y153+Y183</f>
        <v/>
      </c>
      <c r="Z11" s="55">
        <f>Z33+Z81+Z117+Z153+Z183</f>
        <v/>
      </c>
      <c r="AA11" s="55">
        <f>AA33+AA81+AA117+AA153+AA183</f>
        <v/>
      </c>
      <c r="AB11" s="55">
        <f>AB33+AB81+AB117+AB153+AB183</f>
        <v/>
      </c>
      <c r="AC11" s="55">
        <f>AC33+AC81+AC117+AC153+AC183</f>
        <v/>
      </c>
      <c r="AD11" s="55">
        <f>AD33+AD81+AD117+AD153+AD183</f>
        <v/>
      </c>
      <c r="AE11" s="55">
        <f>AE33+AE81+AE117+AE153+AE183</f>
        <v/>
      </c>
      <c r="AF11" s="55">
        <f>AF33+AF81+AF117+AF153+AF183</f>
        <v/>
      </c>
      <c r="AG11" s="55">
        <f>AG33+AG81+AG117+AG153+AG183</f>
        <v/>
      </c>
      <c r="AH11" s="55">
        <f>AH33+AH81+AH117+AH153+AH183</f>
        <v/>
      </c>
      <c r="AI11" s="55">
        <f>AI33+AI81+AI117+AI153+AI183</f>
        <v/>
      </c>
      <c r="AJ11" s="55">
        <f>AJ33+AJ81+AJ117+AJ153+AJ183</f>
        <v/>
      </c>
      <c r="AK11" s="55">
        <f>AK33+AK81+AK117+AK153+AK183</f>
        <v/>
      </c>
      <c r="AL11" s="55">
        <f>AL33+AL81+AL117+AL153+AL183</f>
        <v/>
      </c>
      <c r="AM11" s="55">
        <f>AM33+AM81+AM117+AM153+AM183</f>
        <v/>
      </c>
      <c r="AN11" s="55">
        <f>AN33+AN81+AN117+AN153+AN183</f>
        <v/>
      </c>
      <c r="AO11" s="55">
        <f>AO33+AO81+AO117+AO153+AO183</f>
        <v/>
      </c>
      <c r="AP11" s="55">
        <f>AP33+AP81+AP117+AP153+AP183</f>
        <v/>
      </c>
      <c r="AQ11" s="55">
        <f>AQ33+AQ81+AQ117+AQ153+AQ183</f>
        <v/>
      </c>
      <c r="AR11" s="55">
        <f>AR33+AR81+AR117+AR153+AR183</f>
        <v/>
      </c>
      <c r="AS11" s="55">
        <f>AS33+AS81+AS117+AS153+AS183</f>
        <v/>
      </c>
      <c r="AT11" s="55">
        <f>AT33+AT81+AT117+AT153+AT183</f>
        <v/>
      </c>
      <c r="AU11" s="55">
        <f>AU33+AU81+AU117+AU153+AU183</f>
        <v/>
      </c>
      <c r="AV11" s="55">
        <f>AV33+AV81+AV117+AV153+AV183</f>
        <v/>
      </c>
      <c r="AW11" s="55">
        <f>AW33+AW81+AW117+AW153+AW183</f>
        <v/>
      </c>
      <c r="AX11" s="55">
        <f>AX33+AX81+AX117+AX153+AX183</f>
        <v/>
      </c>
      <c r="AY11" s="55">
        <f>AY33+AY81+AY117+AY153+AY183</f>
        <v/>
      </c>
      <c r="AZ11" s="55">
        <f>AZ33+AZ81+AZ117+AZ153+AZ183</f>
        <v/>
      </c>
      <c r="BA11" s="55">
        <f>BA33+BA81+BA117+BA153+BA183</f>
        <v/>
      </c>
      <c r="BB11" s="55">
        <f>BB33+BB81+BB117+BB153+BB183</f>
        <v/>
      </c>
      <c r="BC11" s="55">
        <f>BC33+BC81+BC117+BC153+BC183</f>
        <v/>
      </c>
      <c r="BD11" s="55">
        <f>BD33+BD81+BD117+BD153+BD183</f>
        <v/>
      </c>
      <c r="BE11" s="55">
        <f>BE33+BE81+BE117+BE153+BE183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3" t="inlineStr">
        <is>
          <t>#</t>
        </is>
      </c>
      <c r="E13" s="53">
        <f>E35+E83+E119+E155+E185</f>
        <v/>
      </c>
      <c r="F13" s="53">
        <f>F35+F83+F119+F155+F185</f>
        <v/>
      </c>
      <c r="G13" s="53">
        <f>G35+G83+G119+G155+G185</f>
        <v/>
      </c>
      <c r="H13" s="53">
        <f>H35+H83+H119+H155+H185</f>
        <v/>
      </c>
      <c r="I13" s="53">
        <f>I35+I83+I119+I155+I185</f>
        <v/>
      </c>
      <c r="J13" s="53">
        <f>J35+J83+J119+J155+J185</f>
        <v/>
      </c>
      <c r="K13" s="53">
        <f>K35+K83+K119+K155+K185</f>
        <v/>
      </c>
      <c r="L13" s="53">
        <f>L35+L83+L119+L155+L185</f>
        <v/>
      </c>
      <c r="M13" s="53">
        <f>M35+M83+M119+M155+M185</f>
        <v/>
      </c>
      <c r="N13" s="53">
        <f>N35+N83+N119+N155+N185</f>
        <v/>
      </c>
      <c r="O13" s="53">
        <f>O35+O83+O119+O155+O185</f>
        <v/>
      </c>
      <c r="P13" s="53">
        <f>P35+P83+P119+P155+P185</f>
        <v/>
      </c>
      <c r="Q13" s="53">
        <f>Q35+Q83+Q119+Q155+Q185</f>
        <v/>
      </c>
      <c r="R13" s="53">
        <f>R35+R83+R119+R155+R185</f>
        <v/>
      </c>
      <c r="S13" s="53">
        <f>S35+S83+S119+S155+S185</f>
        <v/>
      </c>
      <c r="T13" s="53">
        <f>T35+T83+T119+T155+T185</f>
        <v/>
      </c>
      <c r="U13" s="53">
        <f>U35+U83+U119+U155+U185</f>
        <v/>
      </c>
      <c r="V13" s="53">
        <f>V35+V83+V119+V155+V185</f>
        <v/>
      </c>
      <c r="W13" s="53">
        <f>W35+W83+W119+W155+W185</f>
        <v/>
      </c>
      <c r="X13" s="53">
        <f>X35+X83+X119+X155+X185</f>
        <v/>
      </c>
      <c r="Y13" s="53">
        <f>Y35+Y83+Y119+Y155+Y185</f>
        <v/>
      </c>
      <c r="Z13" s="53">
        <f>Z35+Z83+Z119+Z155+Z185</f>
        <v/>
      </c>
      <c r="AA13" s="53">
        <f>AA35+AA83+AA119+AA155+AA185</f>
        <v/>
      </c>
      <c r="AB13" s="53">
        <f>AB35+AB83+AB119+AB155+AB185</f>
        <v/>
      </c>
      <c r="AC13" s="53">
        <f>AC35+AC83+AC119+AC155+AC185</f>
        <v/>
      </c>
      <c r="AD13" s="53">
        <f>AD35+AD83+AD119+AD155+AD185</f>
        <v/>
      </c>
      <c r="AE13" s="53">
        <f>AE35+AE83+AE119+AE155+AE185</f>
        <v/>
      </c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</row>
    <row r="14" ht="15.75" customFormat="1" customHeight="1" s="15">
      <c r="A14" s="14" t="n"/>
      <c r="B14" s="15" t="inlineStr">
        <is>
          <t>% of Target</t>
        </is>
      </c>
      <c r="D14" s="16" t="inlineStr">
        <is>
          <t>%</t>
        </is>
      </c>
      <c r="E14" s="54">
        <f>IFERROR(E13/E16,"")</f>
        <v/>
      </c>
      <c r="F14" s="54">
        <f>IFERROR(F13/F16,"")</f>
        <v/>
      </c>
      <c r="G14" s="54">
        <f>IFERROR(G13/G16,"")</f>
        <v/>
      </c>
      <c r="H14" s="54">
        <f>IFERROR(H13/H16,"")</f>
        <v/>
      </c>
      <c r="I14" s="54">
        <f>IFERROR(I13/I16,"")</f>
        <v/>
      </c>
      <c r="J14" s="54">
        <f>IFERROR(J13/J16,"")</f>
        <v/>
      </c>
      <c r="K14" s="54">
        <f>IFERROR(K13/K16,"")</f>
        <v/>
      </c>
      <c r="L14" s="54">
        <f>IFERROR(L13/L16,"")</f>
        <v/>
      </c>
      <c r="M14" s="54">
        <f>IFERROR(M13/M16,"")</f>
        <v/>
      </c>
      <c r="N14" s="54">
        <f>IFERROR(N13/N16,"")</f>
        <v/>
      </c>
      <c r="O14" s="54">
        <f>IFERROR(O13/O16,"")</f>
        <v/>
      </c>
      <c r="P14" s="54">
        <f>IFERROR(P13/P16,"")</f>
        <v/>
      </c>
      <c r="Q14" s="54">
        <f>IFERROR(Q13/Q16,"")</f>
        <v/>
      </c>
      <c r="R14" s="54">
        <f>IFERROR(R13/R16,"")</f>
        <v/>
      </c>
      <c r="S14" s="54">
        <f>IFERROR(S13/S16,"")</f>
        <v/>
      </c>
      <c r="T14" s="54">
        <f>IFERROR(T13/T16,"")</f>
        <v/>
      </c>
      <c r="U14" s="54">
        <f>IFERROR(U13/U16,"")</f>
        <v/>
      </c>
      <c r="V14" s="54">
        <f>IFERROR(V13/V16,"")</f>
        <v/>
      </c>
      <c r="W14" s="54">
        <f>IFERROR(W13/W16,"")</f>
        <v/>
      </c>
      <c r="X14" s="54">
        <f>IFERROR(X13/X16,"")</f>
        <v/>
      </c>
      <c r="Y14" s="54">
        <f>IFERROR(Y13/Y16,"")</f>
        <v/>
      </c>
      <c r="Z14" s="54">
        <f>IFERROR(Z13/Z16,"")</f>
        <v/>
      </c>
      <c r="AA14" s="54">
        <f>IFERROR(AA13/AA16,"")</f>
        <v/>
      </c>
      <c r="AB14" s="54">
        <f>IFERROR(AB13/AB16,"")</f>
        <v/>
      </c>
      <c r="AC14" s="54">
        <f>IFERROR(AC13/AC16,"")</f>
        <v/>
      </c>
      <c r="AD14" s="54">
        <f>IFERROR(AD13/AD16,"")</f>
        <v/>
      </c>
      <c r="AE14" s="54">
        <f>IFERROR(AE13/AE16,"")</f>
        <v/>
      </c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</row>
    <row r="15" ht="15.75" customFormat="1" customHeight="1" s="15">
      <c r="A15" s="14" t="n"/>
      <c r="B15" s="7" t="inlineStr">
        <is>
          <t>% of Target - YTD</t>
        </is>
      </c>
      <c r="D15" s="8" t="inlineStr">
        <is>
          <t>%</t>
        </is>
      </c>
      <c r="E15" s="54">
        <f>IFERROR(SUM($E$13:E13)/SUM($E$16:E16),"")</f>
        <v/>
      </c>
      <c r="F15" s="54">
        <f>IFERROR(SUM($E$13:F13)/SUM($E$16:F16),"")</f>
        <v/>
      </c>
      <c r="G15" s="54">
        <f>IFERROR(SUM($E$13:G13)/SUM($E$16:G16),"")</f>
        <v/>
      </c>
      <c r="H15" s="54">
        <f>IFERROR(SUM($E$13:H13)/SUM($E$16:H16),"")</f>
        <v/>
      </c>
      <c r="I15" s="54">
        <f>IFERROR(SUM($E$13:I13)/SUM($E$16:I16),"")</f>
        <v/>
      </c>
      <c r="J15" s="54">
        <f>IFERROR(SUM($E$13:J13)/SUM($E$16:J16),"")</f>
        <v/>
      </c>
      <c r="K15" s="54">
        <f>IFERROR(SUM($E$13:K13)/SUM($E$16:K16),"")</f>
        <v/>
      </c>
      <c r="L15" s="54">
        <f>IFERROR(SUM($E$13:L13)/SUM($E$16:L16),"")</f>
        <v/>
      </c>
      <c r="M15" s="54">
        <f>IFERROR(SUM($E$13:M13)/SUM($E$16:M16),"")</f>
        <v/>
      </c>
      <c r="N15" s="54">
        <f>IFERROR(SUM($E$13:N13)/SUM($E$16:N16),"")</f>
        <v/>
      </c>
      <c r="O15" s="54">
        <f>IFERROR(SUM($E$13:O13)/SUM($E$16:O16),"")</f>
        <v/>
      </c>
      <c r="P15" s="54">
        <f>IFERROR(SUM($E$13:P13)/SUM($E$16:P16),"")</f>
        <v/>
      </c>
      <c r="Q15" s="54">
        <f>IFERROR(SUM($E$13:Q13)/SUM($E$16:Q16),"")</f>
        <v/>
      </c>
      <c r="R15" s="54">
        <f>IFERROR(SUM($E$13:R13)/SUM($E$16:R16),"")</f>
        <v/>
      </c>
      <c r="S15" s="54">
        <f>IFERROR(SUM($E$13:S13)/SUM($E$16:S16),"")</f>
        <v/>
      </c>
      <c r="T15" s="54">
        <f>IFERROR(SUM($E$13:T13)/SUM($E$16:T16),"")</f>
        <v/>
      </c>
      <c r="U15" s="54">
        <f>IFERROR(SUM($E$13:U13)/SUM($E$16:U16),"")</f>
        <v/>
      </c>
      <c r="V15" s="54">
        <f>IFERROR(SUM($E$13:V13)/SUM($E$16:V16),"")</f>
        <v/>
      </c>
      <c r="W15" s="54">
        <f>IFERROR(SUM($E$13:W13)/SUM($E$16:W16),"")</f>
        <v/>
      </c>
      <c r="X15" s="54">
        <f>IFERROR(SUM($E$13:X13)/SUM($E$16:X16),"")</f>
        <v/>
      </c>
      <c r="Y15" s="54">
        <f>IFERROR(SUM($E$13:Y13)/SUM($E$16:Y16),"")</f>
        <v/>
      </c>
      <c r="Z15" s="54">
        <f>IFERROR(SUM($E$13:Z13)/SUM($E$16:Z16),"")</f>
        <v/>
      </c>
      <c r="AA15" s="54">
        <f>IFERROR(SUM($E$13:AA13)/SUM($E$16:AA16),"")</f>
        <v/>
      </c>
      <c r="AB15" s="54">
        <f>IFERROR(SUM($E$13:AB13)/SUM($E$16:AB16),"")</f>
        <v/>
      </c>
      <c r="AC15" s="54">
        <f>IFERROR(SUM($E$13:AC13)/SUM($E$16:AC16),"")</f>
        <v/>
      </c>
      <c r="AD15" s="54">
        <f>IFERROR(SUM($E$13:AD13)/SUM($E$16:AD16),"")</f>
        <v/>
      </c>
      <c r="AE15" s="54">
        <f>IFERROR(SUM($E$13:AE13)/SUM($E$16:AE16),"")</f>
        <v/>
      </c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</row>
    <row r="16" ht="15.75" customFormat="1" customHeight="1" s="12">
      <c r="A16" s="50">
        <f>SUM(E16:BE16)</f>
        <v/>
      </c>
      <c r="B16" s="12" t="inlineStr">
        <is>
          <t>Target</t>
        </is>
      </c>
      <c r="D16" s="13" t="inlineStr">
        <is>
          <t>#</t>
        </is>
      </c>
      <c r="E16" s="55">
        <f>E39+E87+E123+E159+E189</f>
        <v/>
      </c>
      <c r="F16" s="55">
        <f>F39+F87+F123+F159+F189</f>
        <v/>
      </c>
      <c r="G16" s="55">
        <f>G39+G87+G123+G159+G189</f>
        <v/>
      </c>
      <c r="H16" s="55">
        <f>H39+H87+H123+H159+H189</f>
        <v/>
      </c>
      <c r="I16" s="55">
        <f>I39+I87+I123+I159+I189</f>
        <v/>
      </c>
      <c r="J16" s="55">
        <f>J39+J87+J123+J159+J189</f>
        <v/>
      </c>
      <c r="K16" s="55">
        <f>K39+K87+K123+K159+K189</f>
        <v/>
      </c>
      <c r="L16" s="55">
        <f>L39+L87+L123+L159+L189</f>
        <v/>
      </c>
      <c r="M16" s="55">
        <f>M39+M87+M123+M159+M189</f>
        <v/>
      </c>
      <c r="N16" s="55">
        <f>N39+N87+N123+N159+N189</f>
        <v/>
      </c>
      <c r="O16" s="55">
        <f>O39+O87+O123+O159+O189</f>
        <v/>
      </c>
      <c r="P16" s="55">
        <f>P39+P87+P123+P159+P189</f>
        <v/>
      </c>
      <c r="Q16" s="55">
        <f>Q39+Q87+Q123+Q159+Q189</f>
        <v/>
      </c>
      <c r="R16" s="55">
        <f>R39+R87+R123+R159+R189</f>
        <v/>
      </c>
      <c r="S16" s="55">
        <f>S39+S87+S123+S159+S189</f>
        <v/>
      </c>
      <c r="T16" s="55">
        <f>T39+T87+T123+T159+T189</f>
        <v/>
      </c>
      <c r="U16" s="55">
        <f>U39+U87+U123+U159+U189</f>
        <v/>
      </c>
      <c r="V16" s="55">
        <f>V39+V87+V123+V159+V189</f>
        <v/>
      </c>
      <c r="W16" s="55">
        <f>W39+W87+W123+W159+W189</f>
        <v/>
      </c>
      <c r="X16" s="55">
        <f>X39+X87+X123+X159+X189</f>
        <v/>
      </c>
      <c r="Y16" s="55">
        <f>Y39+Y87+Y123+Y159+Y189</f>
        <v/>
      </c>
      <c r="Z16" s="55">
        <f>Z39+Z87+Z123+Z159+Z189</f>
        <v/>
      </c>
      <c r="AA16" s="55">
        <f>AA39+AA87+AA123+AA159+AA189</f>
        <v/>
      </c>
      <c r="AB16" s="55">
        <f>AB39+AB87+AB123+AB159+AB189</f>
        <v/>
      </c>
      <c r="AC16" s="55">
        <f>AC39+AC87+AC123+AC159+AC189</f>
        <v/>
      </c>
      <c r="AD16" s="55">
        <f>AD39+AD87+AD123+AD159+AD189</f>
        <v/>
      </c>
      <c r="AE16" s="55">
        <f>AE39+AE87+AE123+AE159+AE189</f>
        <v/>
      </c>
      <c r="AF16" s="55">
        <f>AF39+AF87+AF123+AF159+AF189</f>
        <v/>
      </c>
      <c r="AG16" s="55">
        <f>AG39+AG87+AG123+AG159+AG189</f>
        <v/>
      </c>
      <c r="AH16" s="55">
        <f>AH39+AH87+AH123+AH159+AH189</f>
        <v/>
      </c>
      <c r="AI16" s="55">
        <f>AI39+AI87+AI123+AI159+AI189</f>
        <v/>
      </c>
      <c r="AJ16" s="55">
        <f>AJ39+AJ87+AJ123+AJ159+AJ189</f>
        <v/>
      </c>
      <c r="AK16" s="55">
        <f>AK39+AK87+AK123+AK159+AK189</f>
        <v/>
      </c>
      <c r="AL16" s="55">
        <f>AL39+AL87+AL123+AL159+AL189</f>
        <v/>
      </c>
      <c r="AM16" s="55">
        <f>AM39+AM87+AM123+AM159+AM189</f>
        <v/>
      </c>
      <c r="AN16" s="55">
        <f>AN39+AN87+AN123+AN159+AN189</f>
        <v/>
      </c>
      <c r="AO16" s="55">
        <f>AO39+AO87+AO123+AO159+AO189</f>
        <v/>
      </c>
      <c r="AP16" s="55">
        <f>AP39+AP87+AP123+AP159+AP189</f>
        <v/>
      </c>
      <c r="AQ16" s="55">
        <f>AQ39+AQ87+AQ123+AQ159+AQ189</f>
        <v/>
      </c>
      <c r="AR16" s="55">
        <f>AR39+AR87+AR123+AR159+AR189</f>
        <v/>
      </c>
      <c r="AS16" s="55">
        <f>AS39+AS87+AS123+AS159+AS189</f>
        <v/>
      </c>
      <c r="AT16" s="55">
        <f>AT39+AT87+AT123+AT159+AT189</f>
        <v/>
      </c>
      <c r="AU16" s="55">
        <f>AU39+AU87+AU123+AU159+AU189</f>
        <v/>
      </c>
      <c r="AV16" s="55">
        <f>AV39+AV87+AV123+AV159+AV189</f>
        <v/>
      </c>
      <c r="AW16" s="55">
        <f>AW39+AW87+AW123+AW159+AW189</f>
        <v/>
      </c>
      <c r="AX16" s="55">
        <f>AX39+AX87+AX123+AX159+AX189</f>
        <v/>
      </c>
      <c r="AY16" s="55">
        <f>AY39+AY87+AY123+AY159+AY189</f>
        <v/>
      </c>
      <c r="AZ16" s="55">
        <f>AZ39+AZ87+AZ123+AZ159+AZ189</f>
        <v/>
      </c>
      <c r="BA16" s="55">
        <f>BA39+BA87+BA123+BA159+BA189</f>
        <v/>
      </c>
      <c r="BB16" s="55">
        <f>BB39+BB87+BB123+BB159+BB189</f>
        <v/>
      </c>
      <c r="BC16" s="55">
        <f>BC39+BC87+BC123+BC159+BC189</f>
        <v/>
      </c>
      <c r="BD16" s="55">
        <f>BD39+BD87+BD123+BD159+BD189</f>
        <v/>
      </c>
      <c r="BE16" s="55">
        <f>BE39+BE87+BE123+BE159+BE189</f>
        <v/>
      </c>
    </row>
    <row r="17" ht="15.75" customHeight="1">
      <c r="B17" t="inlineStr">
        <is>
          <t>Actual  breakdown</t>
        </is>
      </c>
      <c r="C17" s="11" t="inlineStr">
        <is>
          <t xml:space="preserve">Cam </t>
        </is>
      </c>
      <c r="D17" s="6" t="inlineStr">
        <is>
          <t>#</t>
        </is>
      </c>
      <c r="E17" s="52">
        <f>E40+E88+E124+E160+E190</f>
        <v/>
      </c>
      <c r="F17" s="52">
        <f>F40+F88+F124+F160+F190</f>
        <v/>
      </c>
      <c r="G17" s="52">
        <f>G40+G88+G124+G160+G190</f>
        <v/>
      </c>
      <c r="H17" s="52">
        <f>H40+H88+H124+H160+H190</f>
        <v/>
      </c>
      <c r="I17" s="52">
        <f>I40+I88+I124+I160+I190</f>
        <v/>
      </c>
      <c r="J17" s="52">
        <f>J40+J88+J124+J160+J190</f>
        <v/>
      </c>
      <c r="K17" s="52">
        <f>K40+K88+K124+K160+K190</f>
        <v/>
      </c>
      <c r="L17" s="52">
        <f>L40+L88+L124+L160+L190</f>
        <v/>
      </c>
      <c r="M17" s="52">
        <f>M40+M88+M124+M160+M190</f>
        <v/>
      </c>
      <c r="N17" s="52">
        <f>N40+N88+N124+N160+N190</f>
        <v/>
      </c>
      <c r="O17" s="52">
        <f>O40+O88+O124+O160+O190</f>
        <v/>
      </c>
      <c r="P17" s="52">
        <f>P40+P88+P124+P160+P190</f>
        <v/>
      </c>
      <c r="Q17" s="52">
        <f>Q40+Q88+Q124+Q160+Q190</f>
        <v/>
      </c>
      <c r="R17" s="52">
        <f>R40+R88+R124+R160+R190</f>
        <v/>
      </c>
      <c r="S17" s="52">
        <f>S40+S88+S124+S160+S190</f>
        <v/>
      </c>
      <c r="T17" s="52">
        <f>T40+T88+T124+T160+T190</f>
        <v/>
      </c>
      <c r="U17" s="52">
        <f>U40+U88+U124+U160+U190</f>
        <v/>
      </c>
      <c r="V17" s="52">
        <f>V40+V88+V124+V160+V190</f>
        <v/>
      </c>
      <c r="W17" s="52">
        <f>W40+W88+W124+W160+W190</f>
        <v/>
      </c>
      <c r="X17" s="52">
        <f>X40+X88+X124+X160+X190</f>
        <v/>
      </c>
      <c r="Y17" s="52">
        <f>Y40+Y88+Y124+Y160+Y190</f>
        <v/>
      </c>
      <c r="Z17" s="52">
        <f>Z40+Z88+Z124+Z160+Z190</f>
        <v/>
      </c>
      <c r="AA17" s="52">
        <f>AA40+AA88+AA124+AA160+AA190</f>
        <v/>
      </c>
      <c r="AB17" s="52">
        <f>AB40+AB88+AB124+AB160+AB190</f>
        <v/>
      </c>
      <c r="AC17" s="52">
        <f>AC40+AC88+AC124+AC160+AC190</f>
        <v/>
      </c>
      <c r="AD17" s="52">
        <f>AD40+AD88+AD124+AD160+AD190</f>
        <v/>
      </c>
      <c r="AE17" s="52">
        <f>AE40+AE88+AE124+AE160+AE190</f>
        <v/>
      </c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2">
        <f>E41+E89+E125+E161+E191</f>
        <v/>
      </c>
      <c r="F18" s="52">
        <f>F41+F89+F125+F161+F191</f>
        <v/>
      </c>
      <c r="G18" s="52">
        <f>G41+G89+G125+G161+G191</f>
        <v/>
      </c>
      <c r="H18" s="52">
        <f>H41+H89+H125+H161+H191</f>
        <v/>
      </c>
      <c r="I18" s="52">
        <f>I41+I89+I125+I161+I191</f>
        <v/>
      </c>
      <c r="J18" s="52">
        <f>J41+J89+J125+J161+J191</f>
        <v/>
      </c>
      <c r="K18" s="52">
        <f>K41+K89+K125+K161+K191</f>
        <v/>
      </c>
      <c r="L18" s="52">
        <f>L41+L89+L125+L161+L191</f>
        <v/>
      </c>
      <c r="M18" s="52">
        <f>M41+M89+M125+M161+M191</f>
        <v/>
      </c>
      <c r="N18" s="52">
        <f>N41+N89+N125+N161+N191</f>
        <v/>
      </c>
      <c r="O18" s="52">
        <f>O41+O89+O125+O161+O191</f>
        <v/>
      </c>
      <c r="P18" s="52">
        <f>P41+P89+P125+P161+P191</f>
        <v/>
      </c>
      <c r="Q18" s="52">
        <f>Q41+Q89+Q125+Q161+Q191</f>
        <v/>
      </c>
      <c r="R18" s="52">
        <f>R41+R89+R125+R161+R191</f>
        <v/>
      </c>
      <c r="S18" s="52">
        <f>S41+S89+S125+S161+S191</f>
        <v/>
      </c>
      <c r="T18" s="52">
        <f>T41+T89+T125+T161+T191</f>
        <v/>
      </c>
      <c r="U18" s="52">
        <f>U41+U89+U125+U161+U191</f>
        <v/>
      </c>
      <c r="V18" s="52">
        <f>V41+V89+V125+V161+V191</f>
        <v/>
      </c>
      <c r="W18" s="52">
        <f>W41+W89+W125+W161+W191</f>
        <v/>
      </c>
      <c r="X18" s="52">
        <f>X41+X89+X125+X161+X191</f>
        <v/>
      </c>
      <c r="Y18" s="52">
        <f>Y41+Y89+Y125+Y161+Y191</f>
        <v/>
      </c>
      <c r="Z18" s="52">
        <f>Z41+Z89+Z125+Z161+Z191</f>
        <v/>
      </c>
      <c r="AA18" s="52">
        <f>AA41+AA89+AA125+AA161+AA191</f>
        <v/>
      </c>
      <c r="AB18" s="52">
        <f>AB41+AB89+AB125+AB161+AB191</f>
        <v/>
      </c>
      <c r="AC18" s="52">
        <f>AC41+AC89+AC125+AC161+AC191</f>
        <v/>
      </c>
      <c r="AD18" s="52">
        <f>AD41+AD89+AD125+AD161+AD191</f>
        <v/>
      </c>
      <c r="AE18" s="52">
        <f>AE41+AE89+AE125+AE161+AE191</f>
        <v/>
      </c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3" t="inlineStr">
        <is>
          <t># ppl</t>
        </is>
      </c>
      <c r="E20" s="53" t="n">
        <v>31336</v>
      </c>
      <c r="F20" s="53" t="n">
        <v>29130</v>
      </c>
      <c r="G20" s="53" t="n">
        <v>26784</v>
      </c>
      <c r="H20" s="53" t="n">
        <v>24488</v>
      </c>
      <c r="I20" s="53" t="n">
        <v>22195</v>
      </c>
      <c r="J20" s="53" t="n">
        <v>23450</v>
      </c>
      <c r="K20" s="53" t="n">
        <v>23506</v>
      </c>
      <c r="L20" s="53" t="n">
        <v>25289</v>
      </c>
      <c r="M20" s="53" t="n">
        <v>25858</v>
      </c>
      <c r="N20" s="53" t="n">
        <v>26677</v>
      </c>
      <c r="O20" s="53" t="n">
        <v>25688</v>
      </c>
      <c r="P20" s="53" t="n">
        <v>24258</v>
      </c>
      <c r="Q20" s="53" t="n">
        <v>25682</v>
      </c>
      <c r="R20" s="53" t="n">
        <v>26231</v>
      </c>
      <c r="S20" s="53" t="n">
        <v>25490</v>
      </c>
      <c r="T20" s="53" t="n">
        <v>25897</v>
      </c>
      <c r="U20" s="53" t="n">
        <v>24842</v>
      </c>
      <c r="V20" s="53" t="n">
        <v>24283</v>
      </c>
      <c r="W20" s="53" t="n">
        <v>23929</v>
      </c>
      <c r="X20" s="53" t="n">
        <v>23433</v>
      </c>
      <c r="Y20" s="53" t="n">
        <v>24076</v>
      </c>
      <c r="Z20" s="53" t="n">
        <v>25202</v>
      </c>
      <c r="AA20" s="53" t="n">
        <v>25702</v>
      </c>
      <c r="AB20" s="53" t="n">
        <v>24782</v>
      </c>
      <c r="AC20" s="53" t="n">
        <v>26315</v>
      </c>
      <c r="AD20" s="53" t="n">
        <v>29927</v>
      </c>
      <c r="AE20" s="53" t="n">
        <v>28292</v>
      </c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</row>
    <row r="21" ht="15.75" customHeight="1">
      <c r="B21" s="30" t="inlineStr">
        <is>
          <t>% new customers - YTD</t>
        </is>
      </c>
      <c r="C21" s="31" t="n"/>
      <c r="D21" s="31" t="inlineStr">
        <is>
          <t>%</t>
        </is>
      </c>
      <c r="E21" s="56">
        <f>IFERROR(SUM($E$20:E20)/SUM($E$13:E13),"")</f>
        <v/>
      </c>
      <c r="F21" s="56">
        <f>IFERROR(SUM($E$20:F20)/SUM($E$13:F13),"")</f>
        <v/>
      </c>
      <c r="G21" s="56">
        <f>IFERROR(SUM($E$20:G20)/SUM($E$13:G13),"")</f>
        <v/>
      </c>
      <c r="H21" s="56">
        <f>IFERROR(SUM($E$20:H20)/SUM($E$13:H13),"")</f>
        <v/>
      </c>
      <c r="I21" s="56">
        <f>IFERROR(SUM($E$20:I20)/SUM($E$13:I13),"")</f>
        <v/>
      </c>
      <c r="J21" s="56">
        <f>IFERROR(SUM($E$20:J20)/SUM($E$13:J13),"")</f>
        <v/>
      </c>
      <c r="K21" s="56">
        <f>IFERROR(SUM($E$20:K20)/SUM($E$13:K13),"")</f>
        <v/>
      </c>
      <c r="L21" s="56">
        <f>IFERROR(SUM($E$20:L20)/SUM($E$13:L13),"")</f>
        <v/>
      </c>
      <c r="M21" s="56">
        <f>IFERROR(SUM($E$20:M20)/SUM($E$13:M13),"")</f>
        <v/>
      </c>
      <c r="N21" s="56">
        <f>IFERROR(SUM($E$20:N20)/SUM($E$13:N13),"")</f>
        <v/>
      </c>
      <c r="O21" s="56">
        <f>IFERROR(SUM($E$20:O20)/SUM($E$13:O13),"")</f>
        <v/>
      </c>
      <c r="P21" s="56">
        <f>IFERROR(SUM($E$20:P20)/SUM($E$13:P13),"")</f>
        <v/>
      </c>
      <c r="Q21" s="56">
        <f>IFERROR(SUM($E$20:Q20)/SUM($E$13:Q13),"")</f>
        <v/>
      </c>
      <c r="R21" s="56">
        <f>IFERROR(SUM($E$20:R20)/SUM($E$13:R13),"")</f>
        <v/>
      </c>
      <c r="S21" s="56">
        <f>IFERROR(SUM($E$20:S20)/SUM($E$13:S13),"")</f>
        <v/>
      </c>
      <c r="T21" s="56">
        <f>IFERROR(SUM($E$20:T20)/SUM($E$13:T13),"")</f>
        <v/>
      </c>
      <c r="U21" s="56">
        <f>IFERROR(SUM($E$20:U20)/SUM($E$13:U13),"")</f>
        <v/>
      </c>
      <c r="V21" s="56">
        <f>IFERROR(SUM($E$20:V20)/SUM($E$13:V13),"")</f>
        <v/>
      </c>
      <c r="W21" s="56">
        <f>IFERROR(SUM($E$20:W20)/SUM($E$13:W13),"")</f>
        <v/>
      </c>
      <c r="X21" s="56">
        <f>IFERROR(SUM($E$20:X20)/SUM($E$13:X13),"")</f>
        <v/>
      </c>
      <c r="Y21" s="56">
        <f>IFERROR(SUM($E$20:Y20)/SUM($E$13:Y13),"")</f>
        <v/>
      </c>
      <c r="Z21" s="56">
        <f>IFERROR(SUM($E$20:Z20)/SUM($E$13:Z13),"")</f>
        <v/>
      </c>
      <c r="AA21" s="56">
        <f>IFERROR(SUM($E$20:AA20)/SUM($E$13:AA13),"")</f>
        <v/>
      </c>
      <c r="AB21" s="56">
        <f>IFERROR(SUM($E$20:AB20)/SUM($E$13:AB13),"")</f>
        <v/>
      </c>
      <c r="AC21" s="56">
        <f>IFERROR(SUM($E$20:AC20)/SUM($E$13:AC13),"")</f>
        <v/>
      </c>
      <c r="AD21" s="56">
        <f>IFERROR(SUM($E$20:AD20)/SUM($E$13:AD13),"")</f>
        <v/>
      </c>
      <c r="AE21" s="56">
        <f>IFERROR(SUM($E$20:AE20)/SUM($E$13:AE13),"")</f>
        <v/>
      </c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</row>
    <row r="22" ht="15.75" customHeight="1">
      <c r="B22" s="7" t="inlineStr">
        <is>
          <t>% of Target - YTD</t>
        </is>
      </c>
      <c r="C22" s="6" t="n"/>
      <c r="D22" s="16" t="inlineStr">
        <is>
          <t>pp</t>
        </is>
      </c>
      <c r="E22" s="54">
        <f>IFERROR(E21-E23,"")</f>
        <v/>
      </c>
      <c r="F22" s="54">
        <f>IFERROR(F21-F23,"")</f>
        <v/>
      </c>
      <c r="G22" s="54">
        <f>IFERROR(G21-G23,"")</f>
        <v/>
      </c>
      <c r="H22" s="54">
        <f>IFERROR(H21-H23,"")</f>
        <v/>
      </c>
      <c r="I22" s="54">
        <f>IFERROR(I21-I23,"")</f>
        <v/>
      </c>
      <c r="J22" s="54">
        <f>IFERROR(J21-J23,"")</f>
        <v/>
      </c>
      <c r="K22" s="54">
        <f>IFERROR(K21-K23,"")</f>
        <v/>
      </c>
      <c r="L22" s="54">
        <f>IFERROR(L21-L23,"")</f>
        <v/>
      </c>
      <c r="M22" s="54">
        <f>IFERROR(M21-M23,"")</f>
        <v/>
      </c>
      <c r="N22" s="54">
        <f>IFERROR(N21-N23,"")</f>
        <v/>
      </c>
      <c r="O22" s="54">
        <f>IFERROR(O21-O23,"")</f>
        <v/>
      </c>
      <c r="P22" s="54">
        <f>IFERROR(P21-P23,"")</f>
        <v/>
      </c>
      <c r="Q22" s="54">
        <f>IFERROR(Q21-Q23,"")</f>
        <v/>
      </c>
      <c r="R22" s="54">
        <f>IFERROR(R21-R23,"")</f>
        <v/>
      </c>
      <c r="S22" s="54">
        <f>IFERROR(S21-S23,"")</f>
        <v/>
      </c>
      <c r="T22" s="54">
        <f>IFERROR(T21-T23,"")</f>
        <v/>
      </c>
      <c r="U22" s="54">
        <f>IFERROR(U21-U23,"")</f>
        <v/>
      </c>
      <c r="V22" s="54">
        <f>IFERROR(V21-V23,"")</f>
        <v/>
      </c>
      <c r="W22" s="54">
        <f>IFERROR(W21-W23,"")</f>
        <v/>
      </c>
      <c r="X22" s="54">
        <f>IFERROR(X21-X23,"")</f>
        <v/>
      </c>
      <c r="Y22" s="54">
        <f>IFERROR(Y21-Y23,"")</f>
        <v/>
      </c>
      <c r="Z22" s="54">
        <f>IFERROR(Z21-Z23,"")</f>
        <v/>
      </c>
      <c r="AA22" s="54">
        <f>IFERROR(AA21-AA23,"")</f>
        <v/>
      </c>
      <c r="AB22" s="54">
        <f>IFERROR(AB21-AB23,"")</f>
        <v/>
      </c>
      <c r="AC22" s="54">
        <f>IFERROR(AC21-AC23,"")</f>
        <v/>
      </c>
      <c r="AD22" s="54">
        <f>IFERROR(AD21-AD23,"")</f>
        <v/>
      </c>
      <c r="AE22" s="54">
        <f>IFERROR(AE21-AE23,"")</f>
        <v/>
      </c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</row>
    <row r="23" ht="15.75" customHeight="1">
      <c r="A23" s="51" t="n">
        <v>0.52</v>
      </c>
      <c r="B23" s="9" t="inlineStr">
        <is>
          <t>Target</t>
        </is>
      </c>
      <c r="C23" s="6" t="n"/>
      <c r="D23" s="13" t="inlineStr">
        <is>
          <t>%</t>
        </is>
      </c>
      <c r="E23" s="51" t="n">
        <v>0.52</v>
      </c>
      <c r="F23" s="51" t="n">
        <v>0.52</v>
      </c>
      <c r="G23" s="51" t="n">
        <v>0.52</v>
      </c>
      <c r="H23" s="51" t="n">
        <v>0.52</v>
      </c>
      <c r="I23" s="51" t="n">
        <v>0.52</v>
      </c>
      <c r="J23" s="51" t="n">
        <v>0.52</v>
      </c>
      <c r="K23" s="51" t="n">
        <v>0.52</v>
      </c>
      <c r="L23" s="51" t="n">
        <v>0.52</v>
      </c>
      <c r="M23" s="51" t="n">
        <v>0.52</v>
      </c>
      <c r="N23" s="51" t="n">
        <v>0.52</v>
      </c>
      <c r="O23" s="51" t="n">
        <v>0.52</v>
      </c>
      <c r="P23" s="51" t="n">
        <v>0.52</v>
      </c>
      <c r="Q23" s="51" t="n">
        <v>0.52</v>
      </c>
      <c r="R23" s="51" t="n">
        <v>0.52</v>
      </c>
      <c r="S23" s="51" t="n">
        <v>0.52</v>
      </c>
      <c r="T23" s="51" t="n">
        <v>0.52</v>
      </c>
      <c r="U23" s="51" t="n">
        <v>0.52</v>
      </c>
      <c r="V23" s="51" t="n">
        <v>0.52</v>
      </c>
      <c r="W23" s="51" t="n">
        <v>0.52</v>
      </c>
      <c r="X23" s="51" t="n">
        <v>0.52</v>
      </c>
      <c r="Y23" s="51" t="n">
        <v>0.52</v>
      </c>
      <c r="Z23" s="51" t="n">
        <v>0.52</v>
      </c>
      <c r="AA23" s="51" t="n">
        <v>0.52</v>
      </c>
      <c r="AB23" s="51" t="n">
        <v>0.52</v>
      </c>
      <c r="AC23" s="51" t="n">
        <v>0.52</v>
      </c>
      <c r="AD23" s="51" t="n">
        <v>0.52</v>
      </c>
      <c r="AE23" s="51" t="n">
        <v>0.52</v>
      </c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</row>
    <row r="24" ht="15.75" customHeight="1">
      <c r="B24" t="inlineStr">
        <is>
          <t>Actual  breakdown</t>
        </is>
      </c>
      <c r="C24" s="11" t="inlineStr">
        <is>
          <t xml:space="preserve">Cam </t>
        </is>
      </c>
      <c r="D24" s="6" t="inlineStr">
        <is>
          <t>#</t>
        </is>
      </c>
      <c r="E24" s="52" t="n">
        <v>23995</v>
      </c>
      <c r="F24" s="52" t="n">
        <v>21960</v>
      </c>
      <c r="G24" s="52" t="n">
        <v>20982</v>
      </c>
      <c r="H24" s="52" t="n">
        <v>19149</v>
      </c>
      <c r="I24" s="52" t="n">
        <v>17574</v>
      </c>
      <c r="J24" s="52" t="n">
        <v>18654</v>
      </c>
      <c r="K24" s="52" t="n">
        <v>18852</v>
      </c>
      <c r="L24" s="52" t="n">
        <v>20515</v>
      </c>
      <c r="M24" s="52" t="n">
        <v>21240</v>
      </c>
      <c r="N24" s="52" t="n">
        <v>22133</v>
      </c>
      <c r="O24" s="52" t="n">
        <v>21227</v>
      </c>
      <c r="P24" s="52" t="n">
        <v>20077</v>
      </c>
      <c r="Q24" s="52" t="n">
        <v>21344</v>
      </c>
      <c r="R24" s="52" t="n">
        <v>21803</v>
      </c>
      <c r="S24" s="52" t="n">
        <v>21252</v>
      </c>
      <c r="T24" s="52" t="n">
        <v>21723</v>
      </c>
      <c r="U24" s="52" t="n">
        <v>20839</v>
      </c>
      <c r="V24" s="52" t="n">
        <v>19985</v>
      </c>
      <c r="W24" s="52" t="n">
        <v>19788</v>
      </c>
      <c r="X24" s="52" t="n">
        <v>19645</v>
      </c>
      <c r="Y24" s="52" t="n">
        <v>20228</v>
      </c>
      <c r="Z24" s="52" t="n">
        <v>20863</v>
      </c>
      <c r="AA24" s="52" t="n">
        <v>21387</v>
      </c>
      <c r="AB24" s="52" t="n">
        <v>20941</v>
      </c>
      <c r="AC24" s="52" t="n">
        <v>22472</v>
      </c>
      <c r="AD24" s="52" t="n">
        <v>24985</v>
      </c>
      <c r="AE24" s="52" t="n">
        <v>23930</v>
      </c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</row>
    <row r="25" ht="15.75" customHeight="1">
      <c r="C25" s="11" t="inlineStr">
        <is>
          <t>Non Cam</t>
        </is>
      </c>
      <c r="D25" s="6" t="inlineStr">
        <is>
          <t>#</t>
        </is>
      </c>
      <c r="E25" s="52" t="n">
        <v>7341</v>
      </c>
      <c r="F25" s="52" t="n">
        <v>7170</v>
      </c>
      <c r="G25" s="52" t="n">
        <v>5802</v>
      </c>
      <c r="H25" s="52" t="n">
        <v>5339</v>
      </c>
      <c r="I25" s="52" t="n">
        <v>4621</v>
      </c>
      <c r="J25" s="52" t="n">
        <v>4796</v>
      </c>
      <c r="K25" s="52" t="n">
        <v>4654</v>
      </c>
      <c r="L25" s="52" t="n">
        <v>4774</v>
      </c>
      <c r="M25" s="52" t="n">
        <v>4618</v>
      </c>
      <c r="N25" s="52" t="n">
        <v>4544</v>
      </c>
      <c r="O25" s="52" t="n">
        <v>4461</v>
      </c>
      <c r="P25" s="52" t="n">
        <v>4181</v>
      </c>
      <c r="Q25" s="52" t="n">
        <v>4338</v>
      </c>
      <c r="R25" s="52" t="n">
        <v>4428</v>
      </c>
      <c r="S25" s="52" t="n">
        <v>4238</v>
      </c>
      <c r="T25" s="52" t="n">
        <v>4174</v>
      </c>
      <c r="U25" s="52" t="n">
        <v>4003</v>
      </c>
      <c r="V25" s="52" t="n">
        <v>4298</v>
      </c>
      <c r="W25" s="52" t="n">
        <v>4141</v>
      </c>
      <c r="X25" s="52" t="n">
        <v>3788</v>
      </c>
      <c r="Y25" s="52" t="n">
        <v>3848</v>
      </c>
      <c r="Z25" s="52" t="n">
        <v>4339</v>
      </c>
      <c r="AA25" s="52" t="n">
        <v>4315</v>
      </c>
      <c r="AB25" s="52" t="n">
        <v>3841</v>
      </c>
      <c r="AC25" s="52" t="n">
        <v>3843</v>
      </c>
      <c r="AD25" s="52" t="n">
        <v>4942</v>
      </c>
      <c r="AE25" s="52" t="n">
        <v>4362</v>
      </c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</row>
    <row r="26" ht="15.75" customHeight="1"/>
    <row r="27" ht="15.75" customHeight="1"/>
    <row r="28" ht="15.75" customFormat="1" customHeight="1" s="20">
      <c r="A28" s="22" t="inlineStr">
        <is>
          <t>Amazon</t>
        </is>
      </c>
      <c r="D28" s="21" t="n"/>
    </row>
    <row r="29" ht="15.75" customHeight="1">
      <c r="A29" s="1" t="inlineStr">
        <is>
          <t>Sell-in value</t>
        </is>
      </c>
      <c r="D29" s="23" t="inlineStr">
        <is>
          <t>$k</t>
        </is>
      </c>
      <c r="E29" s="53" t="n">
        <v>477.558</v>
      </c>
      <c r="F29" s="53" t="n">
        <v>657.735</v>
      </c>
      <c r="G29" s="53" t="n">
        <v>1031.807</v>
      </c>
      <c r="H29" s="53" t="n">
        <v>375.815</v>
      </c>
      <c r="I29" s="53" t="n">
        <v>919.802</v>
      </c>
      <c r="J29" s="53" t="n">
        <v>743.9</v>
      </c>
      <c r="K29" s="53" t="n">
        <v>1122.401</v>
      </c>
      <c r="L29" s="53" t="n">
        <v>2015.756</v>
      </c>
      <c r="M29" s="53" t="n">
        <v>1845.494</v>
      </c>
      <c r="N29" s="53" t="n">
        <v>3412.268</v>
      </c>
      <c r="O29" s="53" t="n">
        <v>651.255</v>
      </c>
      <c r="P29" s="53" t="n">
        <v>2116.446</v>
      </c>
      <c r="Q29" s="53" t="n">
        <v>519.106</v>
      </c>
      <c r="R29" s="53" t="n">
        <v>1907.646</v>
      </c>
      <c r="S29" s="53" t="n">
        <v>1186.938</v>
      </c>
      <c r="T29" s="53" t="n">
        <v>1421.368</v>
      </c>
      <c r="U29" s="53" t="n">
        <v>1162.305</v>
      </c>
      <c r="V29" s="53" t="n">
        <v>1254.842</v>
      </c>
      <c r="W29" s="53" t="n">
        <v>3374.807</v>
      </c>
      <c r="X29" s="53" t="n">
        <v>1461.043</v>
      </c>
      <c r="Y29" s="53" t="n">
        <v>5579.827</v>
      </c>
      <c r="Z29" s="53" t="n">
        <v>455.199</v>
      </c>
      <c r="AA29" s="53" t="n">
        <v>2098.915</v>
      </c>
      <c r="AB29" s="53" t="n">
        <v>1879.176</v>
      </c>
      <c r="AC29" s="53" t="n">
        <v>1725.265</v>
      </c>
      <c r="AD29" s="53" t="n">
        <v>2692.767</v>
      </c>
      <c r="AE29" s="53" t="n">
        <v>334.667</v>
      </c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</row>
    <row r="30" ht="15.75" customFormat="1" customHeight="1" s="4">
      <c r="A30" s="3" t="n"/>
      <c r="B30" s="4" t="inlineStr">
        <is>
          <t>% of Total - YTD</t>
        </is>
      </c>
      <c r="D30" s="32" t="inlineStr">
        <is>
          <t>%</t>
        </is>
      </c>
      <c r="E30" s="57">
        <f>IFERROR(SUM($E$29:E29)/SUM($E$3:E3),"")</f>
        <v/>
      </c>
      <c r="F30" s="57">
        <f>IFERROR(SUM($E$29:F29)/SUM($E$3:F3),"")</f>
        <v/>
      </c>
      <c r="G30" s="57">
        <f>IFERROR(SUM($E$29:G29)/SUM($E$3:G3),"")</f>
        <v/>
      </c>
      <c r="H30" s="57">
        <f>IFERROR(SUM($E$29:H29)/SUM($E$3:H3),"")</f>
        <v/>
      </c>
      <c r="I30" s="57">
        <f>IFERROR(SUM($E$29:I29)/SUM($E$3:I3),"")</f>
        <v/>
      </c>
      <c r="J30" s="57">
        <f>IFERROR(SUM($E$29:J29)/SUM($E$3:J3),"")</f>
        <v/>
      </c>
      <c r="K30" s="57">
        <f>IFERROR(SUM($E$29:K29)/SUM($E$3:K3),"")</f>
        <v/>
      </c>
      <c r="L30" s="57">
        <f>IFERROR(SUM($E$29:L29)/SUM($E$3:L3),"")</f>
        <v/>
      </c>
      <c r="M30" s="57">
        <f>IFERROR(SUM($E$29:M29)/SUM($E$3:M3),"")</f>
        <v/>
      </c>
      <c r="N30" s="57">
        <f>IFERROR(SUM($E$29:N29)/SUM($E$3:N3),"")</f>
        <v/>
      </c>
      <c r="O30" s="57">
        <f>IFERROR(SUM($E$29:O29)/SUM($E$3:O3),"")</f>
        <v/>
      </c>
      <c r="P30" s="57">
        <f>IFERROR(SUM($E$29:P29)/SUM($E$3:P3),"")</f>
        <v/>
      </c>
      <c r="Q30" s="57">
        <f>IFERROR(SUM($E$29:Q29)/SUM($E$3:Q3),"")</f>
        <v/>
      </c>
      <c r="R30" s="57">
        <f>IFERROR(SUM($E$29:R29)/SUM($E$3:R3),"")</f>
        <v/>
      </c>
      <c r="S30" s="57">
        <f>IFERROR(SUM($E$29:S29)/SUM($E$3:S3),"")</f>
        <v/>
      </c>
      <c r="T30" s="57">
        <f>IFERROR(SUM($E$29:T29)/SUM($E$3:T3),"")</f>
        <v/>
      </c>
      <c r="U30" s="57">
        <f>IFERROR(SUM($E$29:U29)/SUM($E$3:U3),"")</f>
        <v/>
      </c>
      <c r="V30" s="57">
        <f>IFERROR(SUM($E$29:V29)/SUM($E$3:V3),"")</f>
        <v/>
      </c>
      <c r="W30" s="57">
        <f>IFERROR(SUM($E$29:W29)/SUM($E$3:W3),"")</f>
        <v/>
      </c>
      <c r="X30" s="57">
        <f>IFERROR(SUM($E$29:X29)/SUM($E$3:X3),"")</f>
        <v/>
      </c>
      <c r="Y30" s="57">
        <f>IFERROR(SUM($E$29:Y29)/SUM($E$3:Y3),"")</f>
        <v/>
      </c>
      <c r="Z30" s="57">
        <f>IFERROR(SUM($E$29:Z29)/SUM($E$3:Z3),"")</f>
        <v/>
      </c>
      <c r="AA30" s="57">
        <f>IFERROR(SUM($E$29:AA29)/SUM($E$3:AA3),"")</f>
        <v/>
      </c>
      <c r="AB30" s="57">
        <f>IFERROR(SUM($E$29:AB29)/SUM($E$3:AB3),"")</f>
        <v/>
      </c>
      <c r="AC30" s="57">
        <f>IFERROR(SUM($E$29:AC29)/SUM($E$3:AC3),"")</f>
        <v/>
      </c>
      <c r="AD30" s="57">
        <f>IFERROR(SUM($E$29:AD29)/SUM($E$3:AD3),"")</f>
        <v/>
      </c>
      <c r="AE30" s="57">
        <f>IFERROR(SUM($E$29:AE29)/SUM($E$3:AE3),"")</f>
        <v/>
      </c>
      <c r="AF30" s="57" t="n"/>
      <c r="AG30" s="57" t="n"/>
      <c r="AH30" s="57" t="n"/>
      <c r="AI30" s="57" t="n"/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</row>
    <row r="31" ht="15.75" customFormat="1" customHeight="1" s="7">
      <c r="B31" s="7" t="inlineStr">
        <is>
          <t>% of Target</t>
        </is>
      </c>
      <c r="D31" s="8" t="inlineStr">
        <is>
          <t>%</t>
        </is>
      </c>
      <c r="E31" s="54">
        <f>IFERROR(E29/E33,"")</f>
        <v/>
      </c>
      <c r="F31" s="54">
        <f>IFERROR(F29/F33,"")</f>
        <v/>
      </c>
      <c r="G31" s="54">
        <f>IFERROR(G29/G33,"")</f>
        <v/>
      </c>
      <c r="H31" s="54">
        <f>IFERROR(H29/H33,"")</f>
        <v/>
      </c>
      <c r="I31" s="54">
        <f>IFERROR(I29/I33,"")</f>
        <v/>
      </c>
      <c r="J31" s="54">
        <f>IFERROR(J29/J33,"")</f>
        <v/>
      </c>
      <c r="K31" s="54">
        <f>IFERROR(K29/K33,"")</f>
        <v/>
      </c>
      <c r="L31" s="54">
        <f>IFERROR(L29/L33,"")</f>
        <v/>
      </c>
      <c r="M31" s="54">
        <f>IFERROR(M29/M33,"")</f>
        <v/>
      </c>
      <c r="N31" s="54">
        <f>IFERROR(N29/N33,"")</f>
        <v/>
      </c>
      <c r="O31" s="54">
        <f>IFERROR(O29/O33,"")</f>
        <v/>
      </c>
      <c r="P31" s="54">
        <f>IFERROR(P29/P33,"")</f>
        <v/>
      </c>
      <c r="Q31" s="54">
        <f>IFERROR(Q29/Q33,"")</f>
        <v/>
      </c>
      <c r="R31" s="54">
        <f>IFERROR(R29/R33,"")</f>
        <v/>
      </c>
      <c r="S31" s="54">
        <f>IFERROR(S29/S33,"")</f>
        <v/>
      </c>
      <c r="T31" s="54">
        <f>IFERROR(T29/T33,"")</f>
        <v/>
      </c>
      <c r="U31" s="54">
        <f>IFERROR(U29/U33,"")</f>
        <v/>
      </c>
      <c r="V31" s="54">
        <f>IFERROR(V29/V33,"")</f>
        <v/>
      </c>
      <c r="W31" s="54">
        <f>IFERROR(W29/W33,"")</f>
        <v/>
      </c>
      <c r="X31" s="54">
        <f>IFERROR(X29/X33,"")</f>
        <v/>
      </c>
      <c r="Y31" s="54">
        <f>IFERROR(Y29/Y33,"")</f>
        <v/>
      </c>
      <c r="Z31" s="54">
        <f>IFERROR(Z29/Z33,"")</f>
        <v/>
      </c>
      <c r="AA31" s="54">
        <f>IFERROR(AA29/AA33,"")</f>
        <v/>
      </c>
      <c r="AB31" s="54">
        <f>IFERROR(AB29/AB33,"")</f>
        <v/>
      </c>
      <c r="AC31" s="54">
        <f>IFERROR(AC29/AC33,"")</f>
        <v/>
      </c>
      <c r="AD31" s="54">
        <f>IFERROR(AD29/AD33,"")</f>
        <v/>
      </c>
      <c r="AE31" s="54">
        <f>IFERROR(AE29/AE33,"")</f>
        <v/>
      </c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</row>
    <row r="32" ht="15.75" customFormat="1" customHeight="1" s="7">
      <c r="B32" s="7" t="inlineStr">
        <is>
          <t>% of Target - YTD</t>
        </is>
      </c>
      <c r="D32" s="8" t="inlineStr">
        <is>
          <t>%</t>
        </is>
      </c>
      <c r="E32" s="54">
        <f>IFERROR(SUM($E$29:E29)/SUM($E$33:E33),"")</f>
        <v/>
      </c>
      <c r="F32" s="54">
        <f>IFERROR(SUM($E$29:F29)/SUM($E$33:F33),"")</f>
        <v/>
      </c>
      <c r="G32" s="54">
        <f>IFERROR(SUM($E$29:G29)/SUM($E$33:G33),"")</f>
        <v/>
      </c>
      <c r="H32" s="54">
        <f>IFERROR(SUM($E$29:H29)/SUM($E$33:H33),"")</f>
        <v/>
      </c>
      <c r="I32" s="54">
        <f>IFERROR(SUM($E$29:I29)/SUM($E$33:I33),"")</f>
        <v/>
      </c>
      <c r="J32" s="54">
        <f>IFERROR(SUM($E$29:J29)/SUM($E$33:J33),"")</f>
        <v/>
      </c>
      <c r="K32" s="54">
        <f>IFERROR(SUM($E$29:K29)/SUM($E$33:K33),"")</f>
        <v/>
      </c>
      <c r="L32" s="54">
        <f>IFERROR(SUM($E$29:L29)/SUM($E$33:L33),"")</f>
        <v/>
      </c>
      <c r="M32" s="54">
        <f>IFERROR(SUM($E$29:M29)/SUM($E$33:M33),"")</f>
        <v/>
      </c>
      <c r="N32" s="54">
        <f>IFERROR(SUM($E$29:N29)/SUM($E$33:N33),"")</f>
        <v/>
      </c>
      <c r="O32" s="54">
        <f>IFERROR(SUM($E$29:O29)/SUM($E$33:O33),"")</f>
        <v/>
      </c>
      <c r="P32" s="54">
        <f>IFERROR(SUM($E$29:P29)/SUM($E$33:P33),"")</f>
        <v/>
      </c>
      <c r="Q32" s="54">
        <f>IFERROR(SUM($E$29:Q29)/SUM($E$33:Q33),"")</f>
        <v/>
      </c>
      <c r="R32" s="54">
        <f>IFERROR(SUM($E$29:R29)/SUM($E$33:R33),"")</f>
        <v/>
      </c>
      <c r="S32" s="54">
        <f>IFERROR(SUM($E$29:S29)/SUM($E$33:S33),"")</f>
        <v/>
      </c>
      <c r="T32" s="54">
        <f>IFERROR(SUM($E$29:T29)/SUM($E$33:T33),"")</f>
        <v/>
      </c>
      <c r="U32" s="54">
        <f>IFERROR(SUM($E$29:U29)/SUM($E$33:U33),"")</f>
        <v/>
      </c>
      <c r="V32" s="54">
        <f>IFERROR(SUM($E$29:V29)/SUM($E$33:V33),"")</f>
        <v/>
      </c>
      <c r="W32" s="54">
        <f>IFERROR(SUM($E$29:W29)/SUM($E$33:W33),"")</f>
        <v/>
      </c>
      <c r="X32" s="54">
        <f>IFERROR(SUM($E$29:X29)/SUM($E$33:X33),"")</f>
        <v/>
      </c>
      <c r="Y32" s="54">
        <f>IFERROR(SUM($E$29:Y29)/SUM($E$33:Y33),"")</f>
        <v/>
      </c>
      <c r="Z32" s="54">
        <f>IFERROR(SUM($E$29:Z29)/SUM($E$33:Z33),"")</f>
        <v/>
      </c>
      <c r="AA32" s="54">
        <f>IFERROR(SUM($E$29:AA29)/SUM($E$33:AA33),"")</f>
        <v/>
      </c>
      <c r="AB32" s="54">
        <f>IFERROR(SUM($E$29:AB29)/SUM($E$33:AB33),"")</f>
        <v/>
      </c>
      <c r="AC32" s="54">
        <f>IFERROR(SUM($E$29:AC29)/SUM($E$33:AC33),"")</f>
        <v/>
      </c>
      <c r="AD32" s="54">
        <f>IFERROR(SUM($E$29:AD29)/SUM($E$33:AD33),"")</f>
        <v/>
      </c>
      <c r="AE32" s="54">
        <f>IFERROR(SUM($E$29:AE29)/SUM($E$33:AE33),"")</f>
        <v/>
      </c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</row>
    <row r="33" ht="15.75" customFormat="1" customHeight="1" s="9">
      <c r="A33" s="50">
        <f>SUM(E33:BE33)</f>
        <v/>
      </c>
      <c r="B33" s="9" t="inlineStr">
        <is>
          <t>Target</t>
        </is>
      </c>
      <c r="D33" s="10" t="inlineStr">
        <is>
          <t>$k</t>
        </is>
      </c>
      <c r="E33" s="55" t="n">
        <v>455.453798768</v>
      </c>
      <c r="F33" s="55" t="n">
        <v>797.044147844</v>
      </c>
      <c r="G33" s="55" t="n">
        <v>797.044147844</v>
      </c>
      <c r="H33" s="55" t="n">
        <v>797.044147844</v>
      </c>
      <c r="I33" s="55" t="n">
        <v>862.6127626839999</v>
      </c>
      <c r="J33" s="55" t="n">
        <v>1256.0345</v>
      </c>
      <c r="K33" s="55" t="n">
        <v>1256.0345</v>
      </c>
      <c r="L33" s="55" t="n">
        <v>1256.0345</v>
      </c>
      <c r="M33" s="55" t="n">
        <v>1226.77500609</v>
      </c>
      <c r="N33" s="55" t="n">
        <v>1051.207994354</v>
      </c>
      <c r="O33" s="55" t="n">
        <v>1051.207994354</v>
      </c>
      <c r="P33" s="55" t="n">
        <v>1051.207994354</v>
      </c>
      <c r="Q33" s="55" t="n">
        <v>1051.207994354</v>
      </c>
      <c r="R33" s="55" t="n">
        <v>1004.767383419</v>
      </c>
      <c r="S33" s="55" t="n">
        <v>986.1877578249999</v>
      </c>
      <c r="T33" s="55" t="n">
        <v>986.1877578249999</v>
      </c>
      <c r="U33" s="55" t="n">
        <v>986.1877578249999</v>
      </c>
      <c r="V33" s="55" t="n">
        <v>1123.787621189</v>
      </c>
      <c r="W33" s="55" t="n">
        <v>1307.255514516</v>
      </c>
      <c r="X33" s="55" t="n">
        <v>1307.255514516</v>
      </c>
      <c r="Y33" s="55" t="n">
        <v>1307.255514516</v>
      </c>
      <c r="Z33" s="55" t="n">
        <v>1307.255514516</v>
      </c>
      <c r="AA33" s="55" t="n">
        <v>2523.950927684</v>
      </c>
      <c r="AB33" s="55" t="n">
        <v>2523.950927684</v>
      </c>
      <c r="AC33" s="55" t="n">
        <v>2523.950927684</v>
      </c>
      <c r="AD33" s="55" t="n">
        <v>2523.950927684</v>
      </c>
      <c r="AE33" s="55" t="n">
        <v>1441.264290116</v>
      </c>
      <c r="AF33" s="55" t="n">
        <v>1008.18314492</v>
      </c>
      <c r="AG33" s="55" t="n">
        <v>1008.18314492</v>
      </c>
      <c r="AH33" s="55" t="n">
        <v>1008.18314492</v>
      </c>
      <c r="AI33" s="55" t="n">
        <v>999.350710972</v>
      </c>
      <c r="AJ33" s="55" t="n">
        <v>977.269626102</v>
      </c>
      <c r="AK33" s="55" t="n">
        <v>977.269626102</v>
      </c>
      <c r="AL33" s="55" t="n">
        <v>977.269626102</v>
      </c>
      <c r="AM33" s="55" t="n">
        <v>977.269626102</v>
      </c>
      <c r="AN33" s="55" t="n">
        <v>1507.872146586</v>
      </c>
      <c r="AO33" s="55" t="n">
        <v>1596.303619563</v>
      </c>
      <c r="AP33" s="55" t="n">
        <v>1596.303619563</v>
      </c>
      <c r="AQ33" s="55" t="n">
        <v>1596.303619563</v>
      </c>
      <c r="AR33" s="55" t="n">
        <v>2577.96021556</v>
      </c>
      <c r="AS33" s="55" t="n">
        <v>3314.20095223</v>
      </c>
      <c r="AT33" s="55" t="n">
        <v>3314.20095223</v>
      </c>
      <c r="AU33" s="55" t="n">
        <v>3314.20095223</v>
      </c>
      <c r="AV33" s="55" t="n">
        <v>3267.117709557</v>
      </c>
      <c r="AW33" s="55" t="n">
        <v>2984.643836217</v>
      </c>
      <c r="AX33" s="55" t="n">
        <v>2984.643836217</v>
      </c>
      <c r="AY33" s="55" t="n">
        <v>2984.643836217</v>
      </c>
      <c r="AZ33" s="55" t="n">
        <v>2984.643836217</v>
      </c>
      <c r="BA33" s="55" t="n">
        <v>1290.103082949</v>
      </c>
      <c r="BB33" s="55" t="n">
        <v>1007.683887854</v>
      </c>
      <c r="BC33" s="55" t="n">
        <v>1007.683887854</v>
      </c>
      <c r="BD33" s="55" t="n">
        <v>1007.683887854</v>
      </c>
      <c r="BE33" s="55" t="n">
        <v>575.819364488</v>
      </c>
    </row>
    <row r="34" ht="15.75" customHeight="1"/>
    <row r="35" ht="15.75" customHeight="1">
      <c r="A35" s="1" t="inlineStr">
        <is>
          <t xml:space="preserve">Sell-through units </t>
        </is>
      </c>
      <c r="D35" s="23" t="inlineStr">
        <is>
          <t>#</t>
        </is>
      </c>
      <c r="E35" s="53" t="n">
        <v>34858</v>
      </c>
      <c r="F35" s="53" t="n">
        <v>37220</v>
      </c>
      <c r="G35" s="53" t="n">
        <v>39813</v>
      </c>
      <c r="H35" s="53" t="n">
        <v>35886</v>
      </c>
      <c r="I35" s="53" t="n">
        <v>32741</v>
      </c>
      <c r="J35" s="53" t="n">
        <v>36540</v>
      </c>
      <c r="K35" s="53" t="n">
        <v>37823</v>
      </c>
      <c r="L35" s="53" t="n">
        <v>41180</v>
      </c>
      <c r="M35" s="53" t="n">
        <v>38691</v>
      </c>
      <c r="N35" s="53" t="n">
        <v>38110</v>
      </c>
      <c r="O35" s="53" t="n">
        <v>37873</v>
      </c>
      <c r="P35" s="53" t="n">
        <v>35396</v>
      </c>
      <c r="Q35" s="53" t="n">
        <v>45167</v>
      </c>
      <c r="R35" s="53" t="n">
        <v>43794</v>
      </c>
      <c r="S35" s="53" t="n">
        <v>40363</v>
      </c>
      <c r="T35" s="53" t="n">
        <v>45034</v>
      </c>
      <c r="U35" s="53" t="n">
        <v>32833</v>
      </c>
      <c r="V35" s="53" t="n">
        <v>30719</v>
      </c>
      <c r="W35" s="53" t="n">
        <v>33824</v>
      </c>
      <c r="X35" s="53" t="n">
        <v>35388</v>
      </c>
      <c r="Y35" s="53" t="n">
        <v>41024</v>
      </c>
      <c r="Z35" s="53" t="n">
        <v>38112</v>
      </c>
      <c r="AA35" s="53" t="n">
        <v>38195</v>
      </c>
      <c r="AB35" s="53" t="n">
        <v>38868</v>
      </c>
      <c r="AC35" s="53" t="n">
        <v>55203</v>
      </c>
      <c r="AD35" s="53" t="n">
        <v>109522</v>
      </c>
      <c r="AE35" s="53" t="n">
        <v>35011</v>
      </c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</row>
    <row r="36" ht="15.75" customFormat="1" customHeight="1" s="4">
      <c r="A36" s="3" t="n"/>
      <c r="B36" s="4" t="inlineStr">
        <is>
          <t>% of Total - YTD</t>
        </is>
      </c>
      <c r="D36" s="32" t="inlineStr">
        <is>
          <t>%</t>
        </is>
      </c>
      <c r="E36" s="57">
        <f>IFERROR(SUM($E$35:E35)/SUM($E$4:E4),"")</f>
        <v/>
      </c>
      <c r="F36" s="57">
        <f>IFERROR(SUM($E$35:F35)/SUM($E$4:F4),"")</f>
        <v/>
      </c>
      <c r="G36" s="57">
        <f>IFERROR(SUM($E$35:G35)/SUM($E$4:G4),"")</f>
        <v/>
      </c>
      <c r="H36" s="57">
        <f>IFERROR(SUM($E$35:H35)/SUM($E$4:H4),"")</f>
        <v/>
      </c>
      <c r="I36" s="57">
        <f>IFERROR(SUM($E$35:I35)/SUM($E$4:I4),"")</f>
        <v/>
      </c>
      <c r="J36" s="57">
        <f>IFERROR(SUM($E$35:J35)/SUM($E$4:J4),"")</f>
        <v/>
      </c>
      <c r="K36" s="57">
        <f>IFERROR(SUM($E$35:K35)/SUM($E$4:K4),"")</f>
        <v/>
      </c>
      <c r="L36" s="57">
        <f>IFERROR(SUM($E$35:L35)/SUM($E$4:L4),"")</f>
        <v/>
      </c>
      <c r="M36" s="57">
        <f>IFERROR(SUM($E$35:M35)/SUM($E$4:M4),"")</f>
        <v/>
      </c>
      <c r="N36" s="57">
        <f>IFERROR(SUM($E$35:N35)/SUM($E$4:N4),"")</f>
        <v/>
      </c>
      <c r="O36" s="57">
        <f>IFERROR(SUM($E$35:O35)/SUM($E$4:O4),"")</f>
        <v/>
      </c>
      <c r="P36" s="57">
        <f>IFERROR(SUM($E$35:P35)/SUM($E$4:P4),"")</f>
        <v/>
      </c>
      <c r="Q36" s="57">
        <f>IFERROR(SUM($E$35:Q35)/SUM($E$4:Q4),"")</f>
        <v/>
      </c>
      <c r="R36" s="57">
        <f>IFERROR(SUM($E$35:R35)/SUM($E$4:R4),"")</f>
        <v/>
      </c>
      <c r="S36" s="57">
        <f>IFERROR(SUM($E$35:S35)/SUM($E$4:S4),"")</f>
        <v/>
      </c>
      <c r="T36" s="57">
        <f>IFERROR(SUM($E$35:T35)/SUM($E$4:T4),"")</f>
        <v/>
      </c>
      <c r="U36" s="57">
        <f>IFERROR(SUM($E$35:U35)/SUM($E$4:U4),"")</f>
        <v/>
      </c>
      <c r="V36" s="57">
        <f>IFERROR(SUM($E$35:V35)/SUM($E$4:V4),"")</f>
        <v/>
      </c>
      <c r="W36" s="57">
        <f>IFERROR(SUM($E$35:W35)/SUM($E$4:W4),"")</f>
        <v/>
      </c>
      <c r="X36" s="57">
        <f>IFERROR(SUM($E$35:X35)/SUM($E$4:X4),"")</f>
        <v/>
      </c>
      <c r="Y36" s="57">
        <f>IFERROR(SUM($E$35:Y35)/SUM($E$4:Y4),"")</f>
        <v/>
      </c>
      <c r="Z36" s="57">
        <f>IFERROR(SUM($E$35:Z35)/SUM($E$4:Z4),"")</f>
        <v/>
      </c>
      <c r="AA36" s="57">
        <f>IFERROR(SUM($E$35:AA35)/SUM($E$4:AA4),"")</f>
        <v/>
      </c>
      <c r="AB36" s="57">
        <f>IFERROR(SUM($E$35:AB35)/SUM($E$4:AB4),"")</f>
        <v/>
      </c>
      <c r="AC36" s="57">
        <f>IFERROR(SUM($E$35:AC35)/SUM($E$4:AC4),"")</f>
        <v/>
      </c>
      <c r="AD36" s="57">
        <f>IFERROR(SUM($E$35:AD35)/SUM($E$4:AD4),"")</f>
        <v/>
      </c>
      <c r="AE36" s="57">
        <f>IFERROR(SUM($E$35:AE35)/SUM($E$4:AE4),"")</f>
        <v/>
      </c>
      <c r="AF36" s="57" t="n"/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</row>
    <row r="37" ht="15.75" customFormat="1" customHeight="1" s="15">
      <c r="A37" s="14" t="n"/>
      <c r="B37" s="15" t="inlineStr">
        <is>
          <t>% of Target</t>
        </is>
      </c>
      <c r="D37" s="16" t="inlineStr">
        <is>
          <t>%</t>
        </is>
      </c>
      <c r="E37" s="54">
        <f>IFERROR(E35/E39,"")</f>
        <v/>
      </c>
      <c r="F37" s="54">
        <f>IFERROR(F35/F39,"")</f>
        <v/>
      </c>
      <c r="G37" s="54">
        <f>IFERROR(G35/G39,"")</f>
        <v/>
      </c>
      <c r="H37" s="54">
        <f>IFERROR(H35/H39,"")</f>
        <v/>
      </c>
      <c r="I37" s="54">
        <f>IFERROR(I35/I39,"")</f>
        <v/>
      </c>
      <c r="J37" s="54">
        <f>IFERROR(J35/J39,"")</f>
        <v/>
      </c>
      <c r="K37" s="54">
        <f>IFERROR(K35/K39,"")</f>
        <v/>
      </c>
      <c r="L37" s="54">
        <f>IFERROR(L35/L39,"")</f>
        <v/>
      </c>
      <c r="M37" s="54">
        <f>IFERROR(M35/M39,"")</f>
        <v/>
      </c>
      <c r="N37" s="54">
        <f>IFERROR(N35/N39,"")</f>
        <v/>
      </c>
      <c r="O37" s="54">
        <f>IFERROR(O35/O39,"")</f>
        <v/>
      </c>
      <c r="P37" s="54">
        <f>IFERROR(P35/P39,"")</f>
        <v/>
      </c>
      <c r="Q37" s="54">
        <f>IFERROR(Q35/Q39,"")</f>
        <v/>
      </c>
      <c r="R37" s="54">
        <f>IFERROR(R35/R39,"")</f>
        <v/>
      </c>
      <c r="S37" s="54">
        <f>IFERROR(S35/S39,"")</f>
        <v/>
      </c>
      <c r="T37" s="54">
        <f>IFERROR(T35/T39,"")</f>
        <v/>
      </c>
      <c r="U37" s="54">
        <f>IFERROR(U35/U39,"")</f>
        <v/>
      </c>
      <c r="V37" s="54">
        <f>IFERROR(V35/V39,"")</f>
        <v/>
      </c>
      <c r="W37" s="54">
        <f>IFERROR(W35/W39,"")</f>
        <v/>
      </c>
      <c r="X37" s="54">
        <f>IFERROR(X35/X39,"")</f>
        <v/>
      </c>
      <c r="Y37" s="54">
        <f>IFERROR(Y35/Y39,"")</f>
        <v/>
      </c>
      <c r="Z37" s="54">
        <f>IFERROR(Z35/Z39,"")</f>
        <v/>
      </c>
      <c r="AA37" s="54">
        <f>IFERROR(AA35/AA39,"")</f>
        <v/>
      </c>
      <c r="AB37" s="54">
        <f>IFERROR(AB35/AB39,"")</f>
        <v/>
      </c>
      <c r="AC37" s="54">
        <f>IFERROR(AC35/AC39,"")</f>
        <v/>
      </c>
      <c r="AD37" s="54">
        <f>IFERROR(AD35/AD39,"")</f>
        <v/>
      </c>
      <c r="AE37" s="54">
        <f>IFERROR(AE35/AE39,"")</f>
        <v/>
      </c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</row>
    <row r="38" ht="15.75" customFormat="1" customHeight="1" s="15">
      <c r="A38" s="14" t="n"/>
      <c r="B38" s="7" t="inlineStr">
        <is>
          <t>% of Target - YTD</t>
        </is>
      </c>
      <c r="D38" s="16" t="inlineStr">
        <is>
          <t>%</t>
        </is>
      </c>
      <c r="E38" s="54">
        <f>IFERROR(SUM($E$35:E35)/SUM($E$39:E39),"")</f>
        <v/>
      </c>
      <c r="F38" s="54">
        <f>IFERROR(SUM($E$35:F35)/SUM($E$39:F39),"")</f>
        <v/>
      </c>
      <c r="G38" s="54">
        <f>IFERROR(SUM($E$35:G35)/SUM($E$39:G39),"")</f>
        <v/>
      </c>
      <c r="H38" s="54">
        <f>IFERROR(SUM($E$35:H35)/SUM($E$39:H39),"")</f>
        <v/>
      </c>
      <c r="I38" s="54">
        <f>IFERROR(SUM($E$35:I35)/SUM($E$39:I39),"")</f>
        <v/>
      </c>
      <c r="J38" s="54">
        <f>IFERROR(SUM($E$35:J35)/SUM($E$39:J39),"")</f>
        <v/>
      </c>
      <c r="K38" s="54">
        <f>IFERROR(SUM($E$35:K35)/SUM($E$39:K39),"")</f>
        <v/>
      </c>
      <c r="L38" s="54">
        <f>IFERROR(SUM($E$35:L35)/SUM($E$39:L39),"")</f>
        <v/>
      </c>
      <c r="M38" s="54">
        <f>IFERROR(SUM($E$35:M35)/SUM($E$39:M39),"")</f>
        <v/>
      </c>
      <c r="N38" s="54">
        <f>IFERROR(SUM($E$35:N35)/SUM($E$39:N39),"")</f>
        <v/>
      </c>
      <c r="O38" s="54">
        <f>IFERROR(SUM($E$35:O35)/SUM($E$39:O39),"")</f>
        <v/>
      </c>
      <c r="P38" s="54">
        <f>IFERROR(SUM($E$35:P35)/SUM($E$39:P39),"")</f>
        <v/>
      </c>
      <c r="Q38" s="54">
        <f>IFERROR(SUM($E$35:Q35)/SUM($E$39:Q39),"")</f>
        <v/>
      </c>
      <c r="R38" s="54">
        <f>IFERROR(SUM($E$35:R35)/SUM($E$39:R39),"")</f>
        <v/>
      </c>
      <c r="S38" s="54">
        <f>IFERROR(SUM($E$35:S35)/SUM($E$39:S39),"")</f>
        <v/>
      </c>
      <c r="T38" s="54">
        <f>IFERROR(SUM($E$35:T35)/SUM($E$39:T39),"")</f>
        <v/>
      </c>
      <c r="U38" s="54">
        <f>IFERROR(SUM($E$35:U35)/SUM($E$39:U39),"")</f>
        <v/>
      </c>
      <c r="V38" s="54">
        <f>IFERROR(SUM($E$35:V35)/SUM($E$39:V39),"")</f>
        <v/>
      </c>
      <c r="W38" s="54">
        <f>IFERROR(SUM($E$35:W35)/SUM($E$39:W39),"")</f>
        <v/>
      </c>
      <c r="X38" s="54">
        <f>IFERROR(SUM($E$35:X35)/SUM($E$39:X39),"")</f>
        <v/>
      </c>
      <c r="Y38" s="54">
        <f>IFERROR(SUM($E$35:Y35)/SUM($E$39:Y39),"")</f>
        <v/>
      </c>
      <c r="Z38" s="54">
        <f>IFERROR(SUM($E$35:Z35)/SUM($E$39:Z39),"")</f>
        <v/>
      </c>
      <c r="AA38" s="54">
        <f>IFERROR(SUM($E$35:AA35)/SUM($E$39:AA39),"")</f>
        <v/>
      </c>
      <c r="AB38" s="54">
        <f>IFERROR(SUM($E$35:AB35)/SUM($E$39:AB39),"")</f>
        <v/>
      </c>
      <c r="AC38" s="54">
        <f>IFERROR(SUM($E$35:AC35)/SUM($E$39:AC39),"")</f>
        <v/>
      </c>
      <c r="AD38" s="54">
        <f>IFERROR(SUM($E$35:AD35)/SUM($E$39:AD39),"")</f>
        <v/>
      </c>
      <c r="AE38" s="54">
        <f>IFERROR(SUM($E$35:AE35)/SUM($E$39:AE39),"")</f>
        <v/>
      </c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</row>
    <row r="39" ht="15.75" customFormat="1" customHeight="1" s="12">
      <c r="A39" s="50">
        <f>SUM(E39:BE39)</f>
        <v/>
      </c>
      <c r="B39" s="12" t="inlineStr">
        <is>
          <t>Target</t>
        </is>
      </c>
      <c r="D39" s="13" t="inlineStr">
        <is>
          <t>#</t>
        </is>
      </c>
      <c r="E39" s="55" t="n">
        <v>34858</v>
      </c>
      <c r="F39" s="55" t="n">
        <v>20086</v>
      </c>
      <c r="G39" s="55" t="n">
        <v>20091</v>
      </c>
      <c r="H39" s="55" t="n">
        <v>20091</v>
      </c>
      <c r="I39" s="55" t="n">
        <v>20280</v>
      </c>
      <c r="J39" s="55" t="n">
        <v>22514</v>
      </c>
      <c r="K39" s="55" t="n">
        <v>22598</v>
      </c>
      <c r="L39" s="55" t="n">
        <v>22593</v>
      </c>
      <c r="M39" s="55" t="n">
        <v>22941</v>
      </c>
      <c r="N39" s="55" t="n">
        <v>18220</v>
      </c>
      <c r="O39" s="55" t="n">
        <v>18226</v>
      </c>
      <c r="P39" s="55" t="n">
        <v>18224</v>
      </c>
      <c r="Q39" s="55" t="n">
        <v>45832</v>
      </c>
      <c r="R39" s="55" t="n">
        <v>18227</v>
      </c>
      <c r="S39" s="55" t="n">
        <v>18185</v>
      </c>
      <c r="T39" s="55" t="n">
        <v>49571</v>
      </c>
      <c r="U39" s="55" t="n">
        <v>18812</v>
      </c>
      <c r="V39" s="55" t="n">
        <v>19241</v>
      </c>
      <c r="W39" s="55" t="n">
        <v>21500</v>
      </c>
      <c r="X39" s="55" t="n">
        <v>21067</v>
      </c>
      <c r="Y39" s="55" t="n">
        <v>42386</v>
      </c>
      <c r="Z39" s="55" t="n">
        <v>21298</v>
      </c>
      <c r="AA39" s="55" t="n">
        <v>21324</v>
      </c>
      <c r="AB39" s="55" t="n">
        <v>20503</v>
      </c>
      <c r="AC39" s="55" t="n">
        <v>41082</v>
      </c>
      <c r="AD39" s="55" t="n">
        <v>21636</v>
      </c>
      <c r="AE39" s="55" t="n">
        <v>77569</v>
      </c>
      <c r="AF39" s="55" t="n">
        <v>128035</v>
      </c>
      <c r="AG39" s="55" t="n">
        <v>24868</v>
      </c>
      <c r="AH39" s="55" t="n">
        <v>25898</v>
      </c>
      <c r="AI39" s="55" t="n">
        <v>27760</v>
      </c>
      <c r="AJ39" s="55" t="n">
        <v>20623</v>
      </c>
      <c r="AK39" s="55" t="n">
        <v>21438</v>
      </c>
      <c r="AL39" s="55" t="n">
        <v>21436</v>
      </c>
      <c r="AM39" s="55" t="n">
        <v>21821</v>
      </c>
      <c r="AN39" s="55" t="n">
        <v>39532</v>
      </c>
      <c r="AO39" s="55" t="n">
        <v>23093</v>
      </c>
      <c r="AP39" s="55" t="n">
        <v>23291</v>
      </c>
      <c r="AQ39" s="55" t="n">
        <v>23471</v>
      </c>
      <c r="AR39" s="55" t="n">
        <v>24469</v>
      </c>
      <c r="AS39" s="55" t="n">
        <v>75841</v>
      </c>
      <c r="AT39" s="55" t="n">
        <v>25838</v>
      </c>
      <c r="AU39" s="55" t="n">
        <v>27179</v>
      </c>
      <c r="AV39" s="55" t="n">
        <v>25839</v>
      </c>
      <c r="AW39" s="55" t="n">
        <v>27307</v>
      </c>
      <c r="AX39" s="55" t="n">
        <v>27531</v>
      </c>
      <c r="AY39" s="55" t="n">
        <v>27527</v>
      </c>
      <c r="AZ39" s="55" t="n">
        <v>231417</v>
      </c>
      <c r="BA39" s="55" t="n">
        <v>28369</v>
      </c>
      <c r="BB39" s="55" t="n">
        <v>191115</v>
      </c>
      <c r="BC39" s="55" t="n">
        <v>29052</v>
      </c>
      <c r="BD39" s="55" t="n">
        <v>28384</v>
      </c>
      <c r="BE39" s="55" t="n"/>
    </row>
    <row r="40" ht="15.75" customHeight="1">
      <c r="B40" t="inlineStr">
        <is>
          <t>Actual  breakdown</t>
        </is>
      </c>
      <c r="C40" s="11" t="inlineStr">
        <is>
          <t xml:space="preserve">Cam </t>
        </is>
      </c>
      <c r="D40" s="6" t="inlineStr">
        <is>
          <t>#</t>
        </is>
      </c>
      <c r="E40" s="52" t="n">
        <v>25147</v>
      </c>
      <c r="F40" s="52" t="n">
        <v>27642</v>
      </c>
      <c r="G40" s="52" t="n">
        <v>28704</v>
      </c>
      <c r="H40" s="52" t="n">
        <v>26213</v>
      </c>
      <c r="I40" s="52" t="n">
        <v>25390</v>
      </c>
      <c r="J40" s="52" t="n">
        <v>29406</v>
      </c>
      <c r="K40" s="52" t="n">
        <v>30384</v>
      </c>
      <c r="L40" s="52" t="n">
        <v>34306</v>
      </c>
      <c r="M40" s="52" t="n">
        <v>32680</v>
      </c>
      <c r="N40" s="52" t="n">
        <v>32474</v>
      </c>
      <c r="O40" s="52" t="n">
        <v>31668</v>
      </c>
      <c r="P40" s="52" t="n">
        <v>29566</v>
      </c>
      <c r="Q40" s="52" t="n">
        <v>39186</v>
      </c>
      <c r="R40" s="52" t="n">
        <v>37731</v>
      </c>
      <c r="S40" s="52" t="n">
        <v>33786</v>
      </c>
      <c r="T40" s="52" t="n">
        <v>38465</v>
      </c>
      <c r="U40" s="52" t="n">
        <v>28103</v>
      </c>
      <c r="V40" s="52" t="n">
        <v>26032</v>
      </c>
      <c r="W40" s="52" t="n">
        <v>28000</v>
      </c>
      <c r="X40" s="52" t="n">
        <v>29313</v>
      </c>
      <c r="Y40" s="52" t="n">
        <v>34220</v>
      </c>
      <c r="Z40" s="52" t="n">
        <v>31661</v>
      </c>
      <c r="AA40" s="52" t="n">
        <v>32158</v>
      </c>
      <c r="AB40" s="52" t="n">
        <v>33448</v>
      </c>
      <c r="AC40" s="52" t="n">
        <v>48378</v>
      </c>
      <c r="AD40" s="52" t="n">
        <v>99051</v>
      </c>
      <c r="AE40" s="52" t="n">
        <v>29868</v>
      </c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</row>
    <row r="41" ht="15.75" customHeight="1">
      <c r="C41" s="11" t="inlineStr">
        <is>
          <t>Non Cam</t>
        </is>
      </c>
      <c r="D41" s="6" t="inlineStr">
        <is>
          <t>#</t>
        </is>
      </c>
      <c r="E41" s="52" t="n">
        <v>9711</v>
      </c>
      <c r="F41" s="52" t="n">
        <v>9578</v>
      </c>
      <c r="G41" s="52" t="n">
        <v>11109</v>
      </c>
      <c r="H41" s="52" t="n">
        <v>9673</v>
      </c>
      <c r="I41" s="52" t="n">
        <v>7351</v>
      </c>
      <c r="J41" s="52" t="n">
        <v>7134</v>
      </c>
      <c r="K41" s="52" t="n">
        <v>7439</v>
      </c>
      <c r="L41" s="52" t="n">
        <v>6874</v>
      </c>
      <c r="M41" s="52" t="n">
        <v>6011</v>
      </c>
      <c r="N41" s="52" t="n">
        <v>5636</v>
      </c>
      <c r="O41" s="52" t="n">
        <v>6205</v>
      </c>
      <c r="P41" s="52" t="n">
        <v>5830</v>
      </c>
      <c r="Q41" s="52" t="n">
        <v>5981</v>
      </c>
      <c r="R41" s="52" t="n">
        <v>6063</v>
      </c>
      <c r="S41" s="52" t="n">
        <v>6577</v>
      </c>
      <c r="T41" s="52" t="n">
        <v>6569</v>
      </c>
      <c r="U41" s="52" t="n">
        <v>4730</v>
      </c>
      <c r="V41" s="52" t="n">
        <v>4687</v>
      </c>
      <c r="W41" s="52" t="n">
        <v>5824</v>
      </c>
      <c r="X41" s="52" t="n">
        <v>6075</v>
      </c>
      <c r="Y41" s="52" t="n">
        <v>6804</v>
      </c>
      <c r="Z41" s="52" t="n">
        <v>6451</v>
      </c>
      <c r="AA41" s="52" t="n">
        <v>6037</v>
      </c>
      <c r="AB41" s="52" t="n">
        <v>5420</v>
      </c>
      <c r="AC41" s="52" t="n">
        <v>6825</v>
      </c>
      <c r="AD41" s="52" t="n">
        <v>10471</v>
      </c>
      <c r="AE41" s="52" t="n">
        <v>5143</v>
      </c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</row>
    <row r="42" ht="15.75" customHeight="1">
      <c r="C42" s="6" t="n"/>
    </row>
    <row r="43" ht="15.75" customFormat="1" customHeight="1" s="40">
      <c r="A43" s="39" t="inlineStr">
        <is>
          <t>New Customers (Ads attributed)</t>
        </is>
      </c>
      <c r="C43" s="41" t="n"/>
      <c r="D43" s="42" t="inlineStr">
        <is>
          <t># ppl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>
        <v>826</v>
      </c>
      <c r="R43" s="58" t="n">
        <v>1413</v>
      </c>
      <c r="S43" s="58" t="n">
        <v>1469</v>
      </c>
      <c r="T43" s="58" t="n">
        <v>1719</v>
      </c>
      <c r="U43" s="58" t="n">
        <v>1439</v>
      </c>
      <c r="V43" s="58" t="n">
        <v>1472</v>
      </c>
      <c r="W43" s="58" t="n">
        <v>1299</v>
      </c>
      <c r="X43" s="58" t="n">
        <v>1474</v>
      </c>
      <c r="Y43" s="58" t="n">
        <v>1960</v>
      </c>
      <c r="Z43" s="58" t="n">
        <v>1974</v>
      </c>
      <c r="AA43" s="58" t="n">
        <v>1878</v>
      </c>
      <c r="AB43" s="58" t="n">
        <v>2045</v>
      </c>
      <c r="AC43" s="58" t="n">
        <v>2630</v>
      </c>
      <c r="AD43" s="58" t="n">
        <v>4243</v>
      </c>
      <c r="AE43" s="58" t="n">
        <v>1634</v>
      </c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</row>
    <row r="44" ht="15.75" customFormat="1" customHeight="1" s="40">
      <c r="A44" s="39" t="n"/>
      <c r="B44" s="40" t="inlineStr">
        <is>
          <t>As % of sales units (ads attributed)</t>
        </is>
      </c>
      <c r="C44" s="41" t="n"/>
      <c r="D44" s="41" t="inlineStr">
        <is>
          <t>%</t>
        </is>
      </c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 ht="15.75" customFormat="1" customHeight="1" s="40">
      <c r="B45" s="43" t="inlineStr">
        <is>
          <t>% of Target</t>
        </is>
      </c>
      <c r="C45" s="41" t="n"/>
      <c r="D45" s="44" t="inlineStr">
        <is>
          <t>pp</t>
        </is>
      </c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</row>
    <row r="46" ht="15.75" customFormat="1" customHeight="1" s="40">
      <c r="B46" s="43" t="inlineStr">
        <is>
          <t>% of Target - YTD</t>
        </is>
      </c>
      <c r="C46" s="45" t="n"/>
      <c r="D46" s="44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0">
      <c r="B47" s="46" t="inlineStr">
        <is>
          <t>Target</t>
        </is>
      </c>
      <c r="C47" s="41" t="n"/>
      <c r="D47" s="47" t="inlineStr">
        <is>
          <t>%</t>
        </is>
      </c>
      <c r="E47" s="61" t="n">
        <v>0.52</v>
      </c>
      <c r="F47" s="61" t="n">
        <v>0.52</v>
      </c>
      <c r="G47" s="61" t="n">
        <v>0.52</v>
      </c>
      <c r="H47" s="61" t="n">
        <v>0.52</v>
      </c>
      <c r="I47" s="61" t="n">
        <v>0.52</v>
      </c>
      <c r="J47" s="61" t="n">
        <v>0.52</v>
      </c>
      <c r="K47" s="61" t="n">
        <v>0.52</v>
      </c>
      <c r="L47" s="61" t="n">
        <v>0.52</v>
      </c>
      <c r="M47" s="61" t="n">
        <v>0.52</v>
      </c>
      <c r="N47" s="61" t="n">
        <v>0.52</v>
      </c>
      <c r="O47" s="61" t="n">
        <v>0.52</v>
      </c>
      <c r="P47" s="61" t="n">
        <v>0.52</v>
      </c>
      <c r="Q47" s="61" t="n">
        <v>0.52</v>
      </c>
      <c r="R47" s="61" t="n">
        <v>0.52</v>
      </c>
      <c r="S47" s="61" t="n">
        <v>0.52</v>
      </c>
      <c r="T47" s="61" t="n">
        <v>0.52</v>
      </c>
      <c r="U47" s="61" t="n">
        <v>0.52</v>
      </c>
      <c r="V47" s="61" t="n">
        <v>0.52</v>
      </c>
      <c r="W47" s="61" t="n">
        <v>0.52</v>
      </c>
      <c r="X47" s="61" t="n">
        <v>0.52</v>
      </c>
      <c r="Y47" s="61" t="n">
        <v>0.52</v>
      </c>
      <c r="Z47" s="61" t="n">
        <v>0.52</v>
      </c>
      <c r="AA47" s="61" t="n">
        <v>0.52</v>
      </c>
      <c r="AB47" s="61" t="n">
        <v>0.52</v>
      </c>
      <c r="AC47" s="61" t="n">
        <v>0.52</v>
      </c>
      <c r="AD47" s="61" t="n">
        <v>0.52</v>
      </c>
      <c r="AE47" s="61" t="n">
        <v>0.52</v>
      </c>
      <c r="AF47" s="61" t="n"/>
      <c r="AG47" s="61" t="n"/>
      <c r="AH47" s="61" t="n"/>
      <c r="AI47" s="61" t="n"/>
      <c r="AJ47" s="61" t="n"/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</row>
    <row r="48" ht="15.75" customHeight="1"/>
    <row r="49" ht="15.75" customFormat="1" customHeight="1" s="1">
      <c r="A49" s="1" t="inlineStr">
        <is>
          <t xml:space="preserve">Promo </t>
        </is>
      </c>
      <c r="B49" s="1" t="inlineStr">
        <is>
          <t>Real-time tracking</t>
        </is>
      </c>
      <c r="D49" s="23" t="inlineStr">
        <is>
          <t>$k</t>
        </is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>
        <v>201.34681</v>
      </c>
      <c r="R49" s="53" t="n">
        <v>77.75161999999999</v>
      </c>
      <c r="S49" s="53" t="n">
        <v>123.677</v>
      </c>
      <c r="T49" s="53" t="n">
        <v>149.84</v>
      </c>
      <c r="U49" s="53" t="n">
        <v>11.15</v>
      </c>
      <c r="V49" s="53" t="n">
        <v>4.05</v>
      </c>
      <c r="W49" s="53" t="n">
        <v>11.05</v>
      </c>
      <c r="X49" s="53" t="n">
        <v>17.6</v>
      </c>
      <c r="Y49" s="53" t="n">
        <v>189.881</v>
      </c>
      <c r="Z49" s="53" t="n">
        <v>80.19499999999999</v>
      </c>
      <c r="AA49" s="53" t="n">
        <v>33.1</v>
      </c>
      <c r="AB49" s="53" t="n">
        <v>69.81999999999999</v>
      </c>
      <c r="AC49" s="53" t="n">
        <v>624.3846</v>
      </c>
      <c r="AD49" s="53" t="n">
        <v>1246.53094</v>
      </c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</row>
    <row r="50" ht="15.75" customFormat="1" customHeight="1" s="1">
      <c r="A50" s="48" t="n"/>
      <c r="B50" s="48" t="inlineStr">
        <is>
          <t>Finance Actuals (Monthly)</t>
        </is>
      </c>
      <c r="C50" s="48" t="n"/>
      <c r="D50" s="49" t="inlineStr">
        <is>
          <t>$k</t>
        </is>
      </c>
      <c r="E50" s="53" t="n"/>
      <c r="F50" s="53" t="n"/>
      <c r="G50" s="53" t="n"/>
      <c r="H50" s="53" t="n">
        <v>1.8234</v>
      </c>
      <c r="I50" s="53" t="n"/>
      <c r="J50" s="53" t="n"/>
      <c r="K50" s="53" t="n"/>
      <c r="L50" s="53" t="n">
        <v>42.29267</v>
      </c>
      <c r="M50" s="53" t="n"/>
      <c r="N50" s="53" t="n"/>
      <c r="O50" s="53" t="n"/>
      <c r="P50" s="53" t="n"/>
      <c r="Q50" s="53" t="n">
        <v>356.90044</v>
      </c>
      <c r="R50" s="53" t="n"/>
      <c r="S50" s="53" t="n"/>
      <c r="T50" s="53" t="n"/>
      <c r="U50" s="53" t="n">
        <v>339.88061</v>
      </c>
      <c r="V50" s="53" t="n"/>
      <c r="W50" s="53" t="n"/>
      <c r="X50" s="53" t="n"/>
      <c r="Y50" s="53" t="n"/>
      <c r="Z50" s="53" t="n">
        <v>399.10493</v>
      </c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</row>
    <row r="51" ht="15.75" customFormat="1" customHeight="1" s="9">
      <c r="A51" s="50">
        <f>SUM(E51:BE51)</f>
        <v/>
      </c>
      <c r="B51" s="9" t="inlineStr">
        <is>
          <t>Budgeted (Monthly)</t>
        </is>
      </c>
      <c r="D51" s="10" t="inlineStr">
        <is>
          <t>$k</t>
        </is>
      </c>
      <c r="E51" s="55" t="n"/>
      <c r="F51" s="55" t="n"/>
      <c r="G51" s="55" t="n"/>
      <c r="H51" s="55" t="n">
        <v>0</v>
      </c>
      <c r="I51" s="55" t="n"/>
      <c r="J51" s="55" t="n"/>
      <c r="K51" s="55" t="n"/>
      <c r="L51" s="55" t="n">
        <v>0</v>
      </c>
      <c r="M51" s="55" t="n"/>
      <c r="N51" s="55" t="n"/>
      <c r="O51" s="55" t="n"/>
      <c r="P51" s="55" t="n"/>
      <c r="Q51" s="55" t="n">
        <v>301.141</v>
      </c>
      <c r="R51" s="55" t="n"/>
      <c r="S51" s="55" t="n"/>
      <c r="T51" s="55" t="n"/>
      <c r="U51" s="55" t="n">
        <v>266.459</v>
      </c>
      <c r="V51" s="55" t="n"/>
      <c r="W51" s="55" t="n"/>
      <c r="X51" s="55" t="n"/>
      <c r="Y51" s="55" t="n"/>
      <c r="Z51" s="55" t="n">
        <v>130.269</v>
      </c>
      <c r="AA51" s="55" t="n"/>
      <c r="AB51" s="55" t="n"/>
      <c r="AC51" s="55" t="n"/>
      <c r="AD51" s="55" t="n">
        <v>373.997</v>
      </c>
      <c r="AE51" s="55" t="n"/>
      <c r="AF51" s="55" t="n"/>
      <c r="AG51" s="55" t="n"/>
      <c r="AH51" s="55" t="n">
        <v>1931.059</v>
      </c>
      <c r="AI51" s="55" t="n"/>
      <c r="AJ51" s="55" t="n"/>
      <c r="AK51" s="55" t="n"/>
      <c r="AL51" s="55" t="n"/>
      <c r="AM51" s="55" t="n">
        <v>45.196</v>
      </c>
      <c r="AN51" s="55" t="n"/>
      <c r="AO51" s="55" t="n"/>
      <c r="AP51" s="55" t="n"/>
      <c r="AQ51" s="55" t="n">
        <v>105.737</v>
      </c>
      <c r="AR51" s="55" t="n"/>
      <c r="AS51" s="55" t="n"/>
      <c r="AT51" s="55" t="n"/>
      <c r="AU51" s="55" t="n">
        <v>609.049</v>
      </c>
      <c r="AV51" s="55" t="n"/>
      <c r="AW51" s="55" t="n"/>
      <c r="AX51" s="55" t="n"/>
      <c r="AY51" s="55" t="n"/>
      <c r="AZ51" s="55" t="n">
        <v>2587.696</v>
      </c>
      <c r="BA51" s="55" t="n"/>
      <c r="BB51" s="55" t="n"/>
      <c r="BC51" s="55" t="n"/>
      <c r="BD51" s="55" t="n">
        <v>2051.057</v>
      </c>
      <c r="BE51" s="55" t="n"/>
    </row>
    <row r="52" ht="15.75" customHeight="1">
      <c r="B52" s="7" t="inlineStr">
        <is>
          <t>As % of budget - this month</t>
        </is>
      </c>
      <c r="D52" s="16" t="inlineStr">
        <is>
          <t>%</t>
        </is>
      </c>
      <c r="E52" s="54" t="n"/>
      <c r="F52" s="54" t="n"/>
      <c r="G52" s="54" t="n"/>
      <c r="H52" s="54">
        <f>IFERROR(SUM(E50:H50)/H51,"")</f>
        <v/>
      </c>
      <c r="I52" s="54" t="n"/>
      <c r="J52" s="54" t="n"/>
      <c r="K52" s="54" t="n"/>
      <c r="L52" s="54">
        <f>IFERROR(SUM(I50:L50)/L51,"")</f>
        <v/>
      </c>
      <c r="M52" s="54" t="n"/>
      <c r="N52" s="54" t="n"/>
      <c r="O52" s="54" t="n"/>
      <c r="P52" s="54" t="n"/>
      <c r="Q52" s="54">
        <f>IFERROR(SUM(M50:Q50)/Q51,"")</f>
        <v/>
      </c>
      <c r="R52" s="54" t="n"/>
      <c r="S52" s="54" t="n"/>
      <c r="T52" s="54" t="n"/>
      <c r="U52" s="54">
        <f>IFERROR(SUM(R50:U50)/U51,"")</f>
        <v/>
      </c>
      <c r="V52" s="54" t="n"/>
      <c r="W52" s="54" t="n"/>
      <c r="X52" s="54" t="n"/>
      <c r="Y52" s="54" t="n"/>
      <c r="Z52" s="54">
        <f>IFERROR(SUM(V50:Z50)/Z51,"")</f>
        <v/>
      </c>
      <c r="AA52" s="54" t="n"/>
      <c r="AB52" s="54" t="n"/>
      <c r="AC52" s="54" t="n"/>
      <c r="AD52" s="54">
        <f>IFERROR(SUM(AA50:AD50)/AD51,"")</f>
        <v/>
      </c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</row>
    <row r="53" ht="15.75" customHeight="1">
      <c r="B53" s="7" t="inlineStr">
        <is>
          <t>As % of quarterly budget (QTD)</t>
        </is>
      </c>
      <c r="D53" s="16" t="inlineStr">
        <is>
          <t>%</t>
        </is>
      </c>
      <c r="E53" s="54" t="n"/>
      <c r="F53" s="54" t="n"/>
      <c r="G53" s="54" t="n"/>
      <c r="H53" s="54">
        <f>IFERROR(SUM(E50:H50)/(H51+L51+Q51),"")</f>
        <v/>
      </c>
      <c r="I53" s="54" t="n"/>
      <c r="J53" s="54" t="n"/>
      <c r="K53" s="54" t="n"/>
      <c r="L53" s="54">
        <f>IFERROR(SUM(E50:L50)/(H51+L51+Q51),"")</f>
        <v/>
      </c>
      <c r="M53" s="54" t="n"/>
      <c r="N53" s="54" t="n"/>
      <c r="O53" s="54" t="n"/>
      <c r="P53" s="54" t="n"/>
      <c r="Q53" s="54">
        <f>IFERROR(SUM(E50:Q50)/(H51+L51+Q51),"")</f>
        <v/>
      </c>
      <c r="R53" s="54" t="n"/>
      <c r="S53" s="54" t="n"/>
      <c r="T53" s="54" t="n"/>
      <c r="U53" s="54">
        <f>IFERROR(SUM(R50:U50)/(U51+Z51+AD51),"")</f>
        <v/>
      </c>
      <c r="V53" s="54" t="n"/>
      <c r="W53" s="54" t="n"/>
      <c r="X53" s="54" t="n"/>
      <c r="Y53" s="54" t="n"/>
      <c r="Z53" s="54">
        <f>IFERROR(SUM(R50:Z50)/(U51+Z51+AD51),"")</f>
        <v/>
      </c>
      <c r="AA53" s="54" t="n"/>
      <c r="AB53" s="54" t="n"/>
      <c r="AC53" s="54" t="n"/>
      <c r="AD53" s="54">
        <f>IFERROR(SUM(R50:AD50)/(U51+Z51+AD51),"")</f>
        <v/>
      </c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</row>
    <row r="54" ht="15.75" customHeight="1">
      <c r="B54" s="7" t="inlineStr">
        <is>
          <t>As % of annual budget (YTD)</t>
        </is>
      </c>
      <c r="D54" s="16" t="inlineStr">
        <is>
          <t>%</t>
        </is>
      </c>
      <c r="E54" s="54" t="n"/>
      <c r="F54" s="54" t="n"/>
      <c r="G54" s="54" t="n"/>
      <c r="H54" s="54">
        <f>IFERROR(SUM($E$50:H50)/SUM($E$51:BD51),"")</f>
        <v/>
      </c>
      <c r="I54" s="54" t="n"/>
      <c r="J54" s="54" t="n"/>
      <c r="K54" s="54" t="n"/>
      <c r="L54" s="54">
        <f>IFERROR(SUM($E$50:L50)/SUM($E$51:BD51),"")</f>
        <v/>
      </c>
      <c r="M54" s="54" t="n"/>
      <c r="N54" s="54" t="n"/>
      <c r="O54" s="54" t="n"/>
      <c r="P54" s="54" t="n"/>
      <c r="Q54" s="54">
        <f>IFERROR(SUM($E$50:Q50)/SUM($E$51:BD51),"")</f>
        <v/>
      </c>
      <c r="R54" s="54" t="n"/>
      <c r="S54" s="54" t="n"/>
      <c r="T54" s="54" t="n"/>
      <c r="U54" s="54">
        <f>IFERROR(SUM($E$50:U50)/SUM($E$51:BD51),"")</f>
        <v/>
      </c>
      <c r="V54" s="54" t="n"/>
      <c r="W54" s="54" t="n"/>
      <c r="X54" s="54" t="n"/>
      <c r="Y54" s="54" t="n"/>
      <c r="Z54" s="54">
        <f>IFERROR(SUM($E$50:Z50)/SUM($E$51:BD51),"")</f>
        <v/>
      </c>
      <c r="AA54" s="54" t="n"/>
      <c r="AB54" s="54" t="n"/>
      <c r="AC54" s="54" t="n"/>
      <c r="AD54" s="54">
        <f>IFERROR(SUM($E$50:AD50)/SUM($E$51:BD51),"")</f>
        <v/>
      </c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</row>
    <row r="55" ht="15.75" customHeight="1"/>
    <row r="56" ht="15.75" customHeight="1">
      <c r="A56" s="1" t="inlineStr">
        <is>
          <t>Total Marketing</t>
        </is>
      </c>
      <c r="B56" s="1" t="n"/>
      <c r="C56" s="1" t="n"/>
      <c r="D56" s="23" t="inlineStr">
        <is>
          <t>$k</t>
        </is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</row>
    <row r="57" ht="15.75" customHeight="1">
      <c r="A57" s="1" t="n"/>
      <c r="B57" s="1" t="inlineStr">
        <is>
          <t>Finance Actuals (Monthly)</t>
        </is>
      </c>
      <c r="C57" s="1" t="n"/>
      <c r="D57" s="23" t="inlineStr">
        <is>
          <t>$k</t>
        </is>
      </c>
      <c r="E57" s="53" t="n"/>
      <c r="F57" s="53" t="n"/>
      <c r="G57" s="53" t="n"/>
      <c r="H57" s="53" t="n">
        <v>411.54141</v>
      </c>
      <c r="I57" s="53" t="n"/>
      <c r="J57" s="53" t="n"/>
      <c r="K57" s="53" t="n"/>
      <c r="L57" s="53" t="n">
        <v>442.5354</v>
      </c>
      <c r="M57" s="53" t="n"/>
      <c r="N57" s="53" t="n"/>
      <c r="O57" s="53" t="n"/>
      <c r="P57" s="53" t="n"/>
      <c r="Q57" s="53" t="n">
        <v>378.42062</v>
      </c>
      <c r="R57" s="53" t="n"/>
      <c r="S57" s="53" t="n"/>
      <c r="T57" s="53" t="n"/>
      <c r="U57" s="53" t="n">
        <v>406.08602</v>
      </c>
      <c r="V57" s="53" t="n"/>
      <c r="W57" s="53" t="n"/>
      <c r="X57" s="53" t="n"/>
      <c r="Y57" s="53" t="n"/>
      <c r="Z57" s="53" t="n">
        <v>333.3523700000001</v>
      </c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</row>
    <row r="58" ht="15.75" customHeight="1">
      <c r="A58" s="50">
        <f>SUM(E58:BE58)</f>
        <v/>
      </c>
      <c r="B58" s="9" t="inlineStr">
        <is>
          <t>Budgeted (Monthly)</t>
        </is>
      </c>
      <c r="D58" s="10" t="inlineStr">
        <is>
          <t>$k</t>
        </is>
      </c>
      <c r="E58" s="55" t="n"/>
      <c r="F58" s="55" t="n"/>
      <c r="G58" s="55" t="n"/>
      <c r="H58" s="55" t="n">
        <v>323.8036666666667</v>
      </c>
      <c r="I58" s="55" t="n"/>
      <c r="J58" s="55" t="n"/>
      <c r="K58" s="55" t="n"/>
      <c r="L58" s="55" t="n">
        <v>298.1416666666667</v>
      </c>
      <c r="M58" s="55" t="n"/>
      <c r="N58" s="55" t="n"/>
      <c r="O58" s="55" t="n"/>
      <c r="P58" s="55" t="n"/>
      <c r="Q58" s="55" t="n">
        <v>325.7700666666667</v>
      </c>
      <c r="R58" s="55" t="n"/>
      <c r="S58" s="55" t="n"/>
      <c r="T58" s="55" t="n"/>
      <c r="U58" s="55" t="n">
        <v>552.0629954442227</v>
      </c>
      <c r="V58" s="55" t="n"/>
      <c r="W58" s="55" t="n"/>
      <c r="X58" s="55" t="n"/>
      <c r="Y58" s="55" t="n"/>
      <c r="Z58" s="55" t="n">
        <v>626.8753175846493</v>
      </c>
      <c r="AA58" s="55" t="n"/>
      <c r="AB58" s="55" t="n"/>
      <c r="AC58" s="55" t="n"/>
      <c r="AD58" s="55" t="n">
        <v>841.4774360018671</v>
      </c>
      <c r="AE58" s="55" t="n"/>
      <c r="AF58" s="55" t="n"/>
      <c r="AG58" s="55" t="n"/>
      <c r="AH58" s="55" t="n">
        <v>634.5915547016006</v>
      </c>
      <c r="AI58" s="55" t="n"/>
      <c r="AJ58" s="55" t="n"/>
      <c r="AK58" s="55" t="n"/>
      <c r="AL58" s="55" t="n"/>
      <c r="AM58" s="55" t="n">
        <v>581.4738399665695</v>
      </c>
      <c r="AN58" s="55" t="n"/>
      <c r="AO58" s="55" t="n"/>
      <c r="AP58" s="55" t="n"/>
      <c r="AQ58" s="55" t="n">
        <v>698.8567009324536</v>
      </c>
      <c r="AR58" s="55" t="n"/>
      <c r="AS58" s="55" t="n"/>
      <c r="AT58" s="55" t="n"/>
      <c r="AU58" s="55" t="n">
        <v>1075.291427217836</v>
      </c>
      <c r="AV58" s="55" t="n"/>
      <c r="AW58" s="55" t="n"/>
      <c r="AX58" s="55" t="n"/>
      <c r="AY58" s="55" t="n"/>
      <c r="AZ58" s="55" t="n">
        <v>1015.214417854389</v>
      </c>
      <c r="BA58" s="55" t="n"/>
      <c r="BB58" s="55" t="n"/>
      <c r="BC58" s="55" t="n"/>
      <c r="BD58" s="55" t="n">
        <v>637.0655176357235</v>
      </c>
      <c r="BE58" s="55" t="n"/>
    </row>
    <row r="59" ht="15.75" customHeight="1">
      <c r="B59" s="7" t="inlineStr">
        <is>
          <t>As % of budget - this month</t>
        </is>
      </c>
      <c r="D59" s="16" t="inlineStr">
        <is>
          <t>%</t>
        </is>
      </c>
      <c r="E59" s="54" t="n"/>
      <c r="F59" s="54" t="n"/>
      <c r="G59" s="54" t="n"/>
      <c r="H59" s="54">
        <f>IFERROR(SUM(E57:H57)/H58,"")</f>
        <v/>
      </c>
      <c r="I59" s="54" t="n"/>
      <c r="J59" s="54" t="n"/>
      <c r="K59" s="54" t="n"/>
      <c r="L59" s="54">
        <f>IFERROR(SUM(I57:L57)/L58,"")</f>
        <v/>
      </c>
      <c r="M59" s="54" t="n"/>
      <c r="N59" s="54" t="n"/>
      <c r="O59" s="54" t="n"/>
      <c r="P59" s="54" t="n"/>
      <c r="Q59" s="54">
        <f>IFERROR(SUM(M57:Q57)/Q58,"")</f>
        <v/>
      </c>
      <c r="R59" s="54" t="n"/>
      <c r="S59" s="54" t="n"/>
      <c r="T59" s="54" t="n"/>
      <c r="U59" s="54">
        <f>IFERROR(SUM(R57:U57)/U58,"")</f>
        <v/>
      </c>
      <c r="V59" s="54" t="n"/>
      <c r="W59" s="54" t="n"/>
      <c r="X59" s="54" t="n"/>
      <c r="Y59" s="54" t="n"/>
      <c r="Z59" s="54">
        <f>IFERROR(SUM(V57:Z57)/Z58,"")</f>
        <v/>
      </c>
      <c r="AA59" s="54" t="n"/>
      <c r="AB59" s="54" t="n"/>
      <c r="AC59" s="54" t="n"/>
      <c r="AD59" s="54">
        <f>IFERROR(SUM(AA57:AD57)/AD58,"")</f>
        <v/>
      </c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</row>
    <row r="60" ht="15.75" customHeight="1">
      <c r="B60" s="7" t="inlineStr">
        <is>
          <t>As % of quarterly budget (QTD)</t>
        </is>
      </c>
      <c r="D60" s="16" t="inlineStr">
        <is>
          <t>%</t>
        </is>
      </c>
      <c r="E60" s="54" t="n"/>
      <c r="F60" s="54" t="n"/>
      <c r="G60" s="54" t="n"/>
      <c r="H60" s="54">
        <f>IFERROR(SUM(E57:H57)/(H58+L58+Q58),"")</f>
        <v/>
      </c>
      <c r="I60" s="54" t="n"/>
      <c r="J60" s="54" t="n"/>
      <c r="K60" s="54" t="n"/>
      <c r="L60" s="54">
        <f>IFERROR(SUM(E57:L57)/(H58+L58+Q58),"")</f>
        <v/>
      </c>
      <c r="M60" s="54" t="n"/>
      <c r="N60" s="54" t="n"/>
      <c r="O60" s="54" t="n"/>
      <c r="P60" s="54" t="n"/>
      <c r="Q60" s="54">
        <f>IFERROR(SUM(E57:Q57)/(H58+L58+Q58),"")</f>
        <v/>
      </c>
      <c r="R60" s="54" t="n"/>
      <c r="S60" s="54" t="n"/>
      <c r="T60" s="54" t="n"/>
      <c r="U60" s="54">
        <f>IFERROR(SUM(R57:U57)/(U58+Z58+AD58),"")</f>
        <v/>
      </c>
      <c r="V60" s="54" t="n"/>
      <c r="W60" s="54" t="n"/>
      <c r="X60" s="54" t="n"/>
      <c r="Y60" s="54" t="n"/>
      <c r="Z60" s="54">
        <f>IFERROR(SUM(R57:Z57)/(U58+Z58+AD58),"")</f>
        <v/>
      </c>
      <c r="AA60" s="54" t="n"/>
      <c r="AB60" s="54" t="n"/>
      <c r="AC60" s="54" t="n"/>
      <c r="AD60" s="54">
        <f>IFERROR(SUM(R57:AD57)/(U58+Z58+AD58),"")</f>
        <v/>
      </c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</row>
    <row r="61" ht="15.75" customHeight="1">
      <c r="B61" s="7" t="inlineStr">
        <is>
          <t>As % of annual budget (YTD)</t>
        </is>
      </c>
      <c r="D61" s="16" t="inlineStr">
        <is>
          <t>%</t>
        </is>
      </c>
      <c r="E61" s="54" t="n"/>
      <c r="F61" s="54" t="n"/>
      <c r="G61" s="54" t="n"/>
      <c r="H61" s="54">
        <f>IFERROR(SUM($E$57:H57)/SUM($E$58:BD58),"")</f>
        <v/>
      </c>
      <c r="I61" s="54" t="n"/>
      <c r="J61" s="54" t="n"/>
      <c r="K61" s="54" t="n"/>
      <c r="L61" s="54">
        <f>IFERROR(SUM($E$57:L57)/SUM($E$58:BD58),"")</f>
        <v/>
      </c>
      <c r="M61" s="54" t="n"/>
      <c r="N61" s="54" t="n"/>
      <c r="O61" s="54" t="n"/>
      <c r="P61" s="54" t="n"/>
      <c r="Q61" s="54">
        <f>IFERROR(SUM($E$57:Q57)/SUM($E$58:BD58),"")</f>
        <v/>
      </c>
      <c r="R61" s="54" t="n"/>
      <c r="S61" s="54" t="n"/>
      <c r="T61" s="54" t="n"/>
      <c r="U61" s="54">
        <f>IFERROR(SUM($E$57:U57)/SUM($E$58:BD58),"")</f>
        <v/>
      </c>
      <c r="V61" s="54" t="n"/>
      <c r="W61" s="54" t="n"/>
      <c r="X61" s="54" t="n"/>
      <c r="Y61" s="54" t="n"/>
      <c r="Z61" s="54">
        <f>IFERROR(SUM($E$57:Z57)/SUM($E$58:BD58),"")</f>
        <v/>
      </c>
      <c r="AA61" s="54" t="n"/>
      <c r="AB61" s="54" t="n"/>
      <c r="AC61" s="54" t="n"/>
      <c r="AD61" s="54">
        <f>IFERROR(SUM($E$57:AD57)/SUM($E$58:BD58),"")</f>
        <v/>
      </c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</row>
    <row r="62" ht="15.75" customHeight="1"/>
    <row r="63" ht="15.75" customHeight="1">
      <c r="A63" s="1" t="inlineStr">
        <is>
          <t>Ads - On-site</t>
        </is>
      </c>
      <c r="B63" s="1" t="inlineStr">
        <is>
          <t>Real-time tracking</t>
        </is>
      </c>
      <c r="C63" s="1" t="n"/>
      <c r="D63" s="23" t="inlineStr">
        <is>
          <t>$k</t>
        </is>
      </c>
      <c r="E63" s="53" t="n"/>
      <c r="F63" s="53" t="n"/>
      <c r="G63" s="53" t="n"/>
      <c r="H63" s="53" t="n"/>
      <c r="I63" s="53" t="n"/>
      <c r="J63" s="53" t="n">
        <v>43.9118</v>
      </c>
      <c r="K63" s="53" t="n">
        <v>51.72735</v>
      </c>
      <c r="L63" s="53" t="n">
        <v>51.55761</v>
      </c>
      <c r="M63" s="53" t="n">
        <v>48.37319</v>
      </c>
      <c r="N63" s="53" t="n">
        <v>45.75354</v>
      </c>
      <c r="O63" s="53" t="n">
        <v>44.56591</v>
      </c>
      <c r="P63" s="53" t="n">
        <v>43.45617</v>
      </c>
      <c r="Q63" s="53" t="n">
        <v>51.82136</v>
      </c>
      <c r="R63" s="53" t="n">
        <v>43.78395</v>
      </c>
      <c r="S63" s="53" t="n">
        <v>44.39185</v>
      </c>
      <c r="T63" s="53" t="n">
        <v>51.95358</v>
      </c>
      <c r="U63" s="53" t="n">
        <v>43.527</v>
      </c>
      <c r="V63" s="53" t="n">
        <v>44.14662000000001</v>
      </c>
      <c r="W63" s="53" t="n">
        <v>41.57694</v>
      </c>
      <c r="X63" s="53" t="n">
        <v>41.89388</v>
      </c>
      <c r="Y63" s="53" t="n">
        <v>46.87757</v>
      </c>
      <c r="Z63" s="53" t="n">
        <v>47.55178</v>
      </c>
      <c r="AA63" s="53" t="n">
        <v>44.92541000000001</v>
      </c>
      <c r="AB63" s="53" t="n">
        <v>41.36661</v>
      </c>
      <c r="AC63" s="53" t="n">
        <v>56.29786</v>
      </c>
      <c r="AD63" s="53" t="n">
        <v>92.01335</v>
      </c>
      <c r="AE63" s="53" t="n">
        <v>39.30442</v>
      </c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</row>
    <row r="64" ht="15.75" customHeight="1">
      <c r="B64" s="9" t="inlineStr">
        <is>
          <t>Budgeted (Monthly) - On-site</t>
        </is>
      </c>
      <c r="D64" s="10" t="inlineStr">
        <is>
          <t>$k</t>
        </is>
      </c>
      <c r="E64" s="55" t="n"/>
      <c r="F64" s="55" t="n"/>
      <c r="G64" s="55" t="n"/>
      <c r="H64" s="55" t="n">
        <v>164.137</v>
      </c>
      <c r="I64" s="55" t="n"/>
      <c r="J64" s="55" t="n"/>
      <c r="K64" s="55" t="n"/>
      <c r="L64" s="55" t="n">
        <v>131.311</v>
      </c>
      <c r="M64" s="55" t="n"/>
      <c r="N64" s="55" t="n"/>
      <c r="O64" s="55" t="n"/>
      <c r="P64" s="55" t="n"/>
      <c r="Q64" s="55" t="n">
        <v>145.379</v>
      </c>
      <c r="R64" s="55" t="n"/>
      <c r="S64" s="55" t="n"/>
      <c r="T64" s="55" t="n"/>
      <c r="U64" s="55" t="n">
        <v>140.688</v>
      </c>
      <c r="V64" s="55" t="n"/>
      <c r="W64" s="55" t="n"/>
      <c r="X64" s="55" t="n"/>
      <c r="Y64" s="55" t="n"/>
      <c r="Z64" s="55" t="n">
        <v>150.039</v>
      </c>
      <c r="AA64" s="55" t="n"/>
      <c r="AB64" s="55" t="n"/>
      <c r="AC64" s="55" t="n"/>
      <c r="AD64" s="55" t="n">
        <v>145.509</v>
      </c>
      <c r="AE64" s="55" t="n"/>
      <c r="AF64" s="55" t="n"/>
      <c r="AG64" s="55" t="n"/>
      <c r="AH64" s="55" t="n">
        <v>150.36</v>
      </c>
      <c r="AI64" s="55" t="n"/>
      <c r="AJ64" s="55" t="n"/>
      <c r="AK64" s="55" t="n"/>
      <c r="AL64" s="55" t="n"/>
      <c r="AM64" s="55" t="n">
        <v>151.359</v>
      </c>
      <c r="AN64" s="55" t="n"/>
      <c r="AO64" s="55" t="n"/>
      <c r="AP64" s="55" t="n"/>
      <c r="AQ64" s="55" t="n">
        <v>160.507</v>
      </c>
      <c r="AR64" s="55" t="n"/>
      <c r="AS64" s="55" t="n"/>
      <c r="AT64" s="55" t="n"/>
      <c r="AU64" s="55" t="n">
        <v>165.857</v>
      </c>
      <c r="AV64" s="55" t="n"/>
      <c r="AW64" s="55" t="n"/>
      <c r="AX64" s="55" t="n"/>
      <c r="AY64" s="55" t="n"/>
      <c r="AZ64" s="55" t="n">
        <v>160.507</v>
      </c>
      <c r="BA64" s="55" t="n"/>
      <c r="BB64" s="55" t="n"/>
      <c r="BC64" s="55" t="n"/>
      <c r="BD64" s="55" t="n">
        <v>139.107</v>
      </c>
      <c r="BE64" s="55" t="n"/>
    </row>
    <row r="65" ht="15.75" customHeight="1"/>
    <row r="66" ht="15.75" customHeight="1">
      <c r="A66" s="1" t="inlineStr">
        <is>
          <t>Ads - DSP</t>
        </is>
      </c>
      <c r="B66" s="1" t="inlineStr">
        <is>
          <t>Real-time tracking</t>
        </is>
      </c>
      <c r="C66" s="1" t="n"/>
      <c r="D66" s="23" t="inlineStr">
        <is>
          <t>$k</t>
        </is>
      </c>
      <c r="E66" s="53" t="n">
        <v>3.54796</v>
      </c>
      <c r="F66" s="53" t="n">
        <v>5.75428</v>
      </c>
      <c r="G66" s="53" t="n">
        <v>4.30798</v>
      </c>
      <c r="H66" s="53" t="n">
        <v>5.47452</v>
      </c>
      <c r="I66" s="53" t="n">
        <v>6.75321</v>
      </c>
      <c r="J66" s="53" t="n">
        <v>8.345030000000001</v>
      </c>
      <c r="K66" s="53" t="n">
        <v>7.8492</v>
      </c>
      <c r="L66" s="53" t="n">
        <v>7.36939</v>
      </c>
      <c r="M66" s="53" t="n">
        <v>6.31522</v>
      </c>
      <c r="N66" s="53" t="n">
        <v>7.600890000000001</v>
      </c>
      <c r="O66" s="53" t="n">
        <v>7.82422</v>
      </c>
      <c r="P66" s="53" t="n">
        <v>7.56384</v>
      </c>
      <c r="Q66" s="53" t="n">
        <v>8.79857</v>
      </c>
      <c r="R66" s="53" t="n">
        <v>8.025600000000001</v>
      </c>
      <c r="S66" s="53" t="n">
        <v>9.043340000000001</v>
      </c>
      <c r="T66" s="53" t="n">
        <v>8.501959999999999</v>
      </c>
      <c r="U66" s="53" t="n">
        <v>7.87561</v>
      </c>
      <c r="V66" s="53" t="n">
        <v>6.81076</v>
      </c>
      <c r="W66" s="53" t="n">
        <v>8.074020000000001</v>
      </c>
      <c r="X66" s="53" t="n">
        <v>8.19957</v>
      </c>
      <c r="Y66" s="53" t="n">
        <v>8.184749999999999</v>
      </c>
      <c r="Z66" s="53" t="n">
        <v>7.65325</v>
      </c>
      <c r="AA66" s="53" t="n">
        <v>12.891</v>
      </c>
      <c r="AB66" s="53" t="n">
        <v>14.41518</v>
      </c>
      <c r="AC66" s="53" t="n">
        <v>31.7422</v>
      </c>
      <c r="AD66" s="53" t="n">
        <v>25.94468</v>
      </c>
      <c r="AE66" s="53" t="n">
        <v>21.79125</v>
      </c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</row>
    <row r="67" ht="15.75" customHeight="1">
      <c r="B67" s="9" t="inlineStr">
        <is>
          <t>Budgeted (Monthly) - DSP</t>
        </is>
      </c>
      <c r="D67" s="10" t="inlineStr">
        <is>
          <t>$k</t>
        </is>
      </c>
      <c r="E67" s="55" t="n"/>
      <c r="F67" s="55" t="n"/>
      <c r="G67" s="55" t="n"/>
      <c r="H67" s="55" t="n">
        <v>25</v>
      </c>
      <c r="I67" s="55" t="n"/>
      <c r="J67" s="55" t="n"/>
      <c r="K67" s="55" t="n"/>
      <c r="L67" s="55" t="n">
        <v>30</v>
      </c>
      <c r="M67" s="55" t="n"/>
      <c r="N67" s="55" t="n"/>
      <c r="O67" s="55" t="n"/>
      <c r="P67" s="55" t="n"/>
      <c r="Q67" s="55" t="n">
        <v>35</v>
      </c>
      <c r="R67" s="55" t="n"/>
      <c r="S67" s="55" t="n"/>
      <c r="T67" s="55" t="n"/>
      <c r="U67" s="55" t="n">
        <v>25</v>
      </c>
      <c r="V67" s="55" t="n"/>
      <c r="W67" s="55" t="n"/>
      <c r="X67" s="55" t="n"/>
      <c r="Y67" s="55" t="n"/>
      <c r="Z67" s="55" t="n">
        <v>25</v>
      </c>
      <c r="AA67" s="55" t="n"/>
      <c r="AB67" s="55" t="n"/>
      <c r="AC67" s="55" t="n"/>
      <c r="AD67" s="55" t="n">
        <v>25</v>
      </c>
      <c r="AE67" s="55" t="n"/>
      <c r="AF67" s="55" t="n"/>
      <c r="AG67" s="55" t="n"/>
      <c r="AH67" s="55" t="n">
        <v>45</v>
      </c>
      <c r="AI67" s="55" t="n"/>
      <c r="AJ67" s="55" t="n"/>
      <c r="AK67" s="55" t="n"/>
      <c r="AL67" s="55" t="n"/>
      <c r="AM67" s="55" t="n">
        <v>25</v>
      </c>
      <c r="AN67" s="55" t="n"/>
      <c r="AO67" s="55" t="n"/>
      <c r="AP67" s="55" t="n"/>
      <c r="AQ67" s="55" t="n">
        <v>25</v>
      </c>
      <c r="AR67" s="55" t="n"/>
      <c r="AS67" s="55" t="n"/>
      <c r="AT67" s="55" t="n"/>
      <c r="AU67" s="55" t="n">
        <v>35</v>
      </c>
      <c r="AV67" s="55" t="n"/>
      <c r="AW67" s="55" t="n"/>
      <c r="AX67" s="55" t="n"/>
      <c r="AY67" s="55" t="n"/>
      <c r="AZ67" s="55" t="n">
        <v>45</v>
      </c>
      <c r="BA67" s="55" t="n"/>
      <c r="BB67" s="55" t="n"/>
      <c r="BC67" s="55" t="n"/>
      <c r="BD67" s="55" t="n">
        <v>30</v>
      </c>
      <c r="BE67" s="55" t="n"/>
    </row>
    <row r="68" ht="15.75" customHeight="1"/>
    <row r="69" ht="15.75" customFormat="1" customHeight="1" s="1">
      <c r="A69" s="1" t="inlineStr">
        <is>
          <t>Ads (On-site + DSP)</t>
        </is>
      </c>
      <c r="B69" s="1" t="inlineStr">
        <is>
          <t>Real-time tracking</t>
        </is>
      </c>
      <c r="D69" s="23" t="inlineStr">
        <is>
          <t>$k</t>
        </is>
      </c>
      <c r="E69" s="53">
        <f>E63+E66</f>
        <v/>
      </c>
      <c r="F69" s="53">
        <f>F63+F66</f>
        <v/>
      </c>
      <c r="G69" s="53">
        <f>G63+G66</f>
        <v/>
      </c>
      <c r="H69" s="53">
        <f>H63+H66</f>
        <v/>
      </c>
      <c r="I69" s="53">
        <f>I63+I66</f>
        <v/>
      </c>
      <c r="J69" s="53">
        <f>J63+J66</f>
        <v/>
      </c>
      <c r="K69" s="53">
        <f>K63+K66</f>
        <v/>
      </c>
      <c r="L69" s="53">
        <f>L63+L66</f>
        <v/>
      </c>
      <c r="M69" s="53">
        <f>M63+M66</f>
        <v/>
      </c>
      <c r="N69" s="53">
        <f>N63+N66</f>
        <v/>
      </c>
      <c r="O69" s="53">
        <f>O63+O66</f>
        <v/>
      </c>
      <c r="P69" s="53">
        <f>P63+P66</f>
        <v/>
      </c>
      <c r="Q69" s="53">
        <f>Q63+Q66</f>
        <v/>
      </c>
      <c r="R69" s="53">
        <f>R63+R66</f>
        <v/>
      </c>
      <c r="S69" s="53">
        <f>S63+S66</f>
        <v/>
      </c>
      <c r="T69" s="53">
        <f>T63+T66</f>
        <v/>
      </c>
      <c r="U69" s="53">
        <f>U63+U66</f>
        <v/>
      </c>
      <c r="V69" s="53">
        <f>V63+V66</f>
        <v/>
      </c>
      <c r="W69" s="53">
        <f>W63+W66</f>
        <v/>
      </c>
      <c r="X69" s="53">
        <f>X63+X66</f>
        <v/>
      </c>
      <c r="Y69" s="53">
        <f>Y63+Y66</f>
        <v/>
      </c>
      <c r="Z69" s="53">
        <f>Z63+Z66</f>
        <v/>
      </c>
      <c r="AA69" s="53">
        <f>AA63+AA66</f>
        <v/>
      </c>
      <c r="AB69" s="53">
        <f>AB63+AB66</f>
        <v/>
      </c>
      <c r="AC69" s="53">
        <f>AC63+AC66</f>
        <v/>
      </c>
      <c r="AD69" s="53">
        <f>AD63+AD66</f>
        <v/>
      </c>
      <c r="AE69" s="53">
        <f>AE63+AE66</f>
        <v/>
      </c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55" t="n"/>
      <c r="F70" s="55" t="n"/>
      <c r="G70" s="55" t="n"/>
      <c r="H70" s="55" t="n">
        <v>189.137</v>
      </c>
      <c r="I70" s="55" t="n"/>
      <c r="J70" s="55" t="n"/>
      <c r="K70" s="55" t="n"/>
      <c r="L70" s="55" t="n">
        <v>161.311</v>
      </c>
      <c r="M70" s="55" t="n"/>
      <c r="N70" s="55" t="n"/>
      <c r="O70" s="55" t="n"/>
      <c r="P70" s="55" t="n"/>
      <c r="Q70" s="55" t="n">
        <v>180.379</v>
      </c>
      <c r="R70" s="55" t="n"/>
      <c r="S70" s="55" t="n"/>
      <c r="T70" s="55" t="n"/>
      <c r="U70" s="55" t="n">
        <v>165.688</v>
      </c>
      <c r="V70" s="55" t="n"/>
      <c r="W70" s="55" t="n"/>
      <c r="X70" s="55" t="n"/>
      <c r="Y70" s="55" t="n"/>
      <c r="Z70" s="55" t="n">
        <v>175.039</v>
      </c>
      <c r="AA70" s="55" t="n"/>
      <c r="AB70" s="55" t="n"/>
      <c r="AC70" s="55" t="n"/>
      <c r="AD70" s="55" t="n">
        <v>170.509</v>
      </c>
      <c r="AE70" s="55" t="n"/>
      <c r="AF70" s="55" t="n"/>
      <c r="AG70" s="55" t="n"/>
      <c r="AH70" s="55" t="n">
        <v>195.36</v>
      </c>
      <c r="AI70" s="55" t="n"/>
      <c r="AJ70" s="55" t="n"/>
      <c r="AK70" s="55" t="n"/>
      <c r="AL70" s="55" t="n"/>
      <c r="AM70" s="55" t="n">
        <v>176.359</v>
      </c>
      <c r="AN70" s="55" t="n"/>
      <c r="AO70" s="55" t="n"/>
      <c r="AP70" s="55" t="n"/>
      <c r="AQ70" s="55" t="n">
        <v>185.507</v>
      </c>
      <c r="AR70" s="55" t="n"/>
      <c r="AS70" s="55" t="n"/>
      <c r="AT70" s="55" t="n"/>
      <c r="AU70" s="55" t="n">
        <v>200.857</v>
      </c>
      <c r="AV70" s="55" t="n"/>
      <c r="AW70" s="55" t="n"/>
      <c r="AX70" s="55" t="n"/>
      <c r="AY70" s="55" t="n"/>
      <c r="AZ70" s="55" t="n">
        <v>205.507</v>
      </c>
      <c r="BA70" s="55" t="n"/>
      <c r="BB70" s="55" t="n"/>
      <c r="BC70" s="55" t="n"/>
      <c r="BD70" s="55" t="n">
        <v>169.107</v>
      </c>
      <c r="BE70" s="55" t="n"/>
    </row>
    <row r="71" ht="15.75" customHeight="1"/>
    <row r="72" ht="15.75" customFormat="1" customHeight="1" s="1">
      <c r="A72" s="1" t="inlineStr">
        <is>
          <t>Other Marketing</t>
        </is>
      </c>
      <c r="B72" s="1" t="inlineStr">
        <is>
          <t>Real-time tracking</t>
        </is>
      </c>
      <c r="D72" s="23" t="inlineStr">
        <is>
          <t>$k</t>
        </is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</row>
    <row r="73" ht="15.75" customHeight="1">
      <c r="B73" s="9" t="inlineStr">
        <is>
          <t>Budgeted (Monthly)</t>
        </is>
      </c>
      <c r="D73" s="10" t="inlineStr">
        <is>
          <t>$k</t>
        </is>
      </c>
      <c r="E73" s="55" t="n"/>
      <c r="F73" s="55" t="n"/>
      <c r="G73" s="55" t="n"/>
      <c r="H73" s="55" t="n">
        <v>134.6666666666667</v>
      </c>
      <c r="I73" s="55" t="n"/>
      <c r="J73" s="55" t="n"/>
      <c r="K73" s="55" t="n"/>
      <c r="L73" s="55" t="n">
        <v>136.8306666666666</v>
      </c>
      <c r="M73" s="55" t="n"/>
      <c r="N73" s="55" t="n"/>
      <c r="O73" s="55" t="n"/>
      <c r="P73" s="55" t="n"/>
      <c r="Q73" s="55" t="n">
        <v>145.3910666666667</v>
      </c>
      <c r="R73" s="55" t="n"/>
      <c r="S73" s="55" t="n"/>
      <c r="T73" s="55" t="n"/>
      <c r="U73" s="55" t="n">
        <v>386.3749954442227</v>
      </c>
      <c r="V73" s="55" t="n"/>
      <c r="W73" s="55" t="n"/>
      <c r="X73" s="55" t="n"/>
      <c r="Y73" s="55" t="n"/>
      <c r="Z73" s="55" t="n">
        <v>451.8363175846494</v>
      </c>
      <c r="AA73" s="55" t="n"/>
      <c r="AB73" s="55" t="n"/>
      <c r="AC73" s="55" t="n"/>
      <c r="AD73" s="55" t="n">
        <v>670.9684360018671</v>
      </c>
      <c r="AE73" s="55" t="n"/>
      <c r="AF73" s="55" t="n"/>
      <c r="AG73" s="55" t="n"/>
      <c r="AH73" s="55" t="n">
        <v>439.2315547016007</v>
      </c>
      <c r="AI73" s="55" t="n"/>
      <c r="AJ73" s="55" t="n"/>
      <c r="AK73" s="55" t="n"/>
      <c r="AL73" s="55" t="n"/>
      <c r="AM73" s="55" t="n">
        <v>405.1148399665695</v>
      </c>
      <c r="AN73" s="55" t="n"/>
      <c r="AO73" s="55" t="n"/>
      <c r="AP73" s="55" t="n"/>
      <c r="AQ73" s="55" t="n">
        <v>513.3497009324537</v>
      </c>
      <c r="AR73" s="55" t="n"/>
      <c r="AS73" s="55" t="n"/>
      <c r="AT73" s="55" t="n"/>
      <c r="AU73" s="55" t="n">
        <v>874.4344272178362</v>
      </c>
      <c r="AV73" s="55" t="n"/>
      <c r="AW73" s="55" t="n"/>
      <c r="AX73" s="55" t="n"/>
      <c r="AY73" s="55" t="n"/>
      <c r="AZ73" s="55" t="n">
        <v>809.7074178543893</v>
      </c>
      <c r="BA73" s="55" t="n"/>
      <c r="BB73" s="55" t="n"/>
      <c r="BC73" s="55" t="n"/>
      <c r="BD73" s="55" t="n">
        <v>467.9585176357235</v>
      </c>
      <c r="BE73" s="55" t="n"/>
    </row>
    <row r="74" ht="15.75" customHeight="1"/>
    <row r="75" ht="15.75" customHeight="1"/>
    <row r="76" ht="15.75" customFormat="1" customHeight="1" s="25">
      <c r="A76" s="24" t="inlineStr">
        <is>
          <t>Walmart (1P+3P)</t>
        </is>
      </c>
      <c r="D76" s="26" t="n"/>
    </row>
    <row r="77" ht="15.75" customHeight="1">
      <c r="A77" s="1" t="inlineStr">
        <is>
          <t>Sell-in value</t>
        </is>
      </c>
      <c r="D77" s="23" t="inlineStr">
        <is>
          <t>$k</t>
        </is>
      </c>
      <c r="E77" s="53" t="n">
        <v>243.74</v>
      </c>
      <c r="F77" s="53" t="n">
        <v>33.165</v>
      </c>
      <c r="G77" s="53" t="n">
        <v>31.698</v>
      </c>
      <c r="H77" s="53" t="n">
        <v>48.813</v>
      </c>
      <c r="I77" s="53" t="n">
        <v>160.658</v>
      </c>
      <c r="J77" s="53" t="n">
        <v>79.217</v>
      </c>
      <c r="K77" s="53" t="n">
        <v>46.368</v>
      </c>
      <c r="L77" s="53" t="n">
        <v>66.126</v>
      </c>
      <c r="M77" s="53" t="n">
        <v>178.761</v>
      </c>
      <c r="N77" s="53" t="n">
        <v>108.011</v>
      </c>
      <c r="O77" s="53" t="n">
        <v>97.503</v>
      </c>
      <c r="P77" s="53" t="n">
        <v>109.854</v>
      </c>
      <c r="Q77" s="53" t="n">
        <v>148.71</v>
      </c>
      <c r="R77" s="53" t="n">
        <v>74.373</v>
      </c>
      <c r="S77" s="53" t="n">
        <v>200.686</v>
      </c>
      <c r="T77" s="53" t="n">
        <v>269.422</v>
      </c>
      <c r="U77" s="53" t="n">
        <v>985.244</v>
      </c>
      <c r="V77" s="53" t="n">
        <v>1503.894</v>
      </c>
      <c r="W77" s="53" t="n">
        <v>487.053</v>
      </c>
      <c r="X77" s="53" t="n">
        <v>133.984</v>
      </c>
      <c r="Y77" s="53" t="n">
        <v>141.157</v>
      </c>
      <c r="Z77" s="53" t="n">
        <v>183.899</v>
      </c>
      <c r="AA77" s="53" t="n">
        <v>192.445</v>
      </c>
      <c r="AB77" s="53" t="n">
        <v>168.253</v>
      </c>
      <c r="AC77" s="53" t="n">
        <v>196.77</v>
      </c>
      <c r="AD77" s="53" t="n">
        <v>218.045</v>
      </c>
      <c r="AE77" s="53" t="n">
        <v>234.436</v>
      </c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</row>
    <row r="78" ht="15.75" customFormat="1" customHeight="1" s="4">
      <c r="A78" s="3" t="n"/>
      <c r="B78" s="4" t="inlineStr">
        <is>
          <t>% of Total - YTD</t>
        </is>
      </c>
      <c r="D78" s="32" t="inlineStr">
        <is>
          <t>%</t>
        </is>
      </c>
      <c r="E78" s="57">
        <f>IFERROR(SUM($E$77:E77)/SUM($E$3:E3),"")</f>
        <v/>
      </c>
      <c r="F78" s="57">
        <f>IFERROR(SUM($E$77:F77)/SUM($E$3:F3),"")</f>
        <v/>
      </c>
      <c r="G78" s="57">
        <f>IFERROR(SUM($E$77:G77)/SUM($E$3:G3),"")</f>
        <v/>
      </c>
      <c r="H78" s="57">
        <f>IFERROR(SUM($E$77:H77)/SUM($E$3:H3),"")</f>
        <v/>
      </c>
      <c r="I78" s="57">
        <f>IFERROR(SUM($E$77:I77)/SUM($E$3:I3),"")</f>
        <v/>
      </c>
      <c r="J78" s="57">
        <f>IFERROR(SUM($E$77:J77)/SUM($E$3:J3),"")</f>
        <v/>
      </c>
      <c r="K78" s="57">
        <f>IFERROR(SUM($E$77:K77)/SUM($E$3:K3),"")</f>
        <v/>
      </c>
      <c r="L78" s="57">
        <f>IFERROR(SUM($E$77:L77)/SUM($E$3:L3),"")</f>
        <v/>
      </c>
      <c r="M78" s="57">
        <f>IFERROR(SUM($E$77:M77)/SUM($E$3:M3),"")</f>
        <v/>
      </c>
      <c r="N78" s="57">
        <f>IFERROR(SUM($E$77:N77)/SUM($E$3:N3),"")</f>
        <v/>
      </c>
      <c r="O78" s="57">
        <f>IFERROR(SUM($E$77:O77)/SUM($E$3:O3),"")</f>
        <v/>
      </c>
      <c r="P78" s="57">
        <f>IFERROR(SUM($E$77:P77)/SUM($E$3:P3),"")</f>
        <v/>
      </c>
      <c r="Q78" s="57">
        <f>IFERROR(SUM($E$77:Q77)/SUM($E$3:Q3),"")</f>
        <v/>
      </c>
      <c r="R78" s="57">
        <f>IFERROR(SUM($E$77:R77)/SUM($E$3:R3),"")</f>
        <v/>
      </c>
      <c r="S78" s="57">
        <f>IFERROR(SUM($E$77:S77)/SUM($E$3:S3),"")</f>
        <v/>
      </c>
      <c r="T78" s="57">
        <f>IFERROR(SUM($E$77:T77)/SUM($E$3:T3),"")</f>
        <v/>
      </c>
      <c r="U78" s="57">
        <f>IFERROR(SUM($E$77:U77)/SUM($E$3:U3),"")</f>
        <v/>
      </c>
      <c r="V78" s="57">
        <f>IFERROR(SUM($E$77:V77)/SUM($E$3:V3),"")</f>
        <v/>
      </c>
      <c r="W78" s="57">
        <f>IFERROR(SUM($E$77:W77)/SUM($E$3:W3),"")</f>
        <v/>
      </c>
      <c r="X78" s="57">
        <f>IFERROR(SUM($E$77:X77)/SUM($E$3:X3),"")</f>
        <v/>
      </c>
      <c r="Y78" s="57">
        <f>IFERROR(SUM($E$77:Y77)/SUM($E$3:Y3),"")</f>
        <v/>
      </c>
      <c r="Z78" s="57">
        <f>IFERROR(SUM($E$77:Z77)/SUM($E$3:Z3),"")</f>
        <v/>
      </c>
      <c r="AA78" s="57">
        <f>IFERROR(SUM($E$77:AA77)/SUM($E$3:AA3),"")</f>
        <v/>
      </c>
      <c r="AB78" s="57">
        <f>IFERROR(SUM($E$77:AB77)/SUM($E$3:AB3),"")</f>
        <v/>
      </c>
      <c r="AC78" s="57">
        <f>IFERROR(SUM($E$77:AC77)/SUM($E$3:AC3),"")</f>
        <v/>
      </c>
      <c r="AD78" s="57">
        <f>IFERROR(SUM($E$77:AD77)/SUM($E$3:AD3),"")</f>
        <v/>
      </c>
      <c r="AE78" s="57">
        <f>IFERROR(SUM($E$77:AE77)/SUM($E$3:AE3),"")</f>
        <v/>
      </c>
      <c r="AF78" s="57" t="n"/>
      <c r="AG78" s="57" t="n"/>
      <c r="AH78" s="57" t="n"/>
      <c r="AI78" s="57" t="n"/>
      <c r="AJ78" s="57" t="n"/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AU78" s="57" t="n"/>
      <c r="AV78" s="57" t="n"/>
      <c r="AW78" s="57" t="n"/>
      <c r="AX78" s="57" t="n"/>
      <c r="AY78" s="57" t="n"/>
      <c r="AZ78" s="57" t="n"/>
      <c r="BA78" s="57" t="n"/>
      <c r="BB78" s="57" t="n"/>
      <c r="BC78" s="57" t="n"/>
      <c r="BD78" s="57" t="n"/>
      <c r="BE78" s="57" t="n"/>
    </row>
    <row r="79" ht="15.75" customFormat="1" customHeight="1" s="7">
      <c r="B79" s="7" t="inlineStr">
        <is>
          <t>% of Target</t>
        </is>
      </c>
      <c r="D79" s="8" t="inlineStr">
        <is>
          <t>%</t>
        </is>
      </c>
      <c r="E79" s="54">
        <f>IFERROR(E77/E81,"")</f>
        <v/>
      </c>
      <c r="F79" s="54">
        <f>IFERROR(F77/F81,"")</f>
        <v/>
      </c>
      <c r="G79" s="54">
        <f>IFERROR(G77/G81,"")</f>
        <v/>
      </c>
      <c r="H79" s="54">
        <f>IFERROR(H77/H81,"")</f>
        <v/>
      </c>
      <c r="I79" s="54">
        <f>IFERROR(I77/I81,"")</f>
        <v/>
      </c>
      <c r="J79" s="54">
        <f>IFERROR(J77/J81,"")</f>
        <v/>
      </c>
      <c r="K79" s="54">
        <f>IFERROR(K77/K81,"")</f>
        <v/>
      </c>
      <c r="L79" s="54">
        <f>IFERROR(L77/L81,"")</f>
        <v/>
      </c>
      <c r="M79" s="54">
        <f>IFERROR(M77/M81,"")</f>
        <v/>
      </c>
      <c r="N79" s="54">
        <f>IFERROR(N77/N81,"")</f>
        <v/>
      </c>
      <c r="O79" s="54">
        <f>IFERROR(O77/O81,"")</f>
        <v/>
      </c>
      <c r="P79" s="54">
        <f>IFERROR(P77/P81,"")</f>
        <v/>
      </c>
      <c r="Q79" s="54">
        <f>IFERROR(Q77/Q81,"")</f>
        <v/>
      </c>
      <c r="R79" s="54">
        <f>IFERROR(R77/R81,"")</f>
        <v/>
      </c>
      <c r="S79" s="54">
        <f>IFERROR(S77/S81,"")</f>
        <v/>
      </c>
      <c r="T79" s="54">
        <f>IFERROR(T77/T81,"")</f>
        <v/>
      </c>
      <c r="U79" s="54">
        <f>IFERROR(U77/U81,"")</f>
        <v/>
      </c>
      <c r="V79" s="54">
        <f>IFERROR(V77/V81,"")</f>
        <v/>
      </c>
      <c r="W79" s="54">
        <f>IFERROR(W77/W81,"")</f>
        <v/>
      </c>
      <c r="X79" s="54">
        <f>IFERROR(X77/X81,"")</f>
        <v/>
      </c>
      <c r="Y79" s="54">
        <f>IFERROR(Y77/Y81,"")</f>
        <v/>
      </c>
      <c r="Z79" s="54">
        <f>IFERROR(Z77/Z81,"")</f>
        <v/>
      </c>
      <c r="AA79" s="54">
        <f>IFERROR(AA77/AA81,"")</f>
        <v/>
      </c>
      <c r="AB79" s="54">
        <f>IFERROR(AB77/AB81,"")</f>
        <v/>
      </c>
      <c r="AC79" s="54">
        <f>IFERROR(AC77/AC81,"")</f>
        <v/>
      </c>
      <c r="AD79" s="54">
        <f>IFERROR(AD77/AD81,"")</f>
        <v/>
      </c>
      <c r="AE79" s="54">
        <f>IFERROR(AE77/AE81,"")</f>
        <v/>
      </c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</row>
    <row r="80" ht="15.75" customFormat="1" customHeight="1" s="7">
      <c r="B80" s="7" t="inlineStr">
        <is>
          <t>% of Target - YTD</t>
        </is>
      </c>
      <c r="C80" s="15" t="n"/>
      <c r="D80" s="16" t="inlineStr">
        <is>
          <t>%</t>
        </is>
      </c>
      <c r="E80" s="54">
        <f>IFERROR(SUM($E$77:E77)/SUM($E$81:E81),"")</f>
        <v/>
      </c>
      <c r="F80" s="54">
        <f>IFERROR(SUM($E$77:F77)/SUM($E$81:F81),"")</f>
        <v/>
      </c>
      <c r="G80" s="54">
        <f>IFERROR(SUM($E$77:G77)/SUM($E$81:G81),"")</f>
        <v/>
      </c>
      <c r="H80" s="54">
        <f>IFERROR(SUM($E$77:H77)/SUM($E$81:H81),"")</f>
        <v/>
      </c>
      <c r="I80" s="54">
        <f>IFERROR(SUM($E$77:I77)/SUM($E$81:I81),"")</f>
        <v/>
      </c>
      <c r="J80" s="54">
        <f>IFERROR(SUM($E$77:J77)/SUM($E$81:J81),"")</f>
        <v/>
      </c>
      <c r="K80" s="54">
        <f>IFERROR(SUM($E$77:K77)/SUM($E$81:K81),"")</f>
        <v/>
      </c>
      <c r="L80" s="54">
        <f>IFERROR(SUM($E$77:L77)/SUM($E$81:L81),"")</f>
        <v/>
      </c>
      <c r="M80" s="54">
        <f>IFERROR(SUM($E$77:M77)/SUM($E$81:M81),"")</f>
        <v/>
      </c>
      <c r="N80" s="54">
        <f>IFERROR(SUM($E$77:N77)/SUM($E$81:N81),"")</f>
        <v/>
      </c>
      <c r="O80" s="54">
        <f>IFERROR(SUM($E$77:O77)/SUM($E$81:O81),"")</f>
        <v/>
      </c>
      <c r="P80" s="54">
        <f>IFERROR(SUM($E$77:P77)/SUM($E$81:P81),"")</f>
        <v/>
      </c>
      <c r="Q80" s="54">
        <f>IFERROR(SUM($E$77:Q77)/SUM($E$81:Q81),"")</f>
        <v/>
      </c>
      <c r="R80" s="54">
        <f>IFERROR(SUM($E$77:R77)/SUM($E$81:R81),"")</f>
        <v/>
      </c>
      <c r="S80" s="54">
        <f>IFERROR(SUM($E$77:S77)/SUM($E$81:S81),"")</f>
        <v/>
      </c>
      <c r="T80" s="54">
        <f>IFERROR(SUM($E$77:T77)/SUM($E$81:T81),"")</f>
        <v/>
      </c>
      <c r="U80" s="54">
        <f>IFERROR(SUM($E$77:U77)/SUM($E$81:U81),"")</f>
        <v/>
      </c>
      <c r="V80" s="54">
        <f>IFERROR(SUM($E$77:V77)/SUM($E$81:V81),"")</f>
        <v/>
      </c>
      <c r="W80" s="54">
        <f>IFERROR(SUM($E$77:W77)/SUM($E$81:W81),"")</f>
        <v/>
      </c>
      <c r="X80" s="54">
        <f>IFERROR(SUM($E$77:X77)/SUM($E$81:X81),"")</f>
        <v/>
      </c>
      <c r="Y80" s="54">
        <f>IFERROR(SUM($E$77:Y77)/SUM($E$81:Y81),"")</f>
        <v/>
      </c>
      <c r="Z80" s="54">
        <f>IFERROR(SUM($E$77:Z77)/SUM($E$81:Z81),"")</f>
        <v/>
      </c>
      <c r="AA80" s="54">
        <f>IFERROR(SUM($E$77:AA77)/SUM($E$81:AA81),"")</f>
        <v/>
      </c>
      <c r="AB80" s="54">
        <f>IFERROR(SUM($E$77:AB77)/SUM($E$81:AB81),"")</f>
        <v/>
      </c>
      <c r="AC80" s="54">
        <f>IFERROR(SUM($E$77:AC77)/SUM($E$81:AC81),"")</f>
        <v/>
      </c>
      <c r="AD80" s="54">
        <f>IFERROR(SUM($E$77:AD77)/SUM($E$81:AD81),"")</f>
        <v/>
      </c>
      <c r="AE80" s="54">
        <f>IFERROR(SUM($E$77:AE77)/SUM($E$81:AE81),"")</f>
        <v/>
      </c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</row>
    <row r="81" ht="15.75" customFormat="1" customHeight="1" s="9">
      <c r="A81" s="50">
        <f>SUM(E81:BE81)</f>
        <v/>
      </c>
      <c r="B81" s="9" t="inlineStr">
        <is>
          <t>Target</t>
        </is>
      </c>
      <c r="D81" s="10" t="inlineStr">
        <is>
          <t>$k</t>
        </is>
      </c>
      <c r="E81" s="55" t="n">
        <v>84.40602473600001</v>
      </c>
      <c r="F81" s="55" t="n">
        <v>147.710543288</v>
      </c>
      <c r="G81" s="55" t="n">
        <v>147.710543288</v>
      </c>
      <c r="H81" s="55" t="n">
        <v>147.710543288</v>
      </c>
      <c r="I81" s="55" t="n">
        <v>151.501587962</v>
      </c>
      <c r="J81" s="55" t="n">
        <v>174.24925</v>
      </c>
      <c r="K81" s="55" t="n">
        <v>174.24925</v>
      </c>
      <c r="L81" s="55" t="n">
        <v>174.24925</v>
      </c>
      <c r="M81" s="55" t="n">
        <v>202.553270168</v>
      </c>
      <c r="N81" s="55" t="n">
        <v>372.375997182</v>
      </c>
      <c r="O81" s="55" t="n">
        <v>372.375997182</v>
      </c>
      <c r="P81" s="55" t="n">
        <v>372.375997182</v>
      </c>
      <c r="Q81" s="55" t="n">
        <v>372.375997182</v>
      </c>
      <c r="R81" s="55" t="n">
        <v>229.260554453</v>
      </c>
      <c r="S81" s="55" t="n">
        <v>172.013787599</v>
      </c>
      <c r="T81" s="55" t="n">
        <v>172.013787599</v>
      </c>
      <c r="U81" s="55" t="n">
        <v>172.013787599</v>
      </c>
      <c r="V81" s="55" t="n">
        <v>260.847291523</v>
      </c>
      <c r="W81" s="55" t="n">
        <v>379.292209156</v>
      </c>
      <c r="X81" s="55" t="n">
        <v>379.292209156</v>
      </c>
      <c r="Y81" s="55" t="n">
        <v>379.292209156</v>
      </c>
      <c r="Z81" s="55" t="n">
        <v>379.292209156</v>
      </c>
      <c r="AA81" s="55" t="n">
        <v>183.309204796</v>
      </c>
      <c r="AB81" s="55" t="n">
        <v>183.309204796</v>
      </c>
      <c r="AC81" s="55" t="n">
        <v>183.309204796</v>
      </c>
      <c r="AD81" s="55" t="n">
        <v>183.309204796</v>
      </c>
      <c r="AE81" s="55" t="n">
        <v>225.373887914</v>
      </c>
      <c r="AF81" s="55" t="n">
        <v>242.199289794</v>
      </c>
      <c r="AG81" s="55" t="n">
        <v>242.199289794</v>
      </c>
      <c r="AH81" s="55" t="n">
        <v>242.199289794</v>
      </c>
      <c r="AI81" s="55" t="n">
        <v>241.093356522</v>
      </c>
      <c r="AJ81" s="55" t="n">
        <v>238.328523342</v>
      </c>
      <c r="AK81" s="55" t="n">
        <v>238.328523342</v>
      </c>
      <c r="AL81" s="55" t="n">
        <v>238.328523342</v>
      </c>
      <c r="AM81" s="55" t="n">
        <v>238.328523342</v>
      </c>
      <c r="AN81" s="55" t="n">
        <v>193.889331906</v>
      </c>
      <c r="AO81" s="55" t="n">
        <v>186.482533596</v>
      </c>
      <c r="AP81" s="55" t="n">
        <v>186.482533596</v>
      </c>
      <c r="AQ81" s="55" t="n">
        <v>186.482533596</v>
      </c>
      <c r="AR81" s="55" t="n">
        <v>383.273109424</v>
      </c>
      <c r="AS81" s="55" t="n">
        <v>530.8658414920001</v>
      </c>
      <c r="AT81" s="55" t="n">
        <v>530.8658414920001</v>
      </c>
      <c r="AU81" s="55" t="n">
        <v>530.8658414920001</v>
      </c>
      <c r="AV81" s="55" t="n">
        <v>483.765776754</v>
      </c>
      <c r="AW81" s="55" t="n">
        <v>201.167112618</v>
      </c>
      <c r="AX81" s="55" t="n">
        <v>201.167112618</v>
      </c>
      <c r="AY81" s="55" t="n">
        <v>201.167112618</v>
      </c>
      <c r="AZ81" s="55" t="n">
        <v>201.167112618</v>
      </c>
      <c r="BA81" s="55" t="n">
        <v>167.360474082</v>
      </c>
      <c r="BB81" s="55" t="n">
        <v>161.726321708</v>
      </c>
      <c r="BC81" s="55" t="n">
        <v>161.726321708</v>
      </c>
      <c r="BD81" s="55" t="n">
        <v>161.726321708</v>
      </c>
      <c r="BE81" s="55" t="n">
        <v>92.415040976</v>
      </c>
    </row>
    <row r="82" ht="15.75" customHeight="1"/>
    <row r="83" ht="15.75" customHeight="1">
      <c r="A83" s="1" t="inlineStr">
        <is>
          <t xml:space="preserve">Sell-through units </t>
        </is>
      </c>
      <c r="D83" s="23" t="inlineStr">
        <is>
          <t>#</t>
        </is>
      </c>
      <c r="E83" s="53" t="n">
        <v>3001</v>
      </c>
      <c r="F83" s="53" t="n">
        <v>2681</v>
      </c>
      <c r="G83" s="53" t="n">
        <v>2999</v>
      </c>
      <c r="H83" s="53" t="n">
        <v>2967</v>
      </c>
      <c r="I83" s="53" t="n">
        <v>2556</v>
      </c>
      <c r="J83" s="53" t="n">
        <v>2921</v>
      </c>
      <c r="K83" s="53" t="n">
        <v>3178</v>
      </c>
      <c r="L83" s="53" t="n">
        <v>3812</v>
      </c>
      <c r="M83" s="53" t="n">
        <v>4855</v>
      </c>
      <c r="N83" s="53" t="n">
        <v>4901</v>
      </c>
      <c r="O83" s="53" t="n">
        <v>4692</v>
      </c>
      <c r="P83" s="53" t="n">
        <v>4557</v>
      </c>
      <c r="Q83" s="53" t="n">
        <v>5161</v>
      </c>
      <c r="R83" s="53" t="n">
        <v>5213</v>
      </c>
      <c r="S83" s="53" t="n">
        <v>4704</v>
      </c>
      <c r="T83" s="53" t="n">
        <v>4504</v>
      </c>
      <c r="U83" s="53" t="n">
        <v>4408</v>
      </c>
      <c r="V83" s="53" t="n">
        <v>4268</v>
      </c>
      <c r="W83" s="53" t="n">
        <v>4819</v>
      </c>
      <c r="X83" s="53" t="n">
        <v>5570</v>
      </c>
      <c r="Y83" s="53" t="n">
        <v>6792</v>
      </c>
      <c r="Z83" s="53" t="n">
        <v>6794</v>
      </c>
      <c r="AA83" s="53" t="n">
        <v>6473</v>
      </c>
      <c r="AB83" s="53" t="n">
        <v>6066</v>
      </c>
      <c r="AC83" s="53" t="n">
        <v>6404</v>
      </c>
      <c r="AD83" s="53" t="n">
        <v>7016</v>
      </c>
      <c r="AE83" s="53" t="n">
        <v>5513</v>
      </c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</row>
    <row r="84" ht="15.75" customFormat="1" customHeight="1" s="4">
      <c r="A84" s="3" t="n"/>
      <c r="B84" s="4" t="inlineStr">
        <is>
          <t>% of Total - YTD</t>
        </is>
      </c>
      <c r="D84" s="32" t="inlineStr">
        <is>
          <t>%</t>
        </is>
      </c>
      <c r="E84" s="57">
        <f>IFERROR(SUM($E$83:E83)/SUM($E$4:E4),"")</f>
        <v/>
      </c>
      <c r="F84" s="57">
        <f>IFERROR(SUM($E$83:F83)/SUM($E$4:F4),"")</f>
        <v/>
      </c>
      <c r="G84" s="57">
        <f>IFERROR(SUM($E$83:G83)/SUM($E$4:G4),"")</f>
        <v/>
      </c>
      <c r="H84" s="57">
        <f>IFERROR(SUM($E$83:H83)/SUM($E$4:H4),"")</f>
        <v/>
      </c>
      <c r="I84" s="57">
        <f>IFERROR(SUM($E$83:I83)/SUM($E$4:I4),"")</f>
        <v/>
      </c>
      <c r="J84" s="57">
        <f>IFERROR(SUM($E$83:J83)/SUM($E$4:J4),"")</f>
        <v/>
      </c>
      <c r="K84" s="57">
        <f>IFERROR(SUM($E$83:K83)/SUM($E$4:K4),"")</f>
        <v/>
      </c>
      <c r="L84" s="57">
        <f>IFERROR(SUM($E$83:L83)/SUM($E$4:L4),"")</f>
        <v/>
      </c>
      <c r="M84" s="57">
        <f>IFERROR(SUM($E$83:M83)/SUM($E$4:M4),"")</f>
        <v/>
      </c>
      <c r="N84" s="57">
        <f>IFERROR(SUM($E$83:N83)/SUM($E$4:N4),"")</f>
        <v/>
      </c>
      <c r="O84" s="57">
        <f>IFERROR(SUM($E$83:O83)/SUM($E$4:O4),"")</f>
        <v/>
      </c>
      <c r="P84" s="57">
        <f>IFERROR(SUM($E$83:P83)/SUM($E$4:P4),"")</f>
        <v/>
      </c>
      <c r="Q84" s="57">
        <f>IFERROR(SUM($E$83:Q83)/SUM($E$4:Q4),"")</f>
        <v/>
      </c>
      <c r="R84" s="57">
        <f>IFERROR(SUM($E$83:R83)/SUM($E$4:R4),"")</f>
        <v/>
      </c>
      <c r="S84" s="57">
        <f>IFERROR(SUM($E$83:S83)/SUM($E$4:S4),"")</f>
        <v/>
      </c>
      <c r="T84" s="57">
        <f>IFERROR(SUM($E$83:T83)/SUM($E$4:T4),"")</f>
        <v/>
      </c>
      <c r="U84" s="57">
        <f>IFERROR(SUM($E$83:U83)/SUM($E$4:U4),"")</f>
        <v/>
      </c>
      <c r="V84" s="57">
        <f>IFERROR(SUM($E$83:V83)/SUM($E$4:V4),"")</f>
        <v/>
      </c>
      <c r="W84" s="57">
        <f>IFERROR(SUM($E$83:W83)/SUM($E$4:W4),"")</f>
        <v/>
      </c>
      <c r="X84" s="57">
        <f>IFERROR(SUM($E$83:X83)/SUM($E$4:X4),"")</f>
        <v/>
      </c>
      <c r="Y84" s="57">
        <f>IFERROR(SUM($E$83:Y83)/SUM($E$4:Y4),"")</f>
        <v/>
      </c>
      <c r="Z84" s="57">
        <f>IFERROR(SUM($E$83:Z83)/SUM($E$4:Z4),"")</f>
        <v/>
      </c>
      <c r="AA84" s="57">
        <f>IFERROR(SUM($E$83:AA83)/SUM($E$4:AA4),"")</f>
        <v/>
      </c>
      <c r="AB84" s="57">
        <f>IFERROR(SUM($E$83:AB83)/SUM($E$4:AB4),"")</f>
        <v/>
      </c>
      <c r="AC84" s="57">
        <f>IFERROR(SUM($E$83:AC83)/SUM($E$4:AC4),"")</f>
        <v/>
      </c>
      <c r="AD84" s="57">
        <f>IFERROR(SUM($E$83:AD83)/SUM($E$4:AD4),"")</f>
        <v/>
      </c>
      <c r="AE84" s="57">
        <f>IFERROR(SUM($E$83:AE83)/SUM($E$4:AE4),"")</f>
        <v/>
      </c>
      <c r="AF84" s="57" t="n"/>
      <c r="AG84" s="57" t="n"/>
      <c r="AH84" s="57" t="n"/>
      <c r="AI84" s="57" t="n"/>
      <c r="AJ84" s="57" t="n"/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/>
      <c r="AV84" s="57" t="n"/>
      <c r="AW84" s="57" t="n"/>
      <c r="AX84" s="57" t="n"/>
      <c r="AY84" s="57" t="n"/>
      <c r="AZ84" s="57" t="n"/>
      <c r="BA84" s="57" t="n"/>
      <c r="BB84" s="57" t="n"/>
      <c r="BC84" s="57" t="n"/>
      <c r="BD84" s="57" t="n"/>
      <c r="BE84" s="57" t="n"/>
    </row>
    <row r="85" ht="15.75" customFormat="1" customHeight="1" s="15">
      <c r="A85" s="14" t="n"/>
      <c r="B85" s="15" t="inlineStr">
        <is>
          <t>% of Target</t>
        </is>
      </c>
      <c r="D85" s="16" t="inlineStr">
        <is>
          <t>%</t>
        </is>
      </c>
      <c r="E85" s="54">
        <f>IFERROR(E83/E87,"")</f>
        <v/>
      </c>
      <c r="F85" s="54">
        <f>IFERROR(F83/F87,"")</f>
        <v/>
      </c>
      <c r="G85" s="54">
        <f>IFERROR(G83/G87,"")</f>
        <v/>
      </c>
      <c r="H85" s="54">
        <f>IFERROR(H83/H87,"")</f>
        <v/>
      </c>
      <c r="I85" s="54">
        <f>IFERROR(I83/I87,"")</f>
        <v/>
      </c>
      <c r="J85" s="54">
        <f>IFERROR(J83/J87,"")</f>
        <v/>
      </c>
      <c r="K85" s="54">
        <f>IFERROR(K83/K87,"")</f>
        <v/>
      </c>
      <c r="L85" s="54">
        <f>IFERROR(L83/L87,"")</f>
        <v/>
      </c>
      <c r="M85" s="54">
        <f>IFERROR(M83/M87,"")</f>
        <v/>
      </c>
      <c r="N85" s="54">
        <f>IFERROR(N83/N87,"")</f>
        <v/>
      </c>
      <c r="O85" s="54">
        <f>IFERROR(O83/O87,"")</f>
        <v/>
      </c>
      <c r="P85" s="54">
        <f>IFERROR(P83/P87,"")</f>
        <v/>
      </c>
      <c r="Q85" s="54">
        <f>IFERROR(Q83/Q87,"")</f>
        <v/>
      </c>
      <c r="R85" s="54">
        <f>IFERROR(R83/R87,"")</f>
        <v/>
      </c>
      <c r="S85" s="54">
        <f>IFERROR(S83/S87,"")</f>
        <v/>
      </c>
      <c r="T85" s="54">
        <f>IFERROR(T83/T87,"")</f>
        <v/>
      </c>
      <c r="U85" s="54">
        <f>IFERROR(U83/U87,"")</f>
        <v/>
      </c>
      <c r="V85" s="54">
        <f>IFERROR(V83/V87,"")</f>
        <v/>
      </c>
      <c r="W85" s="54">
        <f>IFERROR(W83/W87,"")</f>
        <v/>
      </c>
      <c r="X85" s="54">
        <f>IFERROR(X83/X87,"")</f>
        <v/>
      </c>
      <c r="Y85" s="54">
        <f>IFERROR(Y83/Y87,"")</f>
        <v/>
      </c>
      <c r="Z85" s="54">
        <f>IFERROR(Z83/Z87,"")</f>
        <v/>
      </c>
      <c r="AA85" s="54">
        <f>IFERROR(AA83/AA87,"")</f>
        <v/>
      </c>
      <c r="AB85" s="54">
        <f>IFERROR(AB83/AB87,"")</f>
        <v/>
      </c>
      <c r="AC85" s="54">
        <f>IFERROR(AC83/AC87,"")</f>
        <v/>
      </c>
      <c r="AD85" s="54">
        <f>IFERROR(AD83/AD87,"")</f>
        <v/>
      </c>
      <c r="AE85" s="54">
        <f>IFERROR(AE83/AE87,"")</f>
        <v/>
      </c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</row>
    <row r="86" ht="15.75" customFormat="1" customHeight="1" s="15">
      <c r="A86" s="14" t="n"/>
      <c r="B86" s="7" t="inlineStr">
        <is>
          <t>% of Target - YTD</t>
        </is>
      </c>
      <c r="D86" s="16" t="inlineStr">
        <is>
          <t>%</t>
        </is>
      </c>
      <c r="E86" s="54">
        <f>IFERROR(SUM($E$83:E83)/SUM($E$87:E87),"")</f>
        <v/>
      </c>
      <c r="F86" s="54">
        <f>IFERROR(SUM($E$83:F83)/SUM($E$87:F87),"")</f>
        <v/>
      </c>
      <c r="G86" s="54">
        <f>IFERROR(SUM($E$83:G83)/SUM($E$87:G87),"")</f>
        <v/>
      </c>
      <c r="H86" s="54">
        <f>IFERROR(SUM($E$83:H83)/SUM($E$87:H87),"")</f>
        <v/>
      </c>
      <c r="I86" s="54">
        <f>IFERROR(SUM($E$83:I83)/SUM($E$87:I87),"")</f>
        <v/>
      </c>
      <c r="J86" s="54">
        <f>IFERROR(SUM($E$83:J83)/SUM($E$87:J87),"")</f>
        <v/>
      </c>
      <c r="K86" s="54">
        <f>IFERROR(SUM($E$83:K83)/SUM($E$87:K87),"")</f>
        <v/>
      </c>
      <c r="L86" s="54">
        <f>IFERROR(SUM($E$83:L83)/SUM($E$87:L87),"")</f>
        <v/>
      </c>
      <c r="M86" s="54">
        <f>IFERROR(SUM($E$83:M83)/SUM($E$87:M87),"")</f>
        <v/>
      </c>
      <c r="N86" s="54">
        <f>IFERROR(SUM($E$83:N83)/SUM($E$87:N87),"")</f>
        <v/>
      </c>
      <c r="O86" s="54">
        <f>IFERROR(SUM($E$83:O83)/SUM($E$87:O87),"")</f>
        <v/>
      </c>
      <c r="P86" s="54">
        <f>IFERROR(SUM($E$83:P83)/SUM($E$87:P87),"")</f>
        <v/>
      </c>
      <c r="Q86" s="54">
        <f>IFERROR(SUM($E$83:Q83)/SUM($E$87:Q87),"")</f>
        <v/>
      </c>
      <c r="R86" s="54">
        <f>IFERROR(SUM($E$83:R83)/SUM($E$87:R87),"")</f>
        <v/>
      </c>
      <c r="S86" s="54">
        <f>IFERROR(SUM($E$83:S83)/SUM($E$87:S87),"")</f>
        <v/>
      </c>
      <c r="T86" s="54">
        <f>IFERROR(SUM($E$83:T83)/SUM($E$87:T87),"")</f>
        <v/>
      </c>
      <c r="U86" s="54">
        <f>IFERROR(SUM($E$83:U83)/SUM($E$87:U87),"")</f>
        <v/>
      </c>
      <c r="V86" s="54">
        <f>IFERROR(SUM($E$83:V83)/SUM($E$87:V87),"")</f>
        <v/>
      </c>
      <c r="W86" s="54">
        <f>IFERROR(SUM($E$83:W83)/SUM($E$87:W87),"")</f>
        <v/>
      </c>
      <c r="X86" s="54">
        <f>IFERROR(SUM($E$83:X83)/SUM($E$87:X87),"")</f>
        <v/>
      </c>
      <c r="Y86" s="54">
        <f>IFERROR(SUM($E$83:Y83)/SUM($E$87:Y87),"")</f>
        <v/>
      </c>
      <c r="Z86" s="54">
        <f>IFERROR(SUM($E$83:Z83)/SUM($E$87:Z87),"")</f>
        <v/>
      </c>
      <c r="AA86" s="54">
        <f>IFERROR(SUM($E$83:AA83)/SUM($E$87:AA87),"")</f>
        <v/>
      </c>
      <c r="AB86" s="54">
        <f>IFERROR(SUM($E$83:AB83)/SUM($E$87:AB87),"")</f>
        <v/>
      </c>
      <c r="AC86" s="54">
        <f>IFERROR(SUM($E$83:AC83)/SUM($E$87:AC87),"")</f>
        <v/>
      </c>
      <c r="AD86" s="54">
        <f>IFERROR(SUM($E$83:AD83)/SUM($E$87:AD87),"")</f>
        <v/>
      </c>
      <c r="AE86" s="54">
        <f>IFERROR(SUM($E$83:AE83)/SUM($E$87:AE87),"")</f>
        <v/>
      </c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</row>
    <row r="87" ht="15.75" customFormat="1" customHeight="1" s="12">
      <c r="A87" s="50">
        <f>SUM(E87:BE87)</f>
        <v/>
      </c>
      <c r="B87" s="12" t="inlineStr">
        <is>
          <t>Target</t>
        </is>
      </c>
      <c r="D87" s="13" t="inlineStr">
        <is>
          <t>#</t>
        </is>
      </c>
      <c r="E87" s="55" t="n">
        <v>3001</v>
      </c>
      <c r="F87" s="55" t="n">
        <v>4147</v>
      </c>
      <c r="G87" s="55" t="n">
        <v>4141</v>
      </c>
      <c r="H87" s="55" t="n">
        <v>4141</v>
      </c>
      <c r="I87" s="55" t="n">
        <v>4137</v>
      </c>
      <c r="J87" s="55" t="n">
        <v>4904</v>
      </c>
      <c r="K87" s="55" t="n">
        <v>4908</v>
      </c>
      <c r="L87" s="55" t="n">
        <v>4923</v>
      </c>
      <c r="M87" s="55" t="n">
        <v>4914</v>
      </c>
      <c r="N87" s="55" t="n">
        <v>8815</v>
      </c>
      <c r="O87" s="55" t="n">
        <v>8801</v>
      </c>
      <c r="P87" s="55" t="n">
        <v>8745</v>
      </c>
      <c r="Q87" s="55" t="n">
        <v>8762</v>
      </c>
      <c r="R87" s="55" t="n">
        <v>8745</v>
      </c>
      <c r="S87" s="55" t="n">
        <v>934</v>
      </c>
      <c r="T87" s="55" t="n">
        <v>4475</v>
      </c>
      <c r="U87" s="55" t="n">
        <v>4482</v>
      </c>
      <c r="V87" s="55" t="n">
        <v>6070</v>
      </c>
      <c r="W87" s="55" t="n">
        <v>11793</v>
      </c>
      <c r="X87" s="55" t="n">
        <v>10003</v>
      </c>
      <c r="Y87" s="55" t="n">
        <v>10003</v>
      </c>
      <c r="Z87" s="55" t="n">
        <v>10003</v>
      </c>
      <c r="AA87" s="55" t="n">
        <v>5364</v>
      </c>
      <c r="AB87" s="55" t="n">
        <v>3558</v>
      </c>
      <c r="AC87" s="55" t="n">
        <v>4592</v>
      </c>
      <c r="AD87" s="55" t="n">
        <v>4592</v>
      </c>
      <c r="AE87" s="55" t="n">
        <v>5446</v>
      </c>
      <c r="AF87" s="55" t="n">
        <v>7156</v>
      </c>
      <c r="AG87" s="55" t="n">
        <v>6088</v>
      </c>
      <c r="AH87" s="55" t="n">
        <v>6088</v>
      </c>
      <c r="AI87" s="55" t="n">
        <v>6023</v>
      </c>
      <c r="AJ87" s="55" t="n">
        <v>5776</v>
      </c>
      <c r="AK87" s="55" t="n">
        <v>5638</v>
      </c>
      <c r="AL87" s="55" t="n">
        <v>5626</v>
      </c>
      <c r="AM87" s="55" t="n">
        <v>5618</v>
      </c>
      <c r="AN87" s="55" t="n">
        <v>4918</v>
      </c>
      <c r="AO87" s="55" t="n">
        <v>1872</v>
      </c>
      <c r="AP87" s="55" t="n">
        <v>4649</v>
      </c>
      <c r="AQ87" s="55" t="n">
        <v>4648</v>
      </c>
      <c r="AR87" s="55" t="n">
        <v>9146</v>
      </c>
      <c r="AS87" s="55" t="n">
        <v>18071</v>
      </c>
      <c r="AT87" s="55" t="n">
        <v>15148</v>
      </c>
      <c r="AU87" s="55" t="n">
        <v>15129</v>
      </c>
      <c r="AV87" s="55" t="n">
        <v>15123</v>
      </c>
      <c r="AW87" s="55" t="n">
        <v>4243</v>
      </c>
      <c r="AX87" s="55" t="n">
        <v>4326</v>
      </c>
      <c r="AY87" s="55" t="n">
        <v>4320</v>
      </c>
      <c r="AZ87" s="55" t="n">
        <v>7589</v>
      </c>
      <c r="BA87" s="55" t="n">
        <v>5450</v>
      </c>
      <c r="BB87" s="55" t="n">
        <v>4829</v>
      </c>
      <c r="BC87" s="55" t="n">
        <v>4741</v>
      </c>
      <c r="BD87" s="55" t="n">
        <v>4652</v>
      </c>
      <c r="BE87" s="55" t="n"/>
    </row>
    <row r="88" ht="15.75" customHeight="1">
      <c r="B88" t="inlineStr">
        <is>
          <t>Actual  breakdown</t>
        </is>
      </c>
      <c r="C88" s="11" t="inlineStr">
        <is>
          <t xml:space="preserve">Cam </t>
        </is>
      </c>
      <c r="D88" s="6" t="inlineStr">
        <is>
          <t>#</t>
        </is>
      </c>
      <c r="E88" s="52" t="n">
        <v>2581</v>
      </c>
      <c r="F88" s="52" t="n">
        <v>2374</v>
      </c>
      <c r="G88" s="52" t="n">
        <v>2589</v>
      </c>
      <c r="H88" s="52" t="n">
        <v>2624</v>
      </c>
      <c r="I88" s="52" t="n">
        <v>2232</v>
      </c>
      <c r="J88" s="52" t="n">
        <v>2546</v>
      </c>
      <c r="K88" s="52" t="n">
        <v>2725</v>
      </c>
      <c r="L88" s="52" t="n">
        <v>3272</v>
      </c>
      <c r="M88" s="52" t="n">
        <v>4283</v>
      </c>
      <c r="N88" s="52" t="n">
        <v>4207</v>
      </c>
      <c r="O88" s="52" t="n">
        <v>3972</v>
      </c>
      <c r="P88" s="52" t="n">
        <v>4033</v>
      </c>
      <c r="Q88" s="52" t="n">
        <v>4756</v>
      </c>
      <c r="R88" s="52" t="n">
        <v>4894</v>
      </c>
      <c r="S88" s="52" t="n">
        <v>4396</v>
      </c>
      <c r="T88" s="52" t="n">
        <v>4198</v>
      </c>
      <c r="U88" s="52" t="n">
        <v>4076</v>
      </c>
      <c r="V88" s="52" t="n">
        <v>4028</v>
      </c>
      <c r="W88" s="52" t="n">
        <v>4529</v>
      </c>
      <c r="X88" s="52" t="n">
        <v>5206</v>
      </c>
      <c r="Y88" s="52" t="n">
        <v>6335</v>
      </c>
      <c r="Z88" s="52" t="n">
        <v>6319</v>
      </c>
      <c r="AA88" s="52" t="n">
        <v>6074</v>
      </c>
      <c r="AB88" s="52" t="n">
        <v>5627</v>
      </c>
      <c r="AC88" s="52" t="n">
        <v>5955</v>
      </c>
      <c r="AD88" s="52" t="n">
        <v>6570</v>
      </c>
      <c r="AE88" s="52" t="n">
        <v>5039</v>
      </c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</row>
    <row r="89" ht="15.75" customHeight="1">
      <c r="C89" s="11" t="inlineStr">
        <is>
          <t>Non Cam</t>
        </is>
      </c>
      <c r="D89" s="6" t="inlineStr">
        <is>
          <t>#</t>
        </is>
      </c>
      <c r="E89" s="52" t="n">
        <v>420</v>
      </c>
      <c r="F89" s="52" t="n">
        <v>307</v>
      </c>
      <c r="G89" s="52" t="n">
        <v>410</v>
      </c>
      <c r="H89" s="52" t="n">
        <v>343</v>
      </c>
      <c r="I89" s="52" t="n">
        <v>324</v>
      </c>
      <c r="J89" s="52" t="n">
        <v>375</v>
      </c>
      <c r="K89" s="52" t="n">
        <v>453</v>
      </c>
      <c r="L89" s="52" t="n">
        <v>540</v>
      </c>
      <c r="M89" s="52" t="n">
        <v>572</v>
      </c>
      <c r="N89" s="52" t="n">
        <v>694</v>
      </c>
      <c r="O89" s="52" t="n">
        <v>720</v>
      </c>
      <c r="P89" s="52" t="n">
        <v>524</v>
      </c>
      <c r="Q89" s="52" t="n">
        <v>405</v>
      </c>
      <c r="R89" s="52" t="n">
        <v>319</v>
      </c>
      <c r="S89" s="52" t="n">
        <v>308</v>
      </c>
      <c r="T89" s="52" t="n">
        <v>306</v>
      </c>
      <c r="U89" s="52" t="n">
        <v>332</v>
      </c>
      <c r="V89" s="52" t="n">
        <v>240</v>
      </c>
      <c r="W89" s="52" t="n">
        <v>290</v>
      </c>
      <c r="X89" s="52" t="n">
        <v>364</v>
      </c>
      <c r="Y89" s="52" t="n">
        <v>457</v>
      </c>
      <c r="Z89" s="52" t="n">
        <v>475</v>
      </c>
      <c r="AA89" s="52" t="n">
        <v>399</v>
      </c>
      <c r="AB89" s="52" t="n">
        <v>439</v>
      </c>
      <c r="AC89" s="52" t="n">
        <v>449</v>
      </c>
      <c r="AD89" s="52" t="n">
        <v>446</v>
      </c>
      <c r="AE89" s="52" t="n">
        <v>474</v>
      </c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</row>
    <row r="90" ht="15.75" customHeight="1">
      <c r="C90" s="6" t="n"/>
    </row>
    <row r="91" ht="15.75" customFormat="1" customHeight="1" s="1">
      <c r="A91" s="1" t="inlineStr">
        <is>
          <t xml:space="preserve">Promo </t>
        </is>
      </c>
      <c r="B91" s="1" t="inlineStr">
        <is>
          <t>Real-time tracking</t>
        </is>
      </c>
      <c r="D91" s="23" t="inlineStr">
        <is>
          <t>$k</t>
        </is>
      </c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>
        <v>9.96857</v>
      </c>
      <c r="R91" s="53" t="n">
        <v>3.95143</v>
      </c>
      <c r="S91" s="53" t="n">
        <v>6.21314</v>
      </c>
      <c r="T91" s="53" t="n">
        <v>6.947430000000001</v>
      </c>
      <c r="U91" s="53" t="n"/>
      <c r="V91" s="53" t="n"/>
      <c r="W91" s="53" t="n"/>
      <c r="X91" s="53" t="n"/>
      <c r="Y91" s="53" t="n">
        <v>7.059819999999999</v>
      </c>
      <c r="Z91" s="53" t="n">
        <v>1.14558</v>
      </c>
      <c r="AA91" s="53" t="n">
        <v>1.33714</v>
      </c>
      <c r="AB91" s="53" t="n">
        <v>7.38</v>
      </c>
      <c r="AC91" s="53" t="n">
        <v>30.59571</v>
      </c>
      <c r="AD91" s="53" t="n">
        <v>30.85371</v>
      </c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</row>
    <row r="92" ht="15.75" customFormat="1" customHeight="1" s="1">
      <c r="B92" s="48" t="inlineStr">
        <is>
          <t>Finance Actuals (Monthly)</t>
        </is>
      </c>
      <c r="D92" s="31" t="inlineStr">
        <is>
          <t>$k</t>
        </is>
      </c>
      <c r="E92" s="53" t="n"/>
      <c r="F92" s="53" t="n"/>
      <c r="G92" s="53" t="n"/>
      <c r="H92" s="53" t="n">
        <v>0.10196</v>
      </c>
      <c r="I92" s="53" t="n"/>
      <c r="J92" s="53" t="n"/>
      <c r="K92" s="53" t="n"/>
      <c r="L92" s="53" t="n">
        <v>61.57928</v>
      </c>
      <c r="M92" s="53" t="n"/>
      <c r="N92" s="53" t="n"/>
      <c r="O92" s="53" t="n"/>
      <c r="P92" s="53" t="n"/>
      <c r="Q92" s="53" t="n">
        <v>0.73349</v>
      </c>
      <c r="R92" s="53" t="n"/>
      <c r="S92" s="53" t="n"/>
      <c r="T92" s="53" t="n"/>
      <c r="U92" s="53" t="n">
        <v>1.64948</v>
      </c>
      <c r="V92" s="53" t="n"/>
      <c r="W92" s="53" t="n"/>
      <c r="X92" s="53" t="n"/>
      <c r="Y92" s="53" t="n"/>
      <c r="Z92" s="53" t="n">
        <v>20.77099</v>
      </c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</row>
    <row r="93" ht="15.75" customFormat="1" customHeight="1" s="9">
      <c r="A93" s="50">
        <f>SUM(E93:BE93)</f>
        <v/>
      </c>
      <c r="B93" s="9" t="inlineStr">
        <is>
          <t>Budgeted (Monthly)</t>
        </is>
      </c>
      <c r="D93" s="10" t="inlineStr">
        <is>
          <t>$k</t>
        </is>
      </c>
      <c r="E93" s="55" t="n"/>
      <c r="F93" s="55" t="n"/>
      <c r="G93" s="55" t="n"/>
      <c r="H93" s="55" t="n">
        <v>0</v>
      </c>
      <c r="I93" s="55" t="n"/>
      <c r="J93" s="55" t="n"/>
      <c r="K93" s="55" t="n"/>
      <c r="L93" s="55" t="n">
        <v>0</v>
      </c>
      <c r="M93" s="55" t="n"/>
      <c r="N93" s="55" t="n"/>
      <c r="O93" s="55" t="n"/>
      <c r="P93" s="55" t="n"/>
      <c r="Q93" s="55" t="n">
        <v>51.8</v>
      </c>
      <c r="R93" s="55" t="n"/>
      <c r="S93" s="55" t="n"/>
      <c r="T93" s="55" t="n"/>
      <c r="U93" s="55" t="n">
        <v>74.8</v>
      </c>
      <c r="V93" s="55" t="n"/>
      <c r="W93" s="55" t="n"/>
      <c r="X93" s="55" t="n"/>
      <c r="Y93" s="55" t="n"/>
      <c r="Z93" s="55" t="n">
        <v>73.7</v>
      </c>
      <c r="AA93" s="55" t="n"/>
      <c r="AB93" s="55" t="n"/>
      <c r="AC93" s="55" t="n"/>
      <c r="AD93" s="55" t="n">
        <v>84.23999999999999</v>
      </c>
      <c r="AE93" s="55" t="n"/>
      <c r="AF93" s="55" t="n"/>
      <c r="AG93" s="55" t="n"/>
      <c r="AH93" s="55" t="n">
        <v>110.16</v>
      </c>
      <c r="AI93" s="55" t="n"/>
      <c r="AJ93" s="55" t="n"/>
      <c r="AK93" s="55" t="n"/>
      <c r="AL93" s="55" t="n"/>
      <c r="AM93" s="55" t="n">
        <v>10.31428571428571</v>
      </c>
      <c r="AN93" s="55" t="n"/>
      <c r="AO93" s="55" t="n"/>
      <c r="AP93" s="55" t="n"/>
      <c r="AQ93" s="55" t="n">
        <v>61.88571428571429</v>
      </c>
      <c r="AR93" s="55" t="n"/>
      <c r="AS93" s="55" t="n"/>
      <c r="AT93" s="55" t="n"/>
      <c r="AU93" s="55" t="n">
        <v>107.2</v>
      </c>
      <c r="AV93" s="55" t="n"/>
      <c r="AW93" s="55" t="n"/>
      <c r="AX93" s="55" t="n"/>
      <c r="AY93" s="55" t="n"/>
      <c r="AZ93" s="55" t="n">
        <v>518.3200000000001</v>
      </c>
      <c r="BA93" s="55" t="n"/>
      <c r="BB93" s="55" t="n"/>
      <c r="BC93" s="55" t="n"/>
      <c r="BD93" s="55" t="n">
        <v>129.58</v>
      </c>
      <c r="BE93" s="55" t="n"/>
    </row>
    <row r="94" ht="15.75" customHeight="1">
      <c r="B94" s="7" t="inlineStr">
        <is>
          <t>As % of budget - this month</t>
        </is>
      </c>
      <c r="D94" s="16" t="inlineStr">
        <is>
          <t>%</t>
        </is>
      </c>
      <c r="E94" s="54" t="n"/>
      <c r="F94" s="54" t="n"/>
      <c r="G94" s="54" t="n"/>
      <c r="H94" s="54">
        <f>IFERROR(SUM(E92:H92)/H93,"")</f>
        <v/>
      </c>
      <c r="I94" s="54" t="n"/>
      <c r="J94" s="54" t="n"/>
      <c r="K94" s="54" t="n"/>
      <c r="L94" s="54">
        <f>IFERROR(SUM(I92:L92)/L93,"")</f>
        <v/>
      </c>
      <c r="M94" s="54" t="n"/>
      <c r="N94" s="54" t="n"/>
      <c r="O94" s="54" t="n"/>
      <c r="P94" s="54" t="n"/>
      <c r="Q94" s="54">
        <f>IFERROR(SUM(M92:Q92)/Q93,"")</f>
        <v/>
      </c>
      <c r="R94" s="54" t="n"/>
      <c r="S94" s="54" t="n"/>
      <c r="T94" s="54" t="n"/>
      <c r="U94" s="54">
        <f>IFERROR(SUM(R92:U92)/U93,"")</f>
        <v/>
      </c>
      <c r="V94" s="54" t="n"/>
      <c r="W94" s="54" t="n"/>
      <c r="X94" s="54" t="n"/>
      <c r="Y94" s="54" t="n"/>
      <c r="Z94" s="54">
        <f>IFERROR(SUM(V92:Z92)/Z93,"")</f>
        <v/>
      </c>
      <c r="AA94" s="54" t="n"/>
      <c r="AB94" s="54" t="n"/>
      <c r="AC94" s="54" t="n"/>
      <c r="AD94" s="54">
        <f>IFERROR(SUM(AA92:AD92)/AD93,"")</f>
        <v/>
      </c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</row>
    <row r="95" ht="15.75" customHeight="1">
      <c r="B95" s="7" t="inlineStr">
        <is>
          <t>As % of quarterly budget (QTD)</t>
        </is>
      </c>
      <c r="D95" s="16" t="inlineStr">
        <is>
          <t>%</t>
        </is>
      </c>
      <c r="E95" s="54" t="n"/>
      <c r="F95" s="54" t="n"/>
      <c r="G95" s="54" t="n"/>
      <c r="H95" s="54">
        <f>IFERROR(SUM(E92:H92)/(H93+L93+Q93),"")</f>
        <v/>
      </c>
      <c r="I95" s="54" t="n"/>
      <c r="J95" s="54" t="n"/>
      <c r="K95" s="54" t="n"/>
      <c r="L95" s="54">
        <f>IFERROR(SUM(E92:L92)/(H93+L93+Q93),"")</f>
        <v/>
      </c>
      <c r="M95" s="54" t="n"/>
      <c r="N95" s="54" t="n"/>
      <c r="O95" s="54" t="n"/>
      <c r="P95" s="54" t="n"/>
      <c r="Q95" s="54">
        <f>IFERROR(SUM(E92:Q92)/(H93+L93+Q93),"")</f>
        <v/>
      </c>
      <c r="R95" s="54" t="n"/>
      <c r="S95" s="54" t="n"/>
      <c r="T95" s="54" t="n"/>
      <c r="U95" s="54">
        <f>IFERROR(SUM(R92:U92)/(U93+Z93+AD93),"")</f>
        <v/>
      </c>
      <c r="V95" s="54" t="n"/>
      <c r="W95" s="54" t="n"/>
      <c r="X95" s="54" t="n"/>
      <c r="Y95" s="54" t="n"/>
      <c r="Z95" s="54">
        <f>IFERROR(SUM(R92:Z92)/(U93+Z93+AD93),"")</f>
        <v/>
      </c>
      <c r="AA95" s="54" t="n"/>
      <c r="AB95" s="54" t="n"/>
      <c r="AC95" s="54" t="n"/>
      <c r="AD95" s="54">
        <f>IFERROR(SUM(R92:AD92)/(U93+Z93+AD93),"")</f>
        <v/>
      </c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</row>
    <row r="96" ht="15.75" customHeight="1">
      <c r="B96" s="7" t="inlineStr">
        <is>
          <t>As % of annual budget (YTD)</t>
        </is>
      </c>
      <c r="D96" s="16" t="inlineStr">
        <is>
          <t>%</t>
        </is>
      </c>
      <c r="E96" s="54" t="n"/>
      <c r="F96" s="54" t="n"/>
      <c r="G96" s="54" t="n"/>
      <c r="H96" s="54">
        <f>IFERROR(SUM($E$92:H92)/SUM($E$93:BD93),"")</f>
        <v/>
      </c>
      <c r="I96" s="54" t="n"/>
      <c r="J96" s="54" t="n"/>
      <c r="K96" s="54" t="n"/>
      <c r="L96" s="54">
        <f>IFERROR(SUM($E$92:L92)/SUM($E$93:BD93),"")</f>
        <v/>
      </c>
      <c r="M96" s="54" t="n"/>
      <c r="N96" s="54" t="n"/>
      <c r="O96" s="54" t="n"/>
      <c r="P96" s="54" t="n"/>
      <c r="Q96" s="54">
        <f>IFERROR(SUM($E$92:Q92)/SUM($E$93:BD93),"")</f>
        <v/>
      </c>
      <c r="R96" s="54" t="n"/>
      <c r="S96" s="54" t="n"/>
      <c r="T96" s="54" t="n"/>
      <c r="U96" s="54">
        <f>IFERROR(SUM($E$92:U92)/SUM($E$93:BD93),"")</f>
        <v/>
      </c>
      <c r="V96" s="54" t="n"/>
      <c r="W96" s="54" t="n"/>
      <c r="X96" s="54" t="n"/>
      <c r="Y96" s="54" t="n"/>
      <c r="Z96" s="54">
        <f>IFERROR(SUM($E$92:Z92)/SUM($E$93:BD93),"")</f>
        <v/>
      </c>
      <c r="AA96" s="54" t="n"/>
      <c r="AB96" s="54" t="n"/>
      <c r="AC96" s="54" t="n"/>
      <c r="AD96" s="54">
        <f>IFERROR(SUM($E$92:AD92)/SUM($E$93:BD93),"")</f>
        <v/>
      </c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</row>
    <row r="97" ht="15.75" customHeight="1"/>
    <row r="98" ht="15.75" customHeight="1">
      <c r="A98" s="1" t="inlineStr">
        <is>
          <t>Total Marketing</t>
        </is>
      </c>
      <c r="B98" s="1" t="n"/>
      <c r="C98" s="1" t="n"/>
      <c r="D98" s="23" t="inlineStr">
        <is>
          <t>$k</t>
        </is>
      </c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</row>
    <row r="99" ht="15.75" customHeight="1">
      <c r="A99" s="1" t="n"/>
      <c r="B99" s="48" t="inlineStr">
        <is>
          <t>Finance Actuals (Monthly)</t>
        </is>
      </c>
      <c r="C99" s="1" t="n"/>
      <c r="D99" s="31" t="inlineStr">
        <is>
          <t>$k</t>
        </is>
      </c>
      <c r="E99" s="53" t="n"/>
      <c r="F99" s="53" t="n"/>
      <c r="G99" s="53" t="n"/>
      <c r="H99" s="53" t="n">
        <v>7.26002</v>
      </c>
      <c r="I99" s="53" t="n"/>
      <c r="J99" s="53" t="n"/>
      <c r="K99" s="53" t="n"/>
      <c r="L99" s="53" t="n">
        <v>16.48183</v>
      </c>
      <c r="M99" s="53" t="n"/>
      <c r="N99" s="53" t="n"/>
      <c r="O99" s="53" t="n"/>
      <c r="P99" s="53" t="n"/>
      <c r="Q99" s="53" t="n">
        <v>242.54598</v>
      </c>
      <c r="R99" s="53" t="n"/>
      <c r="S99" s="53" t="n"/>
      <c r="T99" s="53" t="n"/>
      <c r="U99" s="53" t="n">
        <v>89.10865</v>
      </c>
      <c r="V99" s="53" t="n"/>
      <c r="W99" s="53" t="n"/>
      <c r="X99" s="53" t="n"/>
      <c r="Y99" s="53" t="n"/>
      <c r="Z99" s="53" t="n">
        <v>83.16731</v>
      </c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</row>
    <row r="100" ht="15.75" customHeight="1">
      <c r="A100" s="50">
        <f>SUM(E100:BE100)</f>
        <v/>
      </c>
      <c r="B100" s="9" t="inlineStr">
        <is>
          <t>Budgeted (Monthly)</t>
        </is>
      </c>
      <c r="D100" s="10" t="inlineStr">
        <is>
          <t>$k</t>
        </is>
      </c>
      <c r="E100" s="55" t="n"/>
      <c r="F100" s="55" t="n"/>
      <c r="G100" s="55" t="n"/>
      <c r="H100" s="55" t="n">
        <v>52.5</v>
      </c>
      <c r="I100" s="55" t="n"/>
      <c r="J100" s="55" t="n"/>
      <c r="K100" s="55" t="n"/>
      <c r="L100" s="55" t="n">
        <v>52.5</v>
      </c>
      <c r="M100" s="55" t="n"/>
      <c r="N100" s="55" t="n"/>
      <c r="O100" s="55" t="n"/>
      <c r="P100" s="55" t="n"/>
      <c r="Q100" s="55" t="n">
        <v>52.5</v>
      </c>
      <c r="R100" s="55" t="n"/>
      <c r="S100" s="55" t="n"/>
      <c r="T100" s="55" t="n"/>
      <c r="U100" s="55" t="n">
        <v>552.5</v>
      </c>
      <c r="V100" s="55" t="n"/>
      <c r="W100" s="55" t="n"/>
      <c r="X100" s="55" t="n"/>
      <c r="Y100" s="55" t="n"/>
      <c r="Z100" s="55" t="n">
        <v>552.5</v>
      </c>
      <c r="AA100" s="55" t="n"/>
      <c r="AB100" s="55" t="n"/>
      <c r="AC100" s="55" t="n"/>
      <c r="AD100" s="55" t="n">
        <v>552.5</v>
      </c>
      <c r="AE100" s="55" t="n"/>
      <c r="AF100" s="55" t="n"/>
      <c r="AG100" s="55" t="n"/>
      <c r="AH100" s="55" t="n">
        <v>52.5</v>
      </c>
      <c r="AI100" s="55" t="n"/>
      <c r="AJ100" s="55" t="n"/>
      <c r="AK100" s="55" t="n"/>
      <c r="AL100" s="55" t="n"/>
      <c r="AM100" s="55" t="n">
        <v>52.5</v>
      </c>
      <c r="AN100" s="55" t="n"/>
      <c r="AO100" s="55" t="n"/>
      <c r="AP100" s="55" t="n"/>
      <c r="AQ100" s="55" t="n">
        <v>52.5</v>
      </c>
      <c r="AR100" s="55" t="n"/>
      <c r="AS100" s="55" t="n"/>
      <c r="AT100" s="55" t="n"/>
      <c r="AU100" s="55" t="n">
        <v>52.5</v>
      </c>
      <c r="AV100" s="55" t="n"/>
      <c r="AW100" s="55" t="n"/>
      <c r="AX100" s="55" t="n"/>
      <c r="AY100" s="55" t="n"/>
      <c r="AZ100" s="55" t="n">
        <v>52.5</v>
      </c>
      <c r="BA100" s="55" t="n"/>
      <c r="BB100" s="55" t="n"/>
      <c r="BC100" s="55" t="n"/>
      <c r="BD100" s="55" t="n">
        <v>52.5</v>
      </c>
      <c r="BE100" s="55" t="n"/>
    </row>
    <row r="101" ht="15.75" customHeight="1">
      <c r="B101" s="7" t="inlineStr">
        <is>
          <t>As % of budget - this month</t>
        </is>
      </c>
      <c r="D101" s="16" t="inlineStr">
        <is>
          <t>%</t>
        </is>
      </c>
      <c r="E101" s="54" t="n"/>
      <c r="F101" s="54" t="n"/>
      <c r="G101" s="54" t="n"/>
      <c r="H101" s="54">
        <f>IFERROR(SUM(E99:H99)/H100,"")</f>
        <v/>
      </c>
      <c r="I101" s="54" t="n"/>
      <c r="J101" s="54" t="n"/>
      <c r="K101" s="54" t="n"/>
      <c r="L101" s="54">
        <f>IFERROR(SUM(I99:L99)/L100,"")</f>
        <v/>
      </c>
      <c r="M101" s="54" t="n"/>
      <c r="N101" s="54" t="n"/>
      <c r="O101" s="54" t="n"/>
      <c r="P101" s="54" t="n"/>
      <c r="Q101" s="54">
        <f>IFERROR(SUM(M99:Q99)/Q100,"")</f>
        <v/>
      </c>
      <c r="R101" s="54" t="n"/>
      <c r="S101" s="54" t="n"/>
      <c r="T101" s="54" t="n"/>
      <c r="U101" s="54">
        <f>IFERROR(SUM(R99:U99)/U100,"")</f>
        <v/>
      </c>
      <c r="V101" s="54" t="n"/>
      <c r="W101" s="54" t="n"/>
      <c r="X101" s="54" t="n"/>
      <c r="Y101" s="54" t="n"/>
      <c r="Z101" s="54">
        <f>IFERROR(SUM(V99:Z99)/Z100,"")</f>
        <v/>
      </c>
      <c r="AA101" s="54" t="n"/>
      <c r="AB101" s="54" t="n"/>
      <c r="AC101" s="54" t="n"/>
      <c r="AD101" s="54">
        <f>IFERROR(SUM(AA99:AD99)/AD100,"")</f>
        <v/>
      </c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</row>
    <row r="102" ht="15.75" customHeight="1">
      <c r="B102" s="7" t="inlineStr">
        <is>
          <t>As % of quarterly budget (QTD)</t>
        </is>
      </c>
      <c r="D102" s="16" t="inlineStr">
        <is>
          <t>%</t>
        </is>
      </c>
      <c r="E102" s="54" t="n"/>
      <c r="F102" s="54" t="n"/>
      <c r="G102" s="54" t="n"/>
      <c r="H102" s="54">
        <f>IFERROR(SUM(E99:H99)/(H100+L100+Q100),"")</f>
        <v/>
      </c>
      <c r="I102" s="54" t="n"/>
      <c r="J102" s="54" t="n"/>
      <c r="K102" s="54" t="n"/>
      <c r="L102" s="54">
        <f>IFERROR(SUM(E99:L99)/(H100+L100+Q100),"")</f>
        <v/>
      </c>
      <c r="M102" s="54" t="n"/>
      <c r="N102" s="54" t="n"/>
      <c r="O102" s="54" t="n"/>
      <c r="P102" s="54" t="n"/>
      <c r="Q102" s="54">
        <f>IFERROR(SUM(E99:Q99)/(H100+L100+Q100),"")</f>
        <v/>
      </c>
      <c r="R102" s="54" t="n"/>
      <c r="S102" s="54" t="n"/>
      <c r="T102" s="54" t="n"/>
      <c r="U102" s="54">
        <f>IFERROR(SUM(R99:U99)/(U100+Z100+AD100),"")</f>
        <v/>
      </c>
      <c r="V102" s="54" t="n"/>
      <c r="W102" s="54" t="n"/>
      <c r="X102" s="54" t="n"/>
      <c r="Y102" s="54" t="n"/>
      <c r="Z102" s="54">
        <f>IFERROR(SUM(R99:Z99)/(U100+Z100+AD100),"")</f>
        <v/>
      </c>
      <c r="AA102" s="54" t="n"/>
      <c r="AB102" s="54" t="n"/>
      <c r="AC102" s="54" t="n"/>
      <c r="AD102" s="54">
        <f>IFERROR(SUM(R99:AD99)/(U100+Z100+AD100),"")</f>
        <v/>
      </c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</row>
    <row r="103" ht="15.75" customHeight="1">
      <c r="B103" s="7" t="inlineStr">
        <is>
          <t>As % of annual budget (YTD)</t>
        </is>
      </c>
      <c r="D103" s="16" t="inlineStr">
        <is>
          <t>%</t>
        </is>
      </c>
      <c r="E103" s="54" t="n"/>
      <c r="F103" s="54" t="n"/>
      <c r="G103" s="54" t="n"/>
      <c r="H103" s="54">
        <f>IFERROR(SUM($E$99:H99)/SUM($E$100:BD100),"")</f>
        <v/>
      </c>
      <c r="I103" s="54" t="n"/>
      <c r="J103" s="54" t="n"/>
      <c r="K103" s="54" t="n"/>
      <c r="L103" s="54">
        <f>IFERROR(SUM($E$99:L99)/SUM($E$100:BD100),"")</f>
        <v/>
      </c>
      <c r="M103" s="54" t="n"/>
      <c r="N103" s="54" t="n"/>
      <c r="O103" s="54" t="n"/>
      <c r="P103" s="54" t="n"/>
      <c r="Q103" s="54">
        <f>IFERROR(SUM($E$99:Q99)/SUM($E$100:BD100),"")</f>
        <v/>
      </c>
      <c r="R103" s="54" t="n"/>
      <c r="S103" s="54" t="n"/>
      <c r="T103" s="54" t="n"/>
      <c r="U103" s="54">
        <f>IFERROR(SUM($E$99:U99)/SUM($E$100:BD100),"")</f>
        <v/>
      </c>
      <c r="V103" s="54" t="n"/>
      <c r="W103" s="54" t="n"/>
      <c r="X103" s="54" t="n"/>
      <c r="Y103" s="54" t="n"/>
      <c r="Z103" s="54">
        <f>IFERROR(SUM($E$99:Z99)/SUM($E$100:BD100),"")</f>
        <v/>
      </c>
      <c r="AA103" s="54" t="n"/>
      <c r="AB103" s="54" t="n"/>
      <c r="AC103" s="54" t="n"/>
      <c r="AD103" s="54">
        <f>IFERROR(SUM($E$99:AD99)/SUM($E$100:BD100),"")</f>
        <v/>
      </c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</row>
    <row r="104" ht="15.75" customHeight="1"/>
    <row r="105" ht="15.75" customFormat="1" customHeight="1" s="1">
      <c r="A105" s="1" t="inlineStr">
        <is>
          <t>Ads</t>
        </is>
      </c>
      <c r="B105" s="1" t="inlineStr">
        <is>
          <t>Real-time tracking</t>
        </is>
      </c>
      <c r="D105" s="23" t="inlineStr">
        <is>
          <t>$k</t>
        </is>
      </c>
      <c r="E105" s="53" t="n">
        <v>14.40454</v>
      </c>
      <c r="F105" s="53" t="n">
        <v>14.41236</v>
      </c>
      <c r="G105" s="53" t="n">
        <v>16.71242</v>
      </c>
      <c r="H105" s="53" t="n">
        <v>19.17292</v>
      </c>
      <c r="I105" s="53" t="n">
        <v>21.20329</v>
      </c>
      <c r="J105" s="53" t="n">
        <v>16.23922</v>
      </c>
      <c r="K105" s="53" t="n">
        <v>20.99318</v>
      </c>
      <c r="L105" s="53" t="n">
        <v>22.75174</v>
      </c>
      <c r="M105" s="53" t="n">
        <v>25.30943</v>
      </c>
      <c r="N105" s="53" t="n">
        <v>24.17811</v>
      </c>
      <c r="O105" s="53" t="n">
        <v>23.91804</v>
      </c>
      <c r="P105" s="53" t="n">
        <v>23.81779</v>
      </c>
      <c r="Q105" s="53" t="n">
        <v>23.92942</v>
      </c>
      <c r="R105" s="53" t="n">
        <v>21.59292</v>
      </c>
      <c r="S105" s="53" t="n">
        <v>22.96889</v>
      </c>
      <c r="T105" s="53" t="n">
        <v>21.97835</v>
      </c>
      <c r="U105" s="53" t="n">
        <v>11.89201</v>
      </c>
      <c r="V105" s="53" t="n">
        <v>15.57232</v>
      </c>
      <c r="W105" s="53" t="n">
        <v>15.50597</v>
      </c>
      <c r="X105" s="53" t="n">
        <v>17.59154</v>
      </c>
      <c r="Y105" s="53" t="n">
        <v>21.72046</v>
      </c>
      <c r="Z105" s="53" t="n">
        <v>18.06574</v>
      </c>
      <c r="AA105" s="53" t="n">
        <v>17.35348</v>
      </c>
      <c r="AB105" s="53" t="n">
        <v>18.93834</v>
      </c>
      <c r="AC105" s="53" t="n">
        <v>21.15008</v>
      </c>
      <c r="AD105" s="53" t="n">
        <v>27.19254</v>
      </c>
      <c r="AE105" s="53" t="n">
        <v>17.12433</v>
      </c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</row>
    <row r="106" ht="15.75" customHeight="1">
      <c r="B106" s="9" t="inlineStr">
        <is>
          <t>Budgeted (Monthly)</t>
        </is>
      </c>
      <c r="C106" s="9" t="n"/>
      <c r="D106" s="10" t="inlineStr">
        <is>
          <t>$k</t>
        </is>
      </c>
      <c r="E106" s="55" t="n"/>
      <c r="F106" s="55" t="n"/>
      <c r="G106" s="55" t="n"/>
      <c r="H106" s="55" t="n">
        <v>50</v>
      </c>
      <c r="I106" s="55" t="n"/>
      <c r="J106" s="55" t="n"/>
      <c r="K106" s="55" t="n"/>
      <c r="L106" s="55" t="n">
        <v>50</v>
      </c>
      <c r="M106" s="55" t="n"/>
      <c r="N106" s="55" t="n"/>
      <c r="O106" s="55" t="n"/>
      <c r="P106" s="55" t="n"/>
      <c r="Q106" s="55" t="n">
        <v>50</v>
      </c>
      <c r="R106" s="55" t="n"/>
      <c r="S106" s="55" t="n"/>
      <c r="T106" s="55" t="n"/>
      <c r="U106" s="55" t="n">
        <v>50</v>
      </c>
      <c r="V106" s="55" t="n"/>
      <c r="W106" s="55" t="n"/>
      <c r="X106" s="55" t="n"/>
      <c r="Y106" s="55" t="n"/>
      <c r="Z106" s="55" t="n">
        <v>50</v>
      </c>
      <c r="AA106" s="55" t="n"/>
      <c r="AB106" s="55" t="n"/>
      <c r="AC106" s="55" t="n"/>
      <c r="AD106" s="55" t="n">
        <v>50</v>
      </c>
      <c r="AE106" s="55" t="n"/>
      <c r="AF106" s="55" t="n"/>
      <c r="AG106" s="55" t="n"/>
      <c r="AH106" s="55" t="n">
        <v>50</v>
      </c>
      <c r="AI106" s="55" t="n"/>
      <c r="AJ106" s="55" t="n"/>
      <c r="AK106" s="55" t="n"/>
      <c r="AL106" s="55" t="n"/>
      <c r="AM106" s="55" t="n">
        <v>50</v>
      </c>
      <c r="AN106" s="55" t="n"/>
      <c r="AO106" s="55" t="n"/>
      <c r="AP106" s="55" t="n"/>
      <c r="AQ106" s="55" t="n">
        <v>50</v>
      </c>
      <c r="AR106" s="55" t="n"/>
      <c r="AS106" s="55" t="n"/>
      <c r="AT106" s="55" t="n"/>
      <c r="AU106" s="55" t="n">
        <v>50</v>
      </c>
      <c r="AV106" s="55" t="n"/>
      <c r="AW106" s="55" t="n"/>
      <c r="AX106" s="55" t="n"/>
      <c r="AY106" s="55" t="n"/>
      <c r="AZ106" s="55" t="n">
        <v>50</v>
      </c>
      <c r="BA106" s="55" t="n"/>
      <c r="BB106" s="55" t="n"/>
      <c r="BC106" s="55" t="n"/>
      <c r="BD106" s="55" t="n">
        <v>50</v>
      </c>
      <c r="BE106" s="55" t="n"/>
    </row>
    <row r="107" ht="15.75" customHeight="1"/>
    <row r="108" ht="15.75" customFormat="1" customHeight="1" s="1">
      <c r="A108" s="1" t="inlineStr">
        <is>
          <t>Other Marketing - Retail marketing, etc</t>
        </is>
      </c>
      <c r="D108" s="23" t="inlineStr">
        <is>
          <t>$k</t>
        </is>
      </c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</row>
    <row r="109" ht="15.75" customHeight="1">
      <c r="B109" s="9" t="inlineStr">
        <is>
          <t>Budgeted (Monthly)</t>
        </is>
      </c>
      <c r="C109" s="9" t="n"/>
      <c r="D109" s="10" t="inlineStr">
        <is>
          <t>$k</t>
        </is>
      </c>
      <c r="E109" s="55" t="n"/>
      <c r="F109" s="55" t="n"/>
      <c r="G109" s="55" t="n"/>
      <c r="H109" s="55" t="n">
        <v>2.5</v>
      </c>
      <c r="I109" s="55" t="n"/>
      <c r="J109" s="55" t="n"/>
      <c r="K109" s="55" t="n"/>
      <c r="L109" s="55" t="n">
        <v>2.5</v>
      </c>
      <c r="M109" s="55" t="n"/>
      <c r="N109" s="55" t="n"/>
      <c r="O109" s="55" t="n"/>
      <c r="P109" s="55" t="n"/>
      <c r="Q109" s="55" t="n">
        <v>2.5</v>
      </c>
      <c r="R109" s="55" t="n"/>
      <c r="S109" s="55" t="n"/>
      <c r="T109" s="55" t="n"/>
      <c r="U109" s="55" t="n">
        <v>502.5</v>
      </c>
      <c r="V109" s="55" t="n"/>
      <c r="W109" s="55" t="n"/>
      <c r="X109" s="55" t="n"/>
      <c r="Y109" s="55" t="n"/>
      <c r="Z109" s="55" t="n">
        <v>502.5</v>
      </c>
      <c r="AA109" s="55" t="n"/>
      <c r="AB109" s="55" t="n"/>
      <c r="AC109" s="55" t="n"/>
      <c r="AD109" s="55" t="n">
        <v>502.5</v>
      </c>
      <c r="AE109" s="55" t="n"/>
      <c r="AF109" s="55" t="n"/>
      <c r="AG109" s="55" t="n"/>
      <c r="AH109" s="55" t="n">
        <v>2.5</v>
      </c>
      <c r="AI109" s="55" t="n"/>
      <c r="AJ109" s="55" t="n"/>
      <c r="AK109" s="55" t="n"/>
      <c r="AL109" s="55" t="n"/>
      <c r="AM109" s="55" t="n">
        <v>2.5</v>
      </c>
      <c r="AN109" s="55" t="n"/>
      <c r="AO109" s="55" t="n"/>
      <c r="AP109" s="55" t="n"/>
      <c r="AQ109" s="55" t="n">
        <v>2.5</v>
      </c>
      <c r="AR109" s="55" t="n"/>
      <c r="AS109" s="55" t="n"/>
      <c r="AT109" s="55" t="n"/>
      <c r="AU109" s="55" t="n">
        <v>2.5</v>
      </c>
      <c r="AV109" s="55" t="n"/>
      <c r="AW109" s="55" t="n"/>
      <c r="AX109" s="55" t="n"/>
      <c r="AY109" s="55" t="n"/>
      <c r="AZ109" s="55" t="n">
        <v>2.5</v>
      </c>
      <c r="BA109" s="55" t="n"/>
      <c r="BB109" s="55" t="n"/>
      <c r="BC109" s="55" t="n"/>
      <c r="BD109" s="55" t="n">
        <v>2.5</v>
      </c>
      <c r="BE109" s="55" t="n"/>
    </row>
    <row r="110" ht="15.75" customHeight="1"/>
    <row r="111" ht="15.75" customHeight="1"/>
    <row r="112" ht="15.75" customFormat="1" customHeight="1" s="28">
      <c r="A112" s="27" t="inlineStr">
        <is>
          <t>The Home Depot (In-store + Online)</t>
        </is>
      </c>
      <c r="D112" s="29" t="n"/>
    </row>
    <row r="113" ht="15.75" customHeight="1">
      <c r="A113" s="1" t="inlineStr">
        <is>
          <t>Sell-in value</t>
        </is>
      </c>
      <c r="D113" s="23" t="inlineStr">
        <is>
          <t>$k</t>
        </is>
      </c>
      <c r="E113" s="53" t="n">
        <v>57.569</v>
      </c>
      <c r="F113" s="53" t="n">
        <v>222.528</v>
      </c>
      <c r="G113" s="53" t="n">
        <v>196.031</v>
      </c>
      <c r="H113" s="53" t="n">
        <v>142.685</v>
      </c>
      <c r="I113" s="53" t="n">
        <v>1550.09</v>
      </c>
      <c r="J113" s="53" t="n">
        <v>579.847</v>
      </c>
      <c r="K113" s="53" t="n">
        <v>80.14</v>
      </c>
      <c r="L113" s="53" t="n">
        <v>363.178</v>
      </c>
      <c r="M113" s="53" t="n">
        <v>133.191</v>
      </c>
      <c r="N113" s="53" t="n">
        <v>279.306</v>
      </c>
      <c r="O113" s="53" t="n">
        <v>125.933</v>
      </c>
      <c r="P113" s="53" t="n">
        <v>476.66</v>
      </c>
      <c r="Q113" s="53" t="n">
        <v>169.942</v>
      </c>
      <c r="R113" s="53" t="n">
        <v>-1119.731</v>
      </c>
      <c r="S113" s="53" t="n">
        <v>58.988</v>
      </c>
      <c r="T113" s="53" t="n">
        <v>191.748</v>
      </c>
      <c r="U113" s="53" t="n">
        <v>95.827</v>
      </c>
      <c r="V113" s="53" t="n">
        <v>192.472</v>
      </c>
      <c r="W113" s="53" t="n">
        <v>205.05</v>
      </c>
      <c r="X113" s="53" t="n">
        <v>247.52</v>
      </c>
      <c r="Y113" s="53" t="n">
        <v>372.917</v>
      </c>
      <c r="Z113" s="53" t="n">
        <v>136.111</v>
      </c>
      <c r="AA113" s="53" t="n">
        <v>104.763</v>
      </c>
      <c r="AB113" s="53" t="n">
        <v>1051.633</v>
      </c>
      <c r="AC113" s="53" t="n">
        <v>268.959</v>
      </c>
      <c r="AD113" s="53" t="n">
        <v>532.244</v>
      </c>
      <c r="AE113" s="53" t="n">
        <v>28.461</v>
      </c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</row>
    <row r="114" ht="15.75" customFormat="1" customHeight="1" s="4">
      <c r="A114" s="3" t="n"/>
      <c r="B114" s="4" t="inlineStr">
        <is>
          <t>% of Total - YTD</t>
        </is>
      </c>
      <c r="D114" s="32" t="inlineStr">
        <is>
          <t>%</t>
        </is>
      </c>
      <c r="E114" s="57">
        <f>IFERROR(SUM($E$113:E113)/SUM($E$3:E3),"")</f>
        <v/>
      </c>
      <c r="F114" s="57">
        <f>IFERROR(SUM($E$113:F113)/SUM($E$3:F3),"")</f>
        <v/>
      </c>
      <c r="G114" s="57">
        <f>IFERROR(SUM($E$113:G113)/SUM($E$3:G3),"")</f>
        <v/>
      </c>
      <c r="H114" s="57">
        <f>IFERROR(SUM($E$113:H113)/SUM($E$3:H3),"")</f>
        <v/>
      </c>
      <c r="I114" s="57">
        <f>IFERROR(SUM($E$113:I113)/SUM($E$3:I3),"")</f>
        <v/>
      </c>
      <c r="J114" s="57">
        <f>IFERROR(SUM($E$113:J113)/SUM($E$3:J3),"")</f>
        <v/>
      </c>
      <c r="K114" s="57">
        <f>IFERROR(SUM($E$113:K113)/SUM($E$3:K3),"")</f>
        <v/>
      </c>
      <c r="L114" s="57">
        <f>IFERROR(SUM($E$113:L113)/SUM($E$3:L3),"")</f>
        <v/>
      </c>
      <c r="M114" s="57">
        <f>IFERROR(SUM($E$113:M113)/SUM($E$3:M3),"")</f>
        <v/>
      </c>
      <c r="N114" s="57">
        <f>IFERROR(SUM($E$113:N113)/SUM($E$3:N3),"")</f>
        <v/>
      </c>
      <c r="O114" s="57">
        <f>IFERROR(SUM($E$113:O113)/SUM($E$3:O3),"")</f>
        <v/>
      </c>
      <c r="P114" s="57">
        <f>IFERROR(SUM($E$113:P113)/SUM($E$3:P3),"")</f>
        <v/>
      </c>
      <c r="Q114" s="57">
        <f>IFERROR(SUM($E$113:Q113)/SUM($E$3:Q3),"")</f>
        <v/>
      </c>
      <c r="R114" s="57">
        <f>IFERROR(SUM($E$113:R113)/SUM($E$3:R3),"")</f>
        <v/>
      </c>
      <c r="S114" s="57">
        <f>IFERROR(SUM($E$113:S113)/SUM($E$3:S3),"")</f>
        <v/>
      </c>
      <c r="T114" s="57">
        <f>IFERROR(SUM($E$113:T113)/SUM($E$3:T3),"")</f>
        <v/>
      </c>
      <c r="U114" s="57">
        <f>IFERROR(SUM($E$113:U113)/SUM($E$3:U3),"")</f>
        <v/>
      </c>
      <c r="V114" s="57">
        <f>IFERROR(SUM($E$113:V113)/SUM($E$3:V3),"")</f>
        <v/>
      </c>
      <c r="W114" s="57">
        <f>IFERROR(SUM($E$113:W113)/SUM($E$3:W3),"")</f>
        <v/>
      </c>
      <c r="X114" s="57">
        <f>IFERROR(SUM($E$113:X113)/SUM($E$3:X3),"")</f>
        <v/>
      </c>
      <c r="Y114" s="57">
        <f>IFERROR(SUM($E$113:Y113)/SUM($E$3:Y3),"")</f>
        <v/>
      </c>
      <c r="Z114" s="57">
        <f>IFERROR(SUM($E$113:Z113)/SUM($E$3:Z3),"")</f>
        <v/>
      </c>
      <c r="AA114" s="57">
        <f>IFERROR(SUM($E$113:AA113)/SUM($E$3:AA3),"")</f>
        <v/>
      </c>
      <c r="AB114" s="57">
        <f>IFERROR(SUM($E$113:AB113)/SUM($E$3:AB3),"")</f>
        <v/>
      </c>
      <c r="AC114" s="57">
        <f>IFERROR(SUM($E$113:AC113)/SUM($E$3:AC3),"")</f>
        <v/>
      </c>
      <c r="AD114" s="57">
        <f>IFERROR(SUM($E$113:AD113)/SUM($E$3:AD3),"")</f>
        <v/>
      </c>
      <c r="AE114" s="57">
        <f>IFERROR(SUM($E$113:AE113)/SUM($E$3:AE3),"")</f>
        <v/>
      </c>
      <c r="AF114" s="57" t="n"/>
      <c r="AG114" s="57" t="n"/>
      <c r="AH114" s="57" t="n"/>
      <c r="AI114" s="57" t="n"/>
      <c r="AJ114" s="57" t="n"/>
      <c r="AK114" s="57" t="n"/>
      <c r="AL114" s="57" t="n"/>
      <c r="AM114" s="57" t="n"/>
      <c r="AN114" s="57" t="n"/>
      <c r="AO114" s="57" t="n"/>
      <c r="AP114" s="57" t="n"/>
      <c r="AQ114" s="57" t="n"/>
      <c r="AR114" s="57" t="n"/>
      <c r="AS114" s="57" t="n"/>
      <c r="AT114" s="57" t="n"/>
      <c r="AU114" s="57" t="n"/>
      <c r="AV114" s="57" t="n"/>
      <c r="AW114" s="57" t="n"/>
      <c r="AX114" s="57" t="n"/>
      <c r="AY114" s="57" t="n"/>
      <c r="AZ114" s="57" t="n"/>
      <c r="BA114" s="57" t="n"/>
      <c r="BB114" s="57" t="n"/>
      <c r="BC114" s="57" t="n"/>
      <c r="BD114" s="57" t="n"/>
      <c r="BE114" s="57" t="n"/>
    </row>
    <row r="115" ht="15.75" customFormat="1" customHeight="1" s="7">
      <c r="B115" s="7" t="inlineStr">
        <is>
          <t>% of Target</t>
        </is>
      </c>
      <c r="D115" s="8" t="inlineStr">
        <is>
          <t>%</t>
        </is>
      </c>
      <c r="E115" s="54">
        <f>IFERROR(E113/E117,"")</f>
        <v/>
      </c>
      <c r="F115" s="54">
        <f>IFERROR(F113/F117,"")</f>
        <v/>
      </c>
      <c r="G115" s="54">
        <f>IFERROR(G113/G117,"")</f>
        <v/>
      </c>
      <c r="H115" s="54">
        <f>IFERROR(H113/H117,"")</f>
        <v/>
      </c>
      <c r="I115" s="54">
        <f>IFERROR(I113/I117,"")</f>
        <v/>
      </c>
      <c r="J115" s="54">
        <f>IFERROR(J113/J117,"")</f>
        <v/>
      </c>
      <c r="K115" s="54">
        <f>IFERROR(K113/K117,"")</f>
        <v/>
      </c>
      <c r="L115" s="54">
        <f>IFERROR(L113/L117,"")</f>
        <v/>
      </c>
      <c r="M115" s="54">
        <f>IFERROR(M113/M117,"")</f>
        <v/>
      </c>
      <c r="N115" s="54">
        <f>IFERROR(N113/N117,"")</f>
        <v/>
      </c>
      <c r="O115" s="54">
        <f>IFERROR(O113/O117,"")</f>
        <v/>
      </c>
      <c r="P115" s="54">
        <f>IFERROR(P113/P117,"")</f>
        <v/>
      </c>
      <c r="Q115" s="54">
        <f>IFERROR(Q113/Q117,"")</f>
        <v/>
      </c>
      <c r="R115" s="54">
        <f>IFERROR(R113/R117,"")</f>
        <v/>
      </c>
      <c r="S115" s="54">
        <f>IFERROR(S113/S117,"")</f>
        <v/>
      </c>
      <c r="T115" s="54">
        <f>IFERROR(T113/T117,"")</f>
        <v/>
      </c>
      <c r="U115" s="54">
        <f>IFERROR(U113/U117,"")</f>
        <v/>
      </c>
      <c r="V115" s="54">
        <f>IFERROR(V113/V117,"")</f>
        <v/>
      </c>
      <c r="W115" s="54">
        <f>IFERROR(W113/W117,"")</f>
        <v/>
      </c>
      <c r="X115" s="54">
        <f>IFERROR(X113/X117,"")</f>
        <v/>
      </c>
      <c r="Y115" s="54">
        <f>IFERROR(Y113/Y117,"")</f>
        <v/>
      </c>
      <c r="Z115" s="54">
        <f>IFERROR(Z113/Z117,"")</f>
        <v/>
      </c>
      <c r="AA115" s="54">
        <f>IFERROR(AA113/AA117,"")</f>
        <v/>
      </c>
      <c r="AB115" s="54">
        <f>IFERROR(AB113/AB117,"")</f>
        <v/>
      </c>
      <c r="AC115" s="54">
        <f>IFERROR(AC113/AC117,"")</f>
        <v/>
      </c>
      <c r="AD115" s="54">
        <f>IFERROR(AD113/AD117,"")</f>
        <v/>
      </c>
      <c r="AE115" s="54">
        <f>IFERROR(AE113/AE117,"")</f>
        <v/>
      </c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</row>
    <row r="116" ht="15.75" customFormat="1" customHeight="1" s="7">
      <c r="B116" s="7" t="inlineStr">
        <is>
          <t>% of Target - YTD</t>
        </is>
      </c>
      <c r="C116" s="15" t="n"/>
      <c r="D116" s="16" t="inlineStr">
        <is>
          <t>%</t>
        </is>
      </c>
      <c r="E116" s="54">
        <f>IFERROR(SUM($E$113:E113)/SUM($E$117:E117),"")</f>
        <v/>
      </c>
      <c r="F116" s="54">
        <f>IFERROR(SUM($E$113:F113)/SUM($E$117:F117),"")</f>
        <v/>
      </c>
      <c r="G116" s="54">
        <f>IFERROR(SUM($E$113:G113)/SUM($E$117:G117),"")</f>
        <v/>
      </c>
      <c r="H116" s="54">
        <f>IFERROR(SUM($E$113:H113)/SUM($E$117:H117),"")</f>
        <v/>
      </c>
      <c r="I116" s="54">
        <f>IFERROR(SUM($E$113:I113)/SUM($E$117:I117),"")</f>
        <v/>
      </c>
      <c r="J116" s="54">
        <f>IFERROR(SUM($E$113:J113)/SUM($E$117:J117),"")</f>
        <v/>
      </c>
      <c r="K116" s="54">
        <f>IFERROR(SUM($E$113:K113)/SUM($E$117:K117),"")</f>
        <v/>
      </c>
      <c r="L116" s="54">
        <f>IFERROR(SUM($E$113:L113)/SUM($E$117:L117),"")</f>
        <v/>
      </c>
      <c r="M116" s="54">
        <f>IFERROR(SUM($E$113:M113)/SUM($E$117:M117),"")</f>
        <v/>
      </c>
      <c r="N116" s="54">
        <f>IFERROR(SUM($E$113:N113)/SUM($E$117:N117),"")</f>
        <v/>
      </c>
      <c r="O116" s="54">
        <f>IFERROR(SUM($E$113:O113)/SUM($E$117:O117),"")</f>
        <v/>
      </c>
      <c r="P116" s="54">
        <f>IFERROR(SUM($E$113:P113)/SUM($E$117:P117),"")</f>
        <v/>
      </c>
      <c r="Q116" s="54">
        <f>IFERROR(SUM($E$113:Q113)/SUM($E$117:Q117),"")</f>
        <v/>
      </c>
      <c r="R116" s="54">
        <f>IFERROR(SUM($E$113:R113)/SUM($E$117:R117),"")</f>
        <v/>
      </c>
      <c r="S116" s="54">
        <f>IFERROR(SUM($E$113:S113)/SUM($E$117:S117),"")</f>
        <v/>
      </c>
      <c r="T116" s="54">
        <f>IFERROR(SUM($E$113:T113)/SUM($E$117:T117),"")</f>
        <v/>
      </c>
      <c r="U116" s="54">
        <f>IFERROR(SUM($E$113:U113)/SUM($E$117:U117),"")</f>
        <v/>
      </c>
      <c r="V116" s="54">
        <f>IFERROR(SUM($E$113:V113)/SUM($E$117:V117),"")</f>
        <v/>
      </c>
      <c r="W116" s="54">
        <f>IFERROR(SUM($E$113:W113)/SUM($E$117:W117),"")</f>
        <v/>
      </c>
      <c r="X116" s="54">
        <f>IFERROR(SUM($E$113:X113)/SUM($E$117:X117),"")</f>
        <v/>
      </c>
      <c r="Y116" s="54">
        <f>IFERROR(SUM($E$113:Y113)/SUM($E$117:Y117),"")</f>
        <v/>
      </c>
      <c r="Z116" s="54">
        <f>IFERROR(SUM($E$113:Z113)/SUM($E$117:Z117),"")</f>
        <v/>
      </c>
      <c r="AA116" s="54">
        <f>IFERROR(SUM($E$113:AA113)/SUM($E$117:AA117),"")</f>
        <v/>
      </c>
      <c r="AB116" s="54">
        <f>IFERROR(SUM($E$113:AB113)/SUM($E$117:AB117),"")</f>
        <v/>
      </c>
      <c r="AC116" s="54">
        <f>IFERROR(SUM($E$113:AC113)/SUM($E$117:AC117),"")</f>
        <v/>
      </c>
      <c r="AD116" s="54">
        <f>IFERROR(SUM($E$113:AD113)/SUM($E$117:AD117),"")</f>
        <v/>
      </c>
      <c r="AE116" s="54">
        <f>IFERROR(SUM($E$113:AE113)/SUM($E$117:AE117),"")</f>
        <v/>
      </c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</row>
    <row r="117" ht="15.75" customFormat="1" customHeight="1" s="9">
      <c r="A117" s="50">
        <f>SUM(E117:BE117)</f>
        <v/>
      </c>
      <c r="B117" s="9" t="inlineStr">
        <is>
          <t>Target</t>
        </is>
      </c>
      <c r="D117" s="10" t="inlineStr">
        <is>
          <t>$k</t>
        </is>
      </c>
      <c r="E117" s="55" t="n">
        <v>371.427515208</v>
      </c>
      <c r="F117" s="55" t="n">
        <v>649.998151614</v>
      </c>
      <c r="G117" s="55" t="n">
        <v>649.998151614</v>
      </c>
      <c r="H117" s="55" t="n">
        <v>649.998151614</v>
      </c>
      <c r="I117" s="55" t="n">
        <v>593.715730214</v>
      </c>
      <c r="J117" s="55" t="n">
        <v>256.02325</v>
      </c>
      <c r="K117" s="55" t="n">
        <v>256.02325</v>
      </c>
      <c r="L117" s="55" t="n">
        <v>256.02325</v>
      </c>
      <c r="M117" s="55" t="n">
        <v>261.432611856</v>
      </c>
      <c r="N117" s="55" t="n">
        <v>293.886734806</v>
      </c>
      <c r="O117" s="55" t="n">
        <v>293.886734806</v>
      </c>
      <c r="P117" s="55" t="n">
        <v>293.886734806</v>
      </c>
      <c r="Q117" s="55" t="n">
        <v>293.886734806</v>
      </c>
      <c r="R117" s="55" t="n">
        <v>274.713186673</v>
      </c>
      <c r="S117" s="55" t="n">
        <v>267.042851843</v>
      </c>
      <c r="T117" s="55" t="n">
        <v>267.042851843</v>
      </c>
      <c r="U117" s="55" t="n">
        <v>267.042851843</v>
      </c>
      <c r="V117" s="55" t="n">
        <v>284.745874639</v>
      </c>
      <c r="W117" s="55" t="n">
        <v>308.350286524</v>
      </c>
      <c r="X117" s="55" t="n">
        <v>308.350286524</v>
      </c>
      <c r="Y117" s="55" t="n">
        <v>308.350286524</v>
      </c>
      <c r="Z117" s="55" t="n">
        <v>308.350286524</v>
      </c>
      <c r="AA117" s="55" t="n">
        <v>313.450685546</v>
      </c>
      <c r="AB117" s="55" t="n">
        <v>313.450685546</v>
      </c>
      <c r="AC117" s="55" t="n">
        <v>313.450685546</v>
      </c>
      <c r="AD117" s="55" t="n">
        <v>313.450685546</v>
      </c>
      <c r="AE117" s="55" t="n">
        <v>369.655741354</v>
      </c>
      <c r="AF117" s="55" t="n">
        <v>392.13695766</v>
      </c>
      <c r="AG117" s="55" t="n">
        <v>392.13695766</v>
      </c>
      <c r="AH117" s="55" t="n">
        <v>392.13695766</v>
      </c>
      <c r="AI117" s="55" t="n">
        <v>390.416380456</v>
      </c>
      <c r="AJ117" s="55" t="n">
        <v>386.114937446</v>
      </c>
      <c r="AK117" s="55" t="n">
        <v>386.114937446</v>
      </c>
      <c r="AL117" s="55" t="n">
        <v>386.114937446</v>
      </c>
      <c r="AM117" s="55" t="n">
        <v>386.114937446</v>
      </c>
      <c r="AN117" s="55" t="n">
        <v>1096.685076778</v>
      </c>
      <c r="AO117" s="55" t="n">
        <v>1215.111697457</v>
      </c>
      <c r="AP117" s="55" t="n">
        <v>1215.111697457</v>
      </c>
      <c r="AQ117" s="55" t="n">
        <v>1215.111697457</v>
      </c>
      <c r="AR117" s="55" t="n">
        <v>762.75015796</v>
      </c>
      <c r="AS117" s="55" t="n">
        <v>423.47770143</v>
      </c>
      <c r="AT117" s="55" t="n">
        <v>423.47770143</v>
      </c>
      <c r="AU117" s="55" t="n">
        <v>423.47770143</v>
      </c>
      <c r="AV117" s="55" t="n">
        <v>412.543824639</v>
      </c>
      <c r="AW117" s="55" t="n">
        <v>346.943537699</v>
      </c>
      <c r="AX117" s="55" t="n">
        <v>346.943537699</v>
      </c>
      <c r="AY117" s="55" t="n">
        <v>346.943537699</v>
      </c>
      <c r="AZ117" s="55" t="n">
        <v>346.943537699</v>
      </c>
      <c r="BA117" s="55" t="n">
        <v>309.860804199</v>
      </c>
      <c r="BB117" s="55" t="n">
        <v>303.68084425</v>
      </c>
      <c r="BC117" s="55" t="n">
        <v>303.68084425</v>
      </c>
      <c r="BD117" s="55" t="n">
        <v>303.68084425</v>
      </c>
      <c r="BE117" s="55" t="n">
        <v>173.531911</v>
      </c>
    </row>
    <row r="118" ht="15.75" customHeight="1"/>
    <row r="119" ht="15.75" customHeight="1">
      <c r="A119" s="1" t="inlineStr">
        <is>
          <t xml:space="preserve">Sell-through units </t>
        </is>
      </c>
      <c r="D119" s="23" t="inlineStr">
        <is>
          <t>#</t>
        </is>
      </c>
      <c r="E119" s="53" t="n">
        <v>7925</v>
      </c>
      <c r="F119" s="53" t="n">
        <v>6591</v>
      </c>
      <c r="G119" s="53" t="n">
        <v>6586</v>
      </c>
      <c r="H119" s="53" t="n">
        <v>6032</v>
      </c>
      <c r="I119" s="53" t="n">
        <v>5612</v>
      </c>
      <c r="J119" s="53" t="n">
        <v>5652</v>
      </c>
      <c r="K119" s="53" t="n">
        <v>6200</v>
      </c>
      <c r="L119" s="53" t="n">
        <v>6980</v>
      </c>
      <c r="M119" s="53" t="n">
        <v>7594</v>
      </c>
      <c r="N119" s="53" t="n">
        <v>7368</v>
      </c>
      <c r="O119" s="53" t="n">
        <v>7153</v>
      </c>
      <c r="P119" s="53" t="n">
        <v>6180</v>
      </c>
      <c r="Q119" s="53" t="n">
        <v>6985</v>
      </c>
      <c r="R119" s="53" t="n">
        <v>6180</v>
      </c>
      <c r="S119" s="53" t="n">
        <v>6722</v>
      </c>
      <c r="T119" s="53" t="n">
        <v>6514</v>
      </c>
      <c r="U119" s="53" t="n">
        <v>5646</v>
      </c>
      <c r="V119" s="53" t="n">
        <v>5684</v>
      </c>
      <c r="W119" s="53" t="n">
        <v>5775</v>
      </c>
      <c r="X119" s="53" t="n">
        <v>5340</v>
      </c>
      <c r="Y119" s="53" t="n">
        <v>6157</v>
      </c>
      <c r="Z119" s="53" t="n">
        <v>6522</v>
      </c>
      <c r="AA119" s="53" t="n">
        <v>7764</v>
      </c>
      <c r="AB119" s="53" t="n">
        <v>8184</v>
      </c>
      <c r="AC119" s="53" t="n">
        <v>9340</v>
      </c>
      <c r="AD119" s="53" t="n">
        <v>9385</v>
      </c>
      <c r="AE119" s="53" t="n">
        <v>6683</v>
      </c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</row>
    <row r="120" ht="15.75" customFormat="1" customHeight="1" s="4">
      <c r="A120" s="3" t="n"/>
      <c r="B120" s="4" t="inlineStr">
        <is>
          <t>% of Total - YTD</t>
        </is>
      </c>
      <c r="D120" s="32" t="inlineStr">
        <is>
          <t>%</t>
        </is>
      </c>
      <c r="E120" s="57">
        <f>IFERROR(SUM($E$119:E119)/SUM($E$4:E4),"")</f>
        <v/>
      </c>
      <c r="F120" s="57">
        <f>IFERROR(SUM($E$119:F119)/SUM($E$4:F4),"")</f>
        <v/>
      </c>
      <c r="G120" s="57">
        <f>IFERROR(SUM($E$119:G119)/SUM($E$4:G4),"")</f>
        <v/>
      </c>
      <c r="H120" s="57">
        <f>IFERROR(SUM($E$119:H119)/SUM($E$4:H4),"")</f>
        <v/>
      </c>
      <c r="I120" s="57">
        <f>IFERROR(SUM($E$119:I119)/SUM($E$4:I4),"")</f>
        <v/>
      </c>
      <c r="J120" s="57">
        <f>IFERROR(SUM($E$119:J119)/SUM($E$4:J4),"")</f>
        <v/>
      </c>
      <c r="K120" s="57">
        <f>IFERROR(SUM($E$119:K119)/SUM($E$4:K4),"")</f>
        <v/>
      </c>
      <c r="L120" s="57">
        <f>IFERROR(SUM($E$119:L119)/SUM($E$4:L4),"")</f>
        <v/>
      </c>
      <c r="M120" s="57">
        <f>IFERROR(SUM($E$119:M119)/SUM($E$4:M4),"")</f>
        <v/>
      </c>
      <c r="N120" s="57">
        <f>IFERROR(SUM($E$119:N119)/SUM($E$4:N4),"")</f>
        <v/>
      </c>
      <c r="O120" s="57">
        <f>IFERROR(SUM($E$119:O119)/SUM($E$4:O4),"")</f>
        <v/>
      </c>
      <c r="P120" s="57">
        <f>IFERROR(SUM($E$119:P119)/SUM($E$4:P4),"")</f>
        <v/>
      </c>
      <c r="Q120" s="57">
        <f>IFERROR(SUM($E$119:Q119)/SUM($E$4:Q4),"")</f>
        <v/>
      </c>
      <c r="R120" s="57">
        <f>IFERROR(SUM($E$119:R119)/SUM($E$4:R4),"")</f>
        <v/>
      </c>
      <c r="S120" s="57">
        <f>IFERROR(SUM($E$119:S119)/SUM($E$4:S4),"")</f>
        <v/>
      </c>
      <c r="T120" s="57">
        <f>IFERROR(SUM($E$119:T119)/SUM($E$4:T4),"")</f>
        <v/>
      </c>
      <c r="U120" s="57">
        <f>IFERROR(SUM($E$119:U119)/SUM($E$4:U4),"")</f>
        <v/>
      </c>
      <c r="V120" s="57">
        <f>IFERROR(SUM($E$119:V119)/SUM($E$4:V4),"")</f>
        <v/>
      </c>
      <c r="W120" s="57">
        <f>IFERROR(SUM($E$119:W119)/SUM($E$4:W4),"")</f>
        <v/>
      </c>
      <c r="X120" s="57">
        <f>IFERROR(SUM($E$119:X119)/SUM($E$4:X4),"")</f>
        <v/>
      </c>
      <c r="Y120" s="57">
        <f>IFERROR(SUM($E$119:Y119)/SUM($E$4:Y4),"")</f>
        <v/>
      </c>
      <c r="Z120" s="57">
        <f>IFERROR(SUM($E$119:Z119)/SUM($E$4:Z4),"")</f>
        <v/>
      </c>
      <c r="AA120" s="57">
        <f>IFERROR(SUM($E$119:AA119)/SUM($E$4:AA4),"")</f>
        <v/>
      </c>
      <c r="AB120" s="57">
        <f>IFERROR(SUM($E$119:AB119)/SUM($E$4:AB4),"")</f>
        <v/>
      </c>
      <c r="AC120" s="57">
        <f>IFERROR(SUM($E$119:AC119)/SUM($E$4:AC4),"")</f>
        <v/>
      </c>
      <c r="AD120" s="57">
        <f>IFERROR(SUM($E$119:AD119)/SUM($E$4:AD4),"")</f>
        <v/>
      </c>
      <c r="AE120" s="57">
        <f>IFERROR(SUM($E$119:AE119)/SUM($E$4:AE4),"")</f>
        <v/>
      </c>
      <c r="AF120" s="57" t="n"/>
      <c r="AG120" s="57" t="n"/>
      <c r="AH120" s="57" t="n"/>
      <c r="AI120" s="57" t="n"/>
      <c r="AJ120" s="57" t="n"/>
      <c r="AK120" s="57" t="n"/>
      <c r="AL120" s="57" t="n"/>
      <c r="AM120" s="57" t="n"/>
      <c r="AN120" s="57" t="n"/>
      <c r="AO120" s="57" t="n"/>
      <c r="AP120" s="57" t="n"/>
      <c r="AQ120" s="57" t="n"/>
      <c r="AR120" s="57" t="n"/>
      <c r="AS120" s="57" t="n"/>
      <c r="AT120" s="57" t="n"/>
      <c r="AU120" s="57" t="n"/>
      <c r="AV120" s="57" t="n"/>
      <c r="AW120" s="57" t="n"/>
      <c r="AX120" s="57" t="n"/>
      <c r="AY120" s="57" t="n"/>
      <c r="AZ120" s="57" t="n"/>
      <c r="BA120" s="57" t="n"/>
      <c r="BB120" s="57" t="n"/>
      <c r="BC120" s="57" t="n"/>
      <c r="BD120" s="57" t="n"/>
      <c r="BE120" s="57" t="n"/>
    </row>
    <row r="121" ht="15.75" customFormat="1" customHeight="1" s="15">
      <c r="A121" s="14" t="n"/>
      <c r="B121" s="15" t="inlineStr">
        <is>
          <t>% of Target</t>
        </is>
      </c>
      <c r="D121" s="16" t="inlineStr">
        <is>
          <t>%</t>
        </is>
      </c>
      <c r="E121" s="54">
        <f>IFERROR(E119/E123,"")</f>
        <v/>
      </c>
      <c r="F121" s="54">
        <f>IFERROR(F119/F123,"")</f>
        <v/>
      </c>
      <c r="G121" s="54">
        <f>IFERROR(G119/G123,"")</f>
        <v/>
      </c>
      <c r="H121" s="54">
        <f>IFERROR(H119/H123,"")</f>
        <v/>
      </c>
      <c r="I121" s="54">
        <f>IFERROR(I119/I123,"")</f>
        <v/>
      </c>
      <c r="J121" s="54">
        <f>IFERROR(J119/J123,"")</f>
        <v/>
      </c>
      <c r="K121" s="54">
        <f>IFERROR(K119/K123,"")</f>
        <v/>
      </c>
      <c r="L121" s="54">
        <f>IFERROR(L119/L123,"")</f>
        <v/>
      </c>
      <c r="M121" s="54">
        <f>IFERROR(M119/M123,"")</f>
        <v/>
      </c>
      <c r="N121" s="54">
        <f>IFERROR(N119/N123,"")</f>
        <v/>
      </c>
      <c r="O121" s="54">
        <f>IFERROR(O119/O123,"")</f>
        <v/>
      </c>
      <c r="P121" s="54">
        <f>IFERROR(P119/P123,"")</f>
        <v/>
      </c>
      <c r="Q121" s="54">
        <f>IFERROR(Q119/Q123,"")</f>
        <v/>
      </c>
      <c r="R121" s="54">
        <f>IFERROR(R119/R123,"")</f>
        <v/>
      </c>
      <c r="S121" s="54">
        <f>IFERROR(S119/S123,"")</f>
        <v/>
      </c>
      <c r="T121" s="54">
        <f>IFERROR(T119/T123,"")</f>
        <v/>
      </c>
      <c r="U121" s="54">
        <f>IFERROR(U119/U123,"")</f>
        <v/>
      </c>
      <c r="V121" s="54">
        <f>IFERROR(V119/V123,"")</f>
        <v/>
      </c>
      <c r="W121" s="54">
        <f>IFERROR(W119/W123,"")</f>
        <v/>
      </c>
      <c r="X121" s="54">
        <f>IFERROR(X119/X123,"")</f>
        <v/>
      </c>
      <c r="Y121" s="54">
        <f>IFERROR(Y119/Y123,"")</f>
        <v/>
      </c>
      <c r="Z121" s="54">
        <f>IFERROR(Z119/Z123,"")</f>
        <v/>
      </c>
      <c r="AA121" s="54">
        <f>IFERROR(AA119/AA123,"")</f>
        <v/>
      </c>
      <c r="AB121" s="54">
        <f>IFERROR(AB119/AB123,"")</f>
        <v/>
      </c>
      <c r="AC121" s="54">
        <f>IFERROR(AC119/AC123,"")</f>
        <v/>
      </c>
      <c r="AD121" s="54">
        <f>IFERROR(AD119/AD123,"")</f>
        <v/>
      </c>
      <c r="AE121" s="54">
        <f>IFERROR(AE119/AE123,"")</f>
        <v/>
      </c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</row>
    <row r="122" ht="15.75" customFormat="1" customHeight="1" s="15">
      <c r="A122" s="50" t="n"/>
      <c r="B122" s="7" t="inlineStr">
        <is>
          <t>% of Target - YTD</t>
        </is>
      </c>
      <c r="D122" s="16" t="inlineStr">
        <is>
          <t>%</t>
        </is>
      </c>
      <c r="E122" s="54">
        <f>IFERROR(SUM($E$119:E119)/SUM($E$123:E123),"")</f>
        <v/>
      </c>
      <c r="F122" s="54">
        <f>IFERROR(SUM($E$119:F119)/SUM($E$123:F123),"")</f>
        <v/>
      </c>
      <c r="G122" s="54">
        <f>IFERROR(SUM($E$119:G119)/SUM($E$123:G123),"")</f>
        <v/>
      </c>
      <c r="H122" s="54">
        <f>IFERROR(SUM($E$119:H119)/SUM($E$123:H123),"")</f>
        <v/>
      </c>
      <c r="I122" s="54">
        <f>IFERROR(SUM($E$119:I119)/SUM($E$123:I123),"")</f>
        <v/>
      </c>
      <c r="J122" s="54">
        <f>IFERROR(SUM($E$119:J119)/SUM($E$123:J123),"")</f>
        <v/>
      </c>
      <c r="K122" s="54">
        <f>IFERROR(SUM($E$119:K119)/SUM($E$123:K123),"")</f>
        <v/>
      </c>
      <c r="L122" s="54">
        <f>IFERROR(SUM($E$119:L119)/SUM($E$123:L123),"")</f>
        <v/>
      </c>
      <c r="M122" s="54">
        <f>IFERROR(SUM($E$119:M119)/SUM($E$123:M123),"")</f>
        <v/>
      </c>
      <c r="N122" s="54">
        <f>IFERROR(SUM($E$119:N119)/SUM($E$123:N123),"")</f>
        <v/>
      </c>
      <c r="O122" s="54">
        <f>IFERROR(SUM($E$119:O119)/SUM($E$123:O123),"")</f>
        <v/>
      </c>
      <c r="P122" s="54">
        <f>IFERROR(SUM($E$119:P119)/SUM($E$123:P123),"")</f>
        <v/>
      </c>
      <c r="Q122" s="54">
        <f>IFERROR(SUM($E$119:Q119)/SUM($E$123:Q123),"")</f>
        <v/>
      </c>
      <c r="R122" s="54">
        <f>IFERROR(SUM($E$119:R119)/SUM($E$123:R123),"")</f>
        <v/>
      </c>
      <c r="S122" s="54">
        <f>IFERROR(SUM($E$119:S119)/SUM($E$123:S123),"")</f>
        <v/>
      </c>
      <c r="T122" s="54">
        <f>IFERROR(SUM($E$119:T119)/SUM($E$123:T123),"")</f>
        <v/>
      </c>
      <c r="U122" s="54">
        <f>IFERROR(SUM($E$119:U119)/SUM($E$123:U123),"")</f>
        <v/>
      </c>
      <c r="V122" s="54">
        <f>IFERROR(SUM($E$119:V119)/SUM($E$123:V123),"")</f>
        <v/>
      </c>
      <c r="W122" s="54">
        <f>IFERROR(SUM($E$119:W119)/SUM($E$123:W123),"")</f>
        <v/>
      </c>
      <c r="X122" s="54">
        <f>IFERROR(SUM($E$119:X119)/SUM($E$123:X123),"")</f>
        <v/>
      </c>
      <c r="Y122" s="54">
        <f>IFERROR(SUM($E$119:Y119)/SUM($E$123:Y123),"")</f>
        <v/>
      </c>
      <c r="Z122" s="54">
        <f>IFERROR(SUM($E$119:Z119)/SUM($E$123:Z123),"")</f>
        <v/>
      </c>
      <c r="AA122" s="54">
        <f>IFERROR(SUM($E$119:AA119)/SUM($E$123:AA123),"")</f>
        <v/>
      </c>
      <c r="AB122" s="54">
        <f>IFERROR(SUM($E$119:AB119)/SUM($E$123:AB123),"")</f>
        <v/>
      </c>
      <c r="AC122" s="54">
        <f>IFERROR(SUM($E$119:AC119)/SUM($E$123:AC123),"")</f>
        <v/>
      </c>
      <c r="AD122" s="54">
        <f>IFERROR(SUM($E$119:AD119)/SUM($E$123:AD123),"")</f>
        <v/>
      </c>
      <c r="AE122" s="54">
        <f>IFERROR(SUM($E$119:AE119)/SUM($E$123:AE123),"")</f>
        <v/>
      </c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</row>
    <row r="123" ht="15.75" customFormat="1" customHeight="1" s="12">
      <c r="A123" s="50">
        <f>SUM(E123:BE123)</f>
        <v/>
      </c>
      <c r="B123" s="12" t="inlineStr">
        <is>
          <t>Target</t>
        </is>
      </c>
      <c r="D123" s="13" t="inlineStr">
        <is>
          <t>#</t>
        </is>
      </c>
      <c r="E123" s="55" t="n">
        <v>7925</v>
      </c>
      <c r="F123" s="55" t="n">
        <v>20532</v>
      </c>
      <c r="G123" s="55" t="n">
        <v>9377</v>
      </c>
      <c r="H123" s="55" t="n">
        <v>9369</v>
      </c>
      <c r="I123" s="55" t="n">
        <v>9255</v>
      </c>
      <c r="J123" s="55" t="n">
        <v>6331</v>
      </c>
      <c r="K123" s="55" t="n">
        <v>6845</v>
      </c>
      <c r="L123" s="55" t="n">
        <v>5480</v>
      </c>
      <c r="M123" s="55" t="n">
        <v>5272</v>
      </c>
      <c r="N123" s="55" t="n">
        <v>5374</v>
      </c>
      <c r="O123" s="55" t="n">
        <v>5477</v>
      </c>
      <c r="P123" s="55" t="n">
        <v>7760</v>
      </c>
      <c r="Q123" s="55" t="n">
        <v>3420</v>
      </c>
      <c r="R123" s="55" t="n">
        <v>3449</v>
      </c>
      <c r="S123" s="55" t="n">
        <v>5226</v>
      </c>
      <c r="T123" s="55" t="n">
        <v>3809</v>
      </c>
      <c r="U123" s="55" t="n">
        <v>6205</v>
      </c>
      <c r="V123" s="55" t="n">
        <v>5652</v>
      </c>
      <c r="W123" s="55" t="n">
        <v>6138</v>
      </c>
      <c r="X123" s="55" t="n">
        <v>6138</v>
      </c>
      <c r="Y123" s="55" t="n">
        <v>6899</v>
      </c>
      <c r="Z123" s="55" t="n">
        <v>5738</v>
      </c>
      <c r="AA123" s="55" t="n">
        <v>7185</v>
      </c>
      <c r="AB123" s="55" t="n">
        <v>6514</v>
      </c>
      <c r="AC123" s="55" t="n">
        <v>5989</v>
      </c>
      <c r="AD123" s="55" t="n">
        <v>6514</v>
      </c>
      <c r="AE123" s="55" t="n">
        <v>6238</v>
      </c>
      <c r="AF123" s="55" t="n">
        <v>14374</v>
      </c>
      <c r="AG123" s="55" t="n">
        <v>7058</v>
      </c>
      <c r="AH123" s="55" t="n">
        <v>6808</v>
      </c>
      <c r="AI123" s="55" t="n">
        <v>6863</v>
      </c>
      <c r="AJ123" s="55" t="n">
        <v>9149</v>
      </c>
      <c r="AK123" s="55" t="n">
        <v>6705</v>
      </c>
      <c r="AL123" s="55" t="n">
        <v>6913</v>
      </c>
      <c r="AM123" s="55" t="n">
        <v>6750</v>
      </c>
      <c r="AN123" s="55" t="n">
        <v>13610</v>
      </c>
      <c r="AO123" s="55" t="n">
        <v>18151</v>
      </c>
      <c r="AP123" s="55" t="n">
        <v>18146</v>
      </c>
      <c r="AQ123" s="55" t="n">
        <v>58872</v>
      </c>
      <c r="AR123" s="55" t="n">
        <v>10852</v>
      </c>
      <c r="AS123" s="55" t="n">
        <v>7754</v>
      </c>
      <c r="AT123" s="55" t="n">
        <v>16736</v>
      </c>
      <c r="AU123" s="55" t="n">
        <v>7121</v>
      </c>
      <c r="AV123" s="55" t="n">
        <v>6604</v>
      </c>
      <c r="AW123" s="55" t="n">
        <v>5336</v>
      </c>
      <c r="AX123" s="55" t="n">
        <v>5213</v>
      </c>
      <c r="AY123" s="55" t="n">
        <v>5051</v>
      </c>
      <c r="AZ123" s="55" t="n">
        <v>5602</v>
      </c>
      <c r="BA123" s="55" t="n">
        <v>7898</v>
      </c>
      <c r="BB123" s="55" t="n">
        <v>8000</v>
      </c>
      <c r="BC123" s="55" t="n">
        <v>8000</v>
      </c>
      <c r="BD123" s="55" t="n">
        <v>7752</v>
      </c>
      <c r="BE123" s="55" t="n"/>
    </row>
    <row r="124" ht="15.75" customHeight="1">
      <c r="B124" t="inlineStr">
        <is>
          <t>Actual  breakdown</t>
        </is>
      </c>
      <c r="C124" s="11" t="inlineStr">
        <is>
          <t xml:space="preserve">Cam </t>
        </is>
      </c>
      <c r="D124" s="6" t="inlineStr">
        <is>
          <t>#</t>
        </is>
      </c>
      <c r="E124" s="52" t="n">
        <v>7567</v>
      </c>
      <c r="F124" s="52" t="n">
        <v>6230</v>
      </c>
      <c r="G124" s="52" t="n">
        <v>6106</v>
      </c>
      <c r="H124" s="52" t="n">
        <v>5546</v>
      </c>
      <c r="I124" s="52" t="n">
        <v>5218</v>
      </c>
      <c r="J124" s="52" t="n">
        <v>5345</v>
      </c>
      <c r="K124" s="52" t="n">
        <v>5868</v>
      </c>
      <c r="L124" s="52" t="n">
        <v>6619</v>
      </c>
      <c r="M124" s="52" t="n">
        <v>7170</v>
      </c>
      <c r="N124" s="52" t="n">
        <v>6880</v>
      </c>
      <c r="O124" s="52" t="n">
        <v>6805</v>
      </c>
      <c r="P124" s="52" t="n">
        <v>5849</v>
      </c>
      <c r="Q124" s="52" t="n">
        <v>6703</v>
      </c>
      <c r="R124" s="52" t="n">
        <v>5935</v>
      </c>
      <c r="S124" s="52" t="n">
        <v>6657</v>
      </c>
      <c r="T124" s="52" t="n">
        <v>6449</v>
      </c>
      <c r="U124" s="52" t="n">
        <v>5565</v>
      </c>
      <c r="V124" s="52" t="n">
        <v>5578</v>
      </c>
      <c r="W124" s="52" t="n">
        <v>5691</v>
      </c>
      <c r="X124" s="52" t="n">
        <v>5276</v>
      </c>
      <c r="Y124" s="52" t="n">
        <v>6060</v>
      </c>
      <c r="Z124" s="52" t="n">
        <v>6433</v>
      </c>
      <c r="AA124" s="52" t="n">
        <v>7688</v>
      </c>
      <c r="AB124" s="52" t="n">
        <v>8096</v>
      </c>
      <c r="AC124" s="52" t="n">
        <v>9264</v>
      </c>
      <c r="AD124" s="52" t="n">
        <v>9296</v>
      </c>
      <c r="AE124" s="52" t="n">
        <v>6598</v>
      </c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</row>
    <row r="125" ht="15.75" customHeight="1">
      <c r="C125" s="11" t="inlineStr">
        <is>
          <t>Non Cam</t>
        </is>
      </c>
      <c r="D125" s="6" t="inlineStr">
        <is>
          <t>#</t>
        </is>
      </c>
      <c r="E125" s="52" t="n">
        <v>358</v>
      </c>
      <c r="F125" s="52" t="n">
        <v>361</v>
      </c>
      <c r="G125" s="52" t="n">
        <v>479</v>
      </c>
      <c r="H125" s="52" t="n">
        <v>486</v>
      </c>
      <c r="I125" s="52" t="n">
        <v>394</v>
      </c>
      <c r="J125" s="52" t="n">
        <v>287</v>
      </c>
      <c r="K125" s="52" t="n">
        <v>263</v>
      </c>
      <c r="L125" s="52" t="n">
        <v>233</v>
      </c>
      <c r="M125" s="52" t="n">
        <v>236</v>
      </c>
      <c r="N125" s="52" t="n">
        <v>289</v>
      </c>
      <c r="O125" s="52" t="n">
        <v>146</v>
      </c>
      <c r="P125" s="52" t="n">
        <v>148</v>
      </c>
      <c r="Q125" s="52" t="n">
        <v>29</v>
      </c>
      <c r="R125" s="52" t="n">
        <v>69</v>
      </c>
      <c r="S125" s="52" t="n">
        <v>65</v>
      </c>
      <c r="T125" s="52" t="n">
        <v>65</v>
      </c>
      <c r="U125" s="52" t="n">
        <v>81</v>
      </c>
      <c r="V125" s="52" t="n">
        <v>106</v>
      </c>
      <c r="W125" s="52" t="n">
        <v>84</v>
      </c>
      <c r="X125" s="52" t="n">
        <v>64</v>
      </c>
      <c r="Y125" s="52" t="n">
        <v>97</v>
      </c>
      <c r="Z125" s="52" t="n">
        <v>89</v>
      </c>
      <c r="AA125" s="52" t="n">
        <v>76</v>
      </c>
      <c r="AB125" s="52" t="n">
        <v>88</v>
      </c>
      <c r="AC125" s="52" t="n">
        <v>76</v>
      </c>
      <c r="AD125" s="52" t="n">
        <v>89</v>
      </c>
      <c r="AE125" s="52" t="n">
        <v>81</v>
      </c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</row>
    <row r="126" ht="15.75" customHeight="1">
      <c r="C126" s="6" t="n"/>
    </row>
    <row r="127" ht="15.75" customFormat="1" customHeight="1" s="1">
      <c r="A127" s="1" t="inlineStr">
        <is>
          <t xml:space="preserve">Promo </t>
        </is>
      </c>
      <c r="B127" s="1" t="inlineStr">
        <is>
          <t>Real-time tracking</t>
        </is>
      </c>
      <c r="D127" s="23" t="inlineStr">
        <is>
          <t>$k</t>
        </is>
      </c>
      <c r="E127" s="53" t="n"/>
      <c r="F127" s="53" t="n"/>
      <c r="G127" s="53" t="n"/>
      <c r="H127" s="53" t="n"/>
      <c r="I127" s="53" t="n"/>
      <c r="J127" s="53" t="n">
        <v>11.86</v>
      </c>
      <c r="K127" s="53" t="n">
        <v>13.7</v>
      </c>
      <c r="L127" s="53" t="n">
        <v>16.17</v>
      </c>
      <c r="M127" s="53" t="n">
        <v>7.43</v>
      </c>
      <c r="N127" s="53" t="n"/>
      <c r="O127" s="53" t="n"/>
      <c r="P127" s="53" t="n"/>
      <c r="Q127" s="53" t="n">
        <v>37.574</v>
      </c>
      <c r="R127" s="53" t="n">
        <v>12.372</v>
      </c>
      <c r="S127" s="53" t="n">
        <v>28.236</v>
      </c>
      <c r="T127" s="53" t="n">
        <v>25.323</v>
      </c>
      <c r="U127" s="53" t="n">
        <v>4.6</v>
      </c>
      <c r="V127" s="53" t="n">
        <v>5.55</v>
      </c>
      <c r="W127" s="53" t="n">
        <v>2.25</v>
      </c>
      <c r="X127" s="53" t="n">
        <v>0.55</v>
      </c>
      <c r="Y127" s="53" t="n">
        <v>31.967</v>
      </c>
      <c r="Z127" s="53" t="n">
        <v>6.106</v>
      </c>
      <c r="AA127" s="53" t="n">
        <v>22.44</v>
      </c>
      <c r="AB127" s="53" t="n">
        <v>37.98</v>
      </c>
      <c r="AC127" s="53" t="n">
        <v>150.499</v>
      </c>
      <c r="AD127" s="53" t="n">
        <v>160.858</v>
      </c>
      <c r="AE127" s="53" t="n">
        <v>28.705</v>
      </c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</row>
    <row r="128" ht="15.75" customFormat="1" customHeight="1" s="1">
      <c r="B128" s="48" t="inlineStr">
        <is>
          <t>Finance Actuals (Monthly)</t>
        </is>
      </c>
      <c r="D128" s="31" t="inlineStr">
        <is>
          <t>$k</t>
        </is>
      </c>
      <c r="E128" s="53" t="n"/>
      <c r="F128" s="53" t="n"/>
      <c r="G128" s="53" t="n"/>
      <c r="H128" s="53" t="n">
        <v>1.30591</v>
      </c>
      <c r="I128" s="53" t="n"/>
      <c r="J128" s="53" t="n"/>
      <c r="K128" s="53" t="n"/>
      <c r="L128" s="53" t="n">
        <v>23.82729</v>
      </c>
      <c r="M128" s="53" t="n"/>
      <c r="N128" s="53" t="n"/>
      <c r="O128" s="53" t="n"/>
      <c r="P128" s="53" t="n"/>
      <c r="Q128" s="53" t="n">
        <v>14.7216</v>
      </c>
      <c r="R128" s="53" t="n"/>
      <c r="S128" s="53" t="n"/>
      <c r="T128" s="53" t="n"/>
      <c r="U128" s="53" t="n">
        <v>51.55344</v>
      </c>
      <c r="V128" s="53" t="n"/>
      <c r="W128" s="53" t="n"/>
      <c r="X128" s="53" t="n"/>
      <c r="Y128" s="53" t="n"/>
      <c r="Z128" s="53" t="n">
        <v>23.46755</v>
      </c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</row>
    <row r="129" ht="15.75" customFormat="1" customHeight="1" s="9">
      <c r="A129" s="50">
        <f>SUM(E129:BE129)</f>
        <v/>
      </c>
      <c r="B129" s="9" t="inlineStr">
        <is>
          <t>Budgeted (Monthly)</t>
        </is>
      </c>
      <c r="D129" s="10" t="inlineStr">
        <is>
          <t>$k</t>
        </is>
      </c>
      <c r="E129" s="55" t="n"/>
      <c r="F129" s="55" t="n"/>
      <c r="G129" s="55" t="n"/>
      <c r="H129" s="55" t="n">
        <v>0</v>
      </c>
      <c r="I129" s="55" t="n"/>
      <c r="J129" s="55" t="n"/>
      <c r="K129" s="55" t="n"/>
      <c r="L129" s="55" t="n">
        <v>0</v>
      </c>
      <c r="M129" s="55" t="n"/>
      <c r="N129" s="55" t="n"/>
      <c r="O129" s="55" t="n"/>
      <c r="P129" s="55" t="n"/>
      <c r="Q129" s="55" t="n">
        <v>94.67994823348118</v>
      </c>
      <c r="R129" s="55" t="n"/>
      <c r="S129" s="55" t="n"/>
      <c r="T129" s="55" t="n"/>
      <c r="U129" s="55" t="n">
        <v>132.4050657554984</v>
      </c>
      <c r="V129" s="55" t="n"/>
      <c r="W129" s="55" t="n"/>
      <c r="X129" s="55" t="n"/>
      <c r="Y129" s="55" t="n"/>
      <c r="Z129" s="55" t="n">
        <v>72.67362967897114</v>
      </c>
      <c r="AA129" s="55" t="n"/>
      <c r="AB129" s="55" t="n"/>
      <c r="AC129" s="55" t="n"/>
      <c r="AD129" s="55" t="n">
        <v>84.21788279513686</v>
      </c>
      <c r="AE129" s="55" t="n"/>
      <c r="AF129" s="55" t="n"/>
      <c r="AG129" s="55" t="n"/>
      <c r="AH129" s="55" t="n">
        <v>80.78131734495601</v>
      </c>
      <c r="AI129" s="55" t="n"/>
      <c r="AJ129" s="55" t="n"/>
      <c r="AK129" s="55" t="n"/>
      <c r="AL129" s="55" t="n"/>
      <c r="AM129" s="55" t="n">
        <v>67.80817786925807</v>
      </c>
      <c r="AN129" s="55" t="n"/>
      <c r="AO129" s="55" t="n"/>
      <c r="AP129" s="55" t="n"/>
      <c r="AQ129" s="55" t="n">
        <v>89.95808003060374</v>
      </c>
      <c r="AR129" s="55" t="n"/>
      <c r="AS129" s="55" t="n"/>
      <c r="AT129" s="55" t="n"/>
      <c r="AU129" s="55" t="n">
        <v>0</v>
      </c>
      <c r="AV129" s="55" t="n"/>
      <c r="AW129" s="55" t="n"/>
      <c r="AX129" s="55" t="n"/>
      <c r="AY129" s="55" t="n"/>
      <c r="AZ129" s="55" t="n">
        <v>332.9907088719564</v>
      </c>
      <c r="BA129" s="55" t="n"/>
      <c r="BB129" s="55" t="n"/>
      <c r="BC129" s="55" t="n"/>
      <c r="BD129" s="55" t="n">
        <v>500.7711038074681</v>
      </c>
      <c r="BE129" s="55" t="n"/>
    </row>
    <row r="130" ht="15.75" customHeight="1">
      <c r="B130" s="7" t="inlineStr">
        <is>
          <t>As % of budget - this month</t>
        </is>
      </c>
      <c r="D130" s="16" t="inlineStr">
        <is>
          <t>%</t>
        </is>
      </c>
      <c r="E130" s="54" t="n"/>
      <c r="F130" s="54" t="n"/>
      <c r="G130" s="54" t="n"/>
      <c r="H130" s="54">
        <f>IFERROR(SUM(E128:H128)/H129,"")</f>
        <v/>
      </c>
      <c r="I130" s="54" t="n"/>
      <c r="J130" s="54" t="n"/>
      <c r="K130" s="54" t="n"/>
      <c r="L130" s="54">
        <f>IFERROR(SUM(I128:L128)/L129,"")</f>
        <v/>
      </c>
      <c r="M130" s="54" t="n"/>
      <c r="N130" s="54" t="n"/>
      <c r="O130" s="54" t="n"/>
      <c r="P130" s="54" t="n"/>
      <c r="Q130" s="54">
        <f>IFERROR(SUM(M128:Q128)/Q129,"")</f>
        <v/>
      </c>
      <c r="R130" s="54" t="n"/>
      <c r="S130" s="54" t="n"/>
      <c r="T130" s="54" t="n"/>
      <c r="U130" s="54">
        <f>IFERROR(SUM(R128:U128)/U129,"")</f>
        <v/>
      </c>
      <c r="V130" s="54" t="n"/>
      <c r="W130" s="54" t="n"/>
      <c r="X130" s="54" t="n"/>
      <c r="Y130" s="54" t="n"/>
      <c r="Z130" s="54">
        <f>IFERROR(SUM(V128:Z128)/Z129,"")</f>
        <v/>
      </c>
      <c r="AA130" s="54" t="n"/>
      <c r="AB130" s="54" t="n"/>
      <c r="AC130" s="54" t="n"/>
      <c r="AD130" s="54">
        <f>IFERROR(SUM(AA128:AD128)/AD129,"")</f>
        <v/>
      </c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</row>
    <row r="131" ht="15.75" customHeight="1">
      <c r="B131" s="7" t="inlineStr">
        <is>
          <t>As % of quarterly budget (QTD)</t>
        </is>
      </c>
      <c r="D131" s="16" t="inlineStr">
        <is>
          <t>%</t>
        </is>
      </c>
      <c r="E131" s="54" t="n"/>
      <c r="F131" s="54" t="n"/>
      <c r="G131" s="54" t="n"/>
      <c r="H131" s="54">
        <f>IFERROR(SUM(E128:H128)/(H129+L129+Q129),"")</f>
        <v/>
      </c>
      <c r="I131" s="54" t="n"/>
      <c r="J131" s="54" t="n"/>
      <c r="K131" s="54" t="n"/>
      <c r="L131" s="54">
        <f>IFERROR(SUM(E128:L128)/(H129+L129+Q129),"")</f>
        <v/>
      </c>
      <c r="M131" s="54" t="n"/>
      <c r="N131" s="54" t="n"/>
      <c r="O131" s="54" t="n"/>
      <c r="P131" s="54" t="n"/>
      <c r="Q131" s="54">
        <f>IFERROR(SUM(E128:Q128)/(H129+L129+Q129),"")</f>
        <v/>
      </c>
      <c r="R131" s="54" t="n"/>
      <c r="S131" s="54" t="n"/>
      <c r="T131" s="54" t="n"/>
      <c r="U131" s="54">
        <f>IFERROR(SUM(R128:U128)/(U129+Z129+AD129),"")</f>
        <v/>
      </c>
      <c r="V131" s="54" t="n"/>
      <c r="W131" s="54" t="n"/>
      <c r="X131" s="54" t="n"/>
      <c r="Y131" s="54" t="n"/>
      <c r="Z131" s="54">
        <f>IFERROR(SUM(R128:Z128)/(U129+Z129+AD129),"")</f>
        <v/>
      </c>
      <c r="AA131" s="54" t="n"/>
      <c r="AB131" s="54" t="n"/>
      <c r="AC131" s="54" t="n"/>
      <c r="AD131" s="54">
        <f>IFERROR(SUM(R128:AD128)/(U129+Z129+AD129),"")</f>
        <v/>
      </c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</row>
    <row r="132" ht="15.75" customHeight="1">
      <c r="B132" s="7" t="inlineStr">
        <is>
          <t>As % of annual budget (YTD)</t>
        </is>
      </c>
      <c r="D132" s="16" t="inlineStr">
        <is>
          <t>%</t>
        </is>
      </c>
      <c r="E132" s="54" t="n"/>
      <c r="F132" s="54" t="n"/>
      <c r="G132" s="54" t="n"/>
      <c r="H132" s="54">
        <f>IFERROR(SUM($E$128:H128)/SUM($E$129:BD129),"")</f>
        <v/>
      </c>
      <c r="I132" s="54" t="n"/>
      <c r="J132" s="54" t="n"/>
      <c r="K132" s="54" t="n"/>
      <c r="L132" s="54">
        <f>IFERROR(SUM($E$128:L128)/SUM($E$129:BD129),"")</f>
        <v/>
      </c>
      <c r="M132" s="54" t="n"/>
      <c r="N132" s="54" t="n"/>
      <c r="O132" s="54" t="n"/>
      <c r="P132" s="54" t="n"/>
      <c r="Q132" s="54">
        <f>IFERROR(SUM($E$128:Q128)/SUM($E$129:BD129),"")</f>
        <v/>
      </c>
      <c r="R132" s="54" t="n"/>
      <c r="S132" s="54" t="n"/>
      <c r="T132" s="54" t="n"/>
      <c r="U132" s="54">
        <f>IFERROR(SUM($E$128:U128)/SUM($E$129:BD129),"")</f>
        <v/>
      </c>
      <c r="V132" s="54" t="n"/>
      <c r="W132" s="54" t="n"/>
      <c r="X132" s="54" t="n"/>
      <c r="Y132" s="54" t="n"/>
      <c r="Z132" s="54">
        <f>IFERROR(SUM($E$128:Z128)/SUM($E$129:BD129),"")</f>
        <v/>
      </c>
      <c r="AA132" s="54" t="n"/>
      <c r="AB132" s="54" t="n"/>
      <c r="AC132" s="54" t="n"/>
      <c r="AD132" s="54">
        <f>IFERROR(SUM($E$128:AD128)/SUM($E$129:BD129),"")</f>
        <v/>
      </c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</row>
    <row r="133" ht="15.75" customHeight="1"/>
    <row r="134" ht="15.75" customHeight="1">
      <c r="A134" s="1" t="inlineStr">
        <is>
          <t>Total Marketing</t>
        </is>
      </c>
      <c r="B134" s="1" t="n"/>
      <c r="C134" s="1" t="n"/>
      <c r="D134" s="23" t="inlineStr">
        <is>
          <t>$k</t>
        </is>
      </c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</row>
    <row r="135" ht="15.75" customHeight="1">
      <c r="A135" s="1" t="n"/>
      <c r="B135" s="48" t="inlineStr">
        <is>
          <t>Finance Actuals (Monthly)</t>
        </is>
      </c>
      <c r="C135" s="1" t="n"/>
      <c r="D135" s="31" t="inlineStr">
        <is>
          <t>$k</t>
        </is>
      </c>
      <c r="E135" s="53" t="n"/>
      <c r="F135" s="53" t="n"/>
      <c r="G135" s="53" t="n"/>
      <c r="H135" s="53" t="n">
        <v>38.5359</v>
      </c>
      <c r="I135" s="53" t="n"/>
      <c r="J135" s="53" t="n"/>
      <c r="K135" s="53" t="n"/>
      <c r="L135" s="53" t="n">
        <v>97.55410999999998</v>
      </c>
      <c r="M135" s="53" t="n"/>
      <c r="N135" s="53" t="n"/>
      <c r="O135" s="53" t="n"/>
      <c r="P135" s="53" t="n"/>
      <c r="Q135" s="53" t="n">
        <v>181.99159</v>
      </c>
      <c r="R135" s="53" t="n"/>
      <c r="S135" s="53" t="n"/>
      <c r="T135" s="53" t="n"/>
      <c r="U135" s="53" t="n">
        <v>14.66632</v>
      </c>
      <c r="V135" s="53" t="n"/>
      <c r="W135" s="53" t="n"/>
      <c r="X135" s="53" t="n"/>
      <c r="Y135" s="53" t="n"/>
      <c r="Z135" s="53" t="n">
        <v>69.33326000000001</v>
      </c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</row>
    <row r="136" ht="15.75" customHeight="1">
      <c r="A136" s="50">
        <f>SUM(E136:BE136)</f>
        <v/>
      </c>
      <c r="B136" s="9" t="inlineStr">
        <is>
          <t>Budgeted (Monthly)</t>
        </is>
      </c>
      <c r="D136" s="10" t="inlineStr">
        <is>
          <t>$k</t>
        </is>
      </c>
      <c r="E136" s="55" t="n"/>
      <c r="F136" s="55" t="n"/>
      <c r="G136" s="55" t="n"/>
      <c r="H136" s="55" t="n">
        <v>184.1666666666667</v>
      </c>
      <c r="I136" s="55" t="n"/>
      <c r="J136" s="55" t="n"/>
      <c r="K136" s="55" t="n"/>
      <c r="L136" s="55" t="n">
        <v>184.1666666666667</v>
      </c>
      <c r="M136" s="55" t="n"/>
      <c r="N136" s="55" t="n"/>
      <c r="O136" s="55" t="n"/>
      <c r="P136" s="55" t="n"/>
      <c r="Q136" s="55" t="n">
        <v>184.1666666666667</v>
      </c>
      <c r="R136" s="55" t="n"/>
      <c r="S136" s="55" t="n"/>
      <c r="T136" s="55" t="n"/>
      <c r="U136" s="55" t="n">
        <v>145.8333333333333</v>
      </c>
      <c r="V136" s="55" t="n"/>
      <c r="W136" s="55" t="n"/>
      <c r="X136" s="55" t="n"/>
      <c r="Y136" s="55" t="n"/>
      <c r="Z136" s="55" t="n">
        <v>145.8333333333333</v>
      </c>
      <c r="AA136" s="55" t="n"/>
      <c r="AB136" s="55" t="n"/>
      <c r="AC136" s="55" t="n"/>
      <c r="AD136" s="55" t="n">
        <v>145.8333333333333</v>
      </c>
      <c r="AE136" s="55" t="n"/>
      <c r="AF136" s="55" t="n"/>
      <c r="AG136" s="55" t="n"/>
      <c r="AH136" s="55" t="n">
        <v>145.8333333333333</v>
      </c>
      <c r="AI136" s="55" t="n"/>
      <c r="AJ136" s="55" t="n"/>
      <c r="AK136" s="55" t="n"/>
      <c r="AL136" s="55" t="n"/>
      <c r="AM136" s="55" t="n">
        <v>145.8333333333333</v>
      </c>
      <c r="AN136" s="55" t="n"/>
      <c r="AO136" s="55" t="n"/>
      <c r="AP136" s="55" t="n"/>
      <c r="AQ136" s="55" t="n">
        <v>145.8333333333333</v>
      </c>
      <c r="AR136" s="55" t="n"/>
      <c r="AS136" s="55" t="n"/>
      <c r="AT136" s="55" t="n"/>
      <c r="AU136" s="55" t="n">
        <v>145.8333333333333</v>
      </c>
      <c r="AV136" s="55" t="n"/>
      <c r="AW136" s="55" t="n"/>
      <c r="AX136" s="55" t="n"/>
      <c r="AY136" s="55" t="n"/>
      <c r="AZ136" s="55" t="n">
        <v>145.8333333333333</v>
      </c>
      <c r="BA136" s="55" t="n"/>
      <c r="BB136" s="55" t="n"/>
      <c r="BC136" s="55" t="n"/>
      <c r="BD136" s="55" t="n">
        <v>145.8333333333333</v>
      </c>
      <c r="BE136" s="55" t="n"/>
    </row>
    <row r="137" ht="15.75" customHeight="1">
      <c r="B137" s="7" t="inlineStr">
        <is>
          <t>As % of budget - this month</t>
        </is>
      </c>
      <c r="D137" s="16" t="inlineStr">
        <is>
          <t>%</t>
        </is>
      </c>
      <c r="E137" s="54" t="n"/>
      <c r="F137" s="54" t="n"/>
      <c r="G137" s="54" t="n"/>
      <c r="H137" s="54">
        <f>IFERROR(SUM(E135:H135)/H136,"")</f>
        <v/>
      </c>
      <c r="I137" s="54" t="n"/>
      <c r="J137" s="54" t="n"/>
      <c r="K137" s="54" t="n"/>
      <c r="L137" s="54">
        <f>IFERROR(SUM(I135:L135)/L136,"")</f>
        <v/>
      </c>
      <c r="M137" s="54" t="n"/>
      <c r="N137" s="54" t="n"/>
      <c r="O137" s="54" t="n"/>
      <c r="P137" s="54" t="n"/>
      <c r="Q137" s="54">
        <f>IFERROR(SUM(M135:Q135)/Q136,"")</f>
        <v/>
      </c>
      <c r="R137" s="54" t="n"/>
      <c r="S137" s="54" t="n"/>
      <c r="T137" s="54" t="n"/>
      <c r="U137" s="54">
        <f>IFERROR(SUM(R135:U135)/U136,"")</f>
        <v/>
      </c>
      <c r="V137" s="54" t="n"/>
      <c r="W137" s="54" t="n"/>
      <c r="X137" s="54" t="n"/>
      <c r="Y137" s="54" t="n"/>
      <c r="Z137" s="54">
        <f>IFERROR(SUM(V135:Z135)/Z136,"")</f>
        <v/>
      </c>
      <c r="AA137" s="54" t="n"/>
      <c r="AB137" s="54" t="n"/>
      <c r="AC137" s="54" t="n"/>
      <c r="AD137" s="54">
        <f>IFERROR(SUM(AA135:AD135)/AD136,"")</f>
        <v/>
      </c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</row>
    <row r="138" ht="15.75" customHeight="1">
      <c r="B138" s="7" t="inlineStr">
        <is>
          <t>As % of quarterly budget (QTD)</t>
        </is>
      </c>
      <c r="D138" s="16" t="inlineStr">
        <is>
          <t>%</t>
        </is>
      </c>
      <c r="E138" s="54" t="n"/>
      <c r="F138" s="54" t="n"/>
      <c r="G138" s="54" t="n"/>
      <c r="H138" s="54">
        <f>IFERROR(SUM(E135:H135)/(H136+L136+Q136),"")</f>
        <v/>
      </c>
      <c r="I138" s="54" t="n"/>
      <c r="J138" s="54" t="n"/>
      <c r="K138" s="54" t="n"/>
      <c r="L138" s="54">
        <f>IFERROR(SUM(E135:L135)/(H136+L136+Q136),"")</f>
        <v/>
      </c>
      <c r="M138" s="54" t="n"/>
      <c r="N138" s="54" t="n"/>
      <c r="O138" s="54" t="n"/>
      <c r="P138" s="54" t="n"/>
      <c r="Q138" s="54">
        <f>IFERROR(SUM(E135:Q135)/(H136+L136+Q136),"")</f>
        <v/>
      </c>
      <c r="R138" s="54" t="n"/>
      <c r="S138" s="54" t="n"/>
      <c r="T138" s="54" t="n"/>
      <c r="U138" s="54">
        <f>IFERROR(SUM(R135:U135)/(U136+Z136+AD136),"")</f>
        <v/>
      </c>
      <c r="V138" s="54" t="n"/>
      <c r="W138" s="54" t="n"/>
      <c r="X138" s="54" t="n"/>
      <c r="Y138" s="54" t="n"/>
      <c r="Z138" s="54">
        <f>IFERROR(SUM(R135:Z135)/(U136+Z136+AD136),"")</f>
        <v/>
      </c>
      <c r="AA138" s="54" t="n"/>
      <c r="AB138" s="54" t="n"/>
      <c r="AC138" s="54" t="n"/>
      <c r="AD138" s="54">
        <f>IFERROR(SUM(R135:AD135)/(U136+Z136+AD136),"")</f>
        <v/>
      </c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</row>
    <row r="139" ht="15.75" customHeight="1">
      <c r="B139" s="7" t="inlineStr">
        <is>
          <t>As % of annual budget (YTD)</t>
        </is>
      </c>
      <c r="D139" s="16" t="inlineStr">
        <is>
          <t>%</t>
        </is>
      </c>
      <c r="E139" s="54" t="n"/>
      <c r="F139" s="54" t="n"/>
      <c r="G139" s="54" t="n"/>
      <c r="H139" s="54">
        <f>IFERROR(SUM($E$135:H135)/SUM($E$136:BD136),"")</f>
        <v/>
      </c>
      <c r="I139" s="54" t="n"/>
      <c r="J139" s="54" t="n"/>
      <c r="K139" s="54" t="n"/>
      <c r="L139" s="54">
        <f>IFERROR(SUM($E$135:L135)/SUM($E$136:BD136),"")</f>
        <v/>
      </c>
      <c r="M139" s="54" t="n"/>
      <c r="N139" s="54" t="n"/>
      <c r="O139" s="54" t="n"/>
      <c r="P139" s="54" t="n"/>
      <c r="Q139" s="54">
        <f>IFERROR(SUM($E$135:Q135)/SUM($E$136:BD136),"")</f>
        <v/>
      </c>
      <c r="R139" s="54" t="n"/>
      <c r="S139" s="54" t="n"/>
      <c r="T139" s="54" t="n"/>
      <c r="U139" s="54">
        <f>IFERROR(SUM($E$135:U135)/SUM($E$136:BD136),"")</f>
        <v/>
      </c>
      <c r="V139" s="54" t="n"/>
      <c r="W139" s="54" t="n"/>
      <c r="X139" s="54" t="n"/>
      <c r="Y139" s="54" t="n"/>
      <c r="Z139" s="54">
        <f>IFERROR(SUM($E$135:Z135)/SUM($E$136:BD136),"")</f>
        <v/>
      </c>
      <c r="AA139" s="54" t="n"/>
      <c r="AB139" s="54" t="n"/>
      <c r="AC139" s="54" t="n"/>
      <c r="AD139" s="54">
        <f>IFERROR(SUM($E$135:AD135)/SUM($E$136:BD136),"")</f>
        <v/>
      </c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</row>
    <row r="140" ht="15.75" customHeight="1"/>
    <row r="141" ht="15.75" customFormat="1" customHeight="1" s="1">
      <c r="A141" s="1" t="inlineStr">
        <is>
          <t>Ads</t>
        </is>
      </c>
      <c r="B141" s="1" t="inlineStr">
        <is>
          <t>Real-time tracking</t>
        </is>
      </c>
      <c r="D141" s="23" t="inlineStr">
        <is>
          <t>$k</t>
        </is>
      </c>
      <c r="E141" s="53" t="n">
        <v>16.23609</v>
      </c>
      <c r="F141" s="53" t="n">
        <v>16.29575</v>
      </c>
      <c r="G141" s="53" t="n">
        <v>17.36873</v>
      </c>
      <c r="H141" s="53" t="n">
        <v>17.24599</v>
      </c>
      <c r="I141" s="53" t="n">
        <v>11.54876</v>
      </c>
      <c r="J141" s="53" t="n">
        <v>4.87025</v>
      </c>
      <c r="K141" s="53" t="n">
        <v>7.70212</v>
      </c>
      <c r="L141" s="53" t="n">
        <v>9.360950000000001</v>
      </c>
      <c r="M141" s="53" t="n">
        <v>9.44035</v>
      </c>
      <c r="N141" s="53" t="n">
        <v>10.77068</v>
      </c>
      <c r="O141" s="53" t="n">
        <v>10.94465</v>
      </c>
      <c r="P141" s="53" t="n">
        <v>10.91692</v>
      </c>
      <c r="Q141" s="53" t="n">
        <v>11.13131</v>
      </c>
      <c r="R141" s="53" t="n">
        <v>10.89344</v>
      </c>
      <c r="S141" s="53" t="n">
        <v>8.21918</v>
      </c>
      <c r="T141" s="53" t="n">
        <v>7.19779</v>
      </c>
      <c r="U141" s="53" t="n">
        <v>8.07146</v>
      </c>
      <c r="V141" s="53" t="n">
        <v>8.092499999999999</v>
      </c>
      <c r="W141" s="53" t="n">
        <v>9.57883</v>
      </c>
      <c r="X141" s="53" t="n">
        <v>11.10504</v>
      </c>
      <c r="Y141" s="53" t="n">
        <v>13.59599</v>
      </c>
      <c r="Z141" s="53" t="n">
        <v>19.14241</v>
      </c>
      <c r="AA141" s="53" t="n">
        <v>11.79405</v>
      </c>
      <c r="AB141" s="53" t="n">
        <v>10.48124</v>
      </c>
      <c r="AC141" s="53" t="n">
        <v>10.25265</v>
      </c>
      <c r="AD141" s="53" t="n">
        <v>8.588209999999998</v>
      </c>
      <c r="AE141" s="53" t="n">
        <v>7.96749</v>
      </c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</row>
    <row r="142" ht="15.75" customHeight="1">
      <c r="A142" s="50" t="n"/>
      <c r="B142" s="9" t="inlineStr">
        <is>
          <t>Budgeted (Monthly)</t>
        </is>
      </c>
      <c r="C142" s="9" t="n"/>
      <c r="D142" s="10" t="inlineStr">
        <is>
          <t>$k</t>
        </is>
      </c>
      <c r="E142" s="55" t="n"/>
      <c r="F142" s="55" t="n"/>
      <c r="G142" s="55" t="n"/>
      <c r="H142" s="55" t="n">
        <v>64.58333333333334</v>
      </c>
      <c r="I142" s="55" t="n"/>
      <c r="J142" s="55" t="n"/>
      <c r="K142" s="55" t="n"/>
      <c r="L142" s="55" t="n">
        <v>64.58333333333334</v>
      </c>
      <c r="M142" s="55" t="n"/>
      <c r="N142" s="55" t="n"/>
      <c r="O142" s="55" t="n"/>
      <c r="P142" s="55" t="n"/>
      <c r="Q142" s="55" t="n">
        <v>64.58333333333334</v>
      </c>
      <c r="R142" s="55" t="n"/>
      <c r="S142" s="55" t="n"/>
      <c r="T142" s="55" t="n"/>
      <c r="U142" s="55" t="n">
        <v>64.58333333333334</v>
      </c>
      <c r="V142" s="55" t="n"/>
      <c r="W142" s="55" t="n"/>
      <c r="X142" s="55" t="n"/>
      <c r="Y142" s="55" t="n"/>
      <c r="Z142" s="55" t="n">
        <v>64.58333333333334</v>
      </c>
      <c r="AA142" s="55" t="n"/>
      <c r="AB142" s="55" t="n"/>
      <c r="AC142" s="55" t="n"/>
      <c r="AD142" s="55" t="n">
        <v>64.58333333333334</v>
      </c>
      <c r="AE142" s="55" t="n"/>
      <c r="AF142" s="55" t="n"/>
      <c r="AG142" s="55" t="n"/>
      <c r="AH142" s="55" t="n">
        <v>64.58333333333334</v>
      </c>
      <c r="AI142" s="55" t="n"/>
      <c r="AJ142" s="55" t="n"/>
      <c r="AK142" s="55" t="n"/>
      <c r="AL142" s="55" t="n"/>
      <c r="AM142" s="55" t="n">
        <v>64.58333333333334</v>
      </c>
      <c r="AN142" s="55" t="n"/>
      <c r="AO142" s="55" t="n"/>
      <c r="AP142" s="55" t="n"/>
      <c r="AQ142" s="55" t="n">
        <v>64.58333333333334</v>
      </c>
      <c r="AR142" s="55" t="n"/>
      <c r="AS142" s="55" t="n"/>
      <c r="AT142" s="55" t="n"/>
      <c r="AU142" s="55" t="n">
        <v>64.58333333333334</v>
      </c>
      <c r="AV142" s="55" t="n"/>
      <c r="AW142" s="55" t="n"/>
      <c r="AX142" s="55" t="n"/>
      <c r="AY142" s="55" t="n"/>
      <c r="AZ142" s="55" t="n">
        <v>64.58333333333334</v>
      </c>
      <c r="BA142" s="55" t="n"/>
      <c r="BB142" s="55" t="n"/>
      <c r="BC142" s="55" t="n"/>
      <c r="BD142" s="55" t="n">
        <v>64.58333333333334</v>
      </c>
      <c r="BE142" s="55" t="n"/>
    </row>
    <row r="143" ht="15.75" customHeight="1"/>
    <row r="144" ht="15.75" customFormat="1" customHeight="1" s="1">
      <c r="A144" s="1" t="inlineStr">
        <is>
          <t>Other Marketing - Retail marketing, etc</t>
        </is>
      </c>
      <c r="D144" s="23" t="inlineStr">
        <is>
          <t>$k</t>
        </is>
      </c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</row>
    <row r="145" ht="15.75" customHeight="1">
      <c r="B145" s="9" t="inlineStr">
        <is>
          <t>Budgeted (Monthly)</t>
        </is>
      </c>
      <c r="C145" s="9" t="n"/>
      <c r="D145" s="10" t="inlineStr">
        <is>
          <t>$k</t>
        </is>
      </c>
      <c r="E145" s="55" t="n"/>
      <c r="F145" s="55" t="n"/>
      <c r="G145" s="55" t="n"/>
      <c r="H145" s="55" t="n">
        <v>119.5833333333333</v>
      </c>
      <c r="I145" s="55" t="n"/>
      <c r="J145" s="55" t="n"/>
      <c r="K145" s="55" t="n"/>
      <c r="L145" s="55" t="n">
        <v>119.5833333333333</v>
      </c>
      <c r="M145" s="55" t="n"/>
      <c r="N145" s="55" t="n"/>
      <c r="O145" s="55" t="n"/>
      <c r="P145" s="55" t="n"/>
      <c r="Q145" s="55" t="n">
        <v>119.5833333333333</v>
      </c>
      <c r="R145" s="55" t="n"/>
      <c r="S145" s="55" t="n"/>
      <c r="T145" s="55" t="n"/>
      <c r="U145" s="55" t="n">
        <v>81.25</v>
      </c>
      <c r="V145" s="55" t="n"/>
      <c r="W145" s="55" t="n"/>
      <c r="X145" s="55" t="n"/>
      <c r="Y145" s="55" t="n"/>
      <c r="Z145" s="55" t="n">
        <v>81.25</v>
      </c>
      <c r="AA145" s="55" t="n"/>
      <c r="AB145" s="55" t="n"/>
      <c r="AC145" s="55" t="n"/>
      <c r="AD145" s="55" t="n">
        <v>81.25</v>
      </c>
      <c r="AE145" s="55" t="n"/>
      <c r="AF145" s="55" t="n"/>
      <c r="AG145" s="55" t="n"/>
      <c r="AH145" s="55" t="n">
        <v>81.25</v>
      </c>
      <c r="AI145" s="55" t="n"/>
      <c r="AJ145" s="55" t="n"/>
      <c r="AK145" s="55" t="n"/>
      <c r="AL145" s="55" t="n"/>
      <c r="AM145" s="55" t="n">
        <v>81.25</v>
      </c>
      <c r="AN145" s="55" t="n"/>
      <c r="AO145" s="55" t="n"/>
      <c r="AP145" s="55" t="n"/>
      <c r="AQ145" s="55" t="n">
        <v>81.25</v>
      </c>
      <c r="AR145" s="55" t="n"/>
      <c r="AS145" s="55" t="n"/>
      <c r="AT145" s="55" t="n"/>
      <c r="AU145" s="55" t="n">
        <v>81.25</v>
      </c>
      <c r="AV145" s="55" t="n"/>
      <c r="AW145" s="55" t="n"/>
      <c r="AX145" s="55" t="n"/>
      <c r="AY145" s="55" t="n"/>
      <c r="AZ145" s="55" t="n">
        <v>81.25</v>
      </c>
      <c r="BA145" s="55" t="n"/>
      <c r="BB145" s="55" t="n"/>
      <c r="BC145" s="55" t="n"/>
      <c r="BD145" s="55" t="n">
        <v>81.25</v>
      </c>
      <c r="BE145" s="55" t="n"/>
    </row>
    <row r="146" ht="15.75" customHeight="1"/>
    <row r="147" ht="15.75" customHeight="1"/>
    <row r="148" ht="15.75" customFormat="1" customHeight="1" s="34">
      <c r="A148" s="33" t="inlineStr">
        <is>
          <t>Other Omni-channel Accounts</t>
        </is>
      </c>
      <c r="D148" s="35" t="n"/>
    </row>
    <row r="149" ht="15.75" customHeight="1">
      <c r="A149" s="1" t="inlineStr">
        <is>
          <t>Sell-in value</t>
        </is>
      </c>
      <c r="D149" s="23" t="inlineStr">
        <is>
          <t>$k</t>
        </is>
      </c>
      <c r="E149" s="53" t="n">
        <v>547.825</v>
      </c>
      <c r="F149" s="53" t="n">
        <v>40.265</v>
      </c>
      <c r="G149" s="53" t="n">
        <v>36.672</v>
      </c>
      <c r="H149" s="53" t="n">
        <v>69.074</v>
      </c>
      <c r="I149" s="53" t="n">
        <v>127.596</v>
      </c>
      <c r="J149" s="53" t="n">
        <v>86.351</v>
      </c>
      <c r="K149" s="53" t="n">
        <v>26.149</v>
      </c>
      <c r="L149" s="53" t="n">
        <v>44.528</v>
      </c>
      <c r="M149" s="53" t="n">
        <v>156.413</v>
      </c>
      <c r="N149" s="53" t="n">
        <v>40.758</v>
      </c>
      <c r="O149" s="53" t="n">
        <v>45.15</v>
      </c>
      <c r="P149" s="53" t="n">
        <v>48.79</v>
      </c>
      <c r="Q149" s="53" t="n">
        <v>47.999</v>
      </c>
      <c r="R149" s="53" t="n">
        <v>242.401</v>
      </c>
      <c r="S149" s="53" t="n">
        <v>45.439</v>
      </c>
      <c r="T149" s="53" t="n">
        <v>64.428</v>
      </c>
      <c r="U149" s="53" t="n">
        <v>15.019</v>
      </c>
      <c r="V149" s="53" t="n">
        <v>148.254</v>
      </c>
      <c r="W149" s="53" t="n">
        <v>28.287</v>
      </c>
      <c r="X149" s="53" t="n">
        <v>39.21</v>
      </c>
      <c r="Y149" s="53" t="n">
        <v>23.705</v>
      </c>
      <c r="Z149" s="53" t="n">
        <v>121.666</v>
      </c>
      <c r="AA149" s="53" t="n">
        <v>55.168</v>
      </c>
      <c r="AB149" s="53" t="n">
        <v>25.334</v>
      </c>
      <c r="AC149" s="53" t="n">
        <v>28.439</v>
      </c>
      <c r="AD149" s="53" t="n">
        <v>45.342</v>
      </c>
      <c r="AE149" s="53" t="n">
        <v>157.945</v>
      </c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</row>
    <row r="150" ht="15.75" customFormat="1" customHeight="1" s="4">
      <c r="A150" s="3" t="n"/>
      <c r="B150" s="4" t="inlineStr">
        <is>
          <t>% of Total - YTD</t>
        </is>
      </c>
      <c r="D150" s="32" t="inlineStr">
        <is>
          <t>%</t>
        </is>
      </c>
      <c r="E150" s="57">
        <f>IFERROR(SUM($E$149:E149)/SUM($E$3:E3),"")</f>
        <v/>
      </c>
      <c r="F150" s="57">
        <f>IFERROR(SUM($E$149:F149)/SUM($E$3:F3),"")</f>
        <v/>
      </c>
      <c r="G150" s="57">
        <f>IFERROR(SUM($E$149:G149)/SUM($E$3:G3),"")</f>
        <v/>
      </c>
      <c r="H150" s="57">
        <f>IFERROR(SUM($E$149:H149)/SUM($E$3:H3),"")</f>
        <v/>
      </c>
      <c r="I150" s="57">
        <f>IFERROR(SUM($E$149:I149)/SUM($E$3:I3),"")</f>
        <v/>
      </c>
      <c r="J150" s="57">
        <f>IFERROR(SUM($E$149:J149)/SUM($E$3:J3),"")</f>
        <v/>
      </c>
      <c r="K150" s="57">
        <f>IFERROR(SUM($E$149:K149)/SUM($E$3:K3),"")</f>
        <v/>
      </c>
      <c r="L150" s="57">
        <f>IFERROR(SUM($E$149:L149)/SUM($E$3:L3),"")</f>
        <v/>
      </c>
      <c r="M150" s="57">
        <f>IFERROR(SUM($E$149:M149)/SUM($E$3:M3),"")</f>
        <v/>
      </c>
      <c r="N150" s="57">
        <f>IFERROR(SUM($E$149:N149)/SUM($E$3:N3),"")</f>
        <v/>
      </c>
      <c r="O150" s="57">
        <f>IFERROR(SUM($E$149:O149)/SUM($E$3:O3),"")</f>
        <v/>
      </c>
      <c r="P150" s="57">
        <f>IFERROR(SUM($E$149:P149)/SUM($E$3:P3),"")</f>
        <v/>
      </c>
      <c r="Q150" s="57">
        <f>IFERROR(SUM($E$149:Q149)/SUM($E$3:Q3),"")</f>
        <v/>
      </c>
      <c r="R150" s="57">
        <f>IFERROR(SUM($E$149:R149)/SUM($E$3:R3),"")</f>
        <v/>
      </c>
      <c r="S150" s="57">
        <f>IFERROR(SUM($E$149:S149)/SUM($E$3:S3),"")</f>
        <v/>
      </c>
      <c r="T150" s="57">
        <f>IFERROR(SUM($E$149:T149)/SUM($E$3:T3),"")</f>
        <v/>
      </c>
      <c r="U150" s="57">
        <f>IFERROR(SUM($E$149:U149)/SUM($E$3:U3),"")</f>
        <v/>
      </c>
      <c r="V150" s="57">
        <f>IFERROR(SUM($E$149:V149)/SUM($E$3:V3),"")</f>
        <v/>
      </c>
      <c r="W150" s="57">
        <f>IFERROR(SUM($E$149:W149)/SUM($E$3:W3),"")</f>
        <v/>
      </c>
      <c r="X150" s="57">
        <f>IFERROR(SUM($E$149:X149)/SUM($E$3:X3),"")</f>
        <v/>
      </c>
      <c r="Y150" s="57">
        <f>IFERROR(SUM($E$149:Y149)/SUM($E$3:Y3),"")</f>
        <v/>
      </c>
      <c r="Z150" s="57">
        <f>IFERROR(SUM($E$149:Z149)/SUM($E$3:Z3),"")</f>
        <v/>
      </c>
      <c r="AA150" s="57">
        <f>IFERROR(SUM($E$149:AA149)/SUM($E$3:AA3),"")</f>
        <v/>
      </c>
      <c r="AB150" s="57">
        <f>IFERROR(SUM($E$149:AB149)/SUM($E$3:AB3),"")</f>
        <v/>
      </c>
      <c r="AC150" s="57">
        <f>IFERROR(SUM($E$149:AC149)/SUM($E$3:AC3),"")</f>
        <v/>
      </c>
      <c r="AD150" s="57">
        <f>IFERROR(SUM($E$149:AD149)/SUM($E$3:AD3),"")</f>
        <v/>
      </c>
      <c r="AE150" s="57">
        <f>IFERROR(SUM($E$149:AE149)/SUM($E$3:AE3),"")</f>
        <v/>
      </c>
      <c r="AF150" s="57" t="n"/>
      <c r="AG150" s="57" t="n"/>
      <c r="AH150" s="57" t="n"/>
      <c r="AI150" s="57" t="n"/>
      <c r="AJ150" s="57" t="n"/>
      <c r="AK150" s="57" t="n"/>
      <c r="AL150" s="57" t="n"/>
      <c r="AM150" s="57" t="n"/>
      <c r="AN150" s="57" t="n"/>
      <c r="AO150" s="57" t="n"/>
      <c r="AP150" s="57" t="n"/>
      <c r="AQ150" s="57" t="n"/>
      <c r="AR150" s="57" t="n"/>
      <c r="AS150" s="57" t="n"/>
      <c r="AT150" s="57" t="n"/>
      <c r="AU150" s="57" t="n"/>
      <c r="AV150" s="57" t="n"/>
      <c r="AW150" s="57" t="n"/>
      <c r="AX150" s="57" t="n"/>
      <c r="AY150" s="57" t="n"/>
      <c r="AZ150" s="57" t="n"/>
      <c r="BA150" s="57" t="n"/>
      <c r="BB150" s="57" t="n"/>
      <c r="BC150" s="57" t="n"/>
      <c r="BD150" s="57" t="n"/>
      <c r="BE150" s="57" t="n"/>
    </row>
    <row r="151" ht="15.75" customFormat="1" customHeight="1" s="7">
      <c r="B151" s="7" t="inlineStr">
        <is>
          <t>% of Target</t>
        </is>
      </c>
      <c r="D151" s="8" t="inlineStr">
        <is>
          <t>%</t>
        </is>
      </c>
      <c r="E151" s="54">
        <f>IFERROR(E149/E153,"")</f>
        <v/>
      </c>
      <c r="F151" s="54">
        <f>IFERROR(F149/F153,"")</f>
        <v/>
      </c>
      <c r="G151" s="54">
        <f>IFERROR(G149/G153,"")</f>
        <v/>
      </c>
      <c r="H151" s="54">
        <f>IFERROR(H149/H153,"")</f>
        <v/>
      </c>
      <c r="I151" s="54">
        <f>IFERROR(I149/I153,"")</f>
        <v/>
      </c>
      <c r="J151" s="54">
        <f>IFERROR(J149/J153,"")</f>
        <v/>
      </c>
      <c r="K151" s="54">
        <f>IFERROR(K149/K153,"")</f>
        <v/>
      </c>
      <c r="L151" s="54">
        <f>IFERROR(L149/L153,"")</f>
        <v/>
      </c>
      <c r="M151" s="54">
        <f>IFERROR(M149/M153,"")</f>
        <v/>
      </c>
      <c r="N151" s="54">
        <f>IFERROR(N149/N153,"")</f>
        <v/>
      </c>
      <c r="O151" s="54">
        <f>IFERROR(O149/O153,"")</f>
        <v/>
      </c>
      <c r="P151" s="54">
        <f>IFERROR(P149/P153,"")</f>
        <v/>
      </c>
      <c r="Q151" s="54">
        <f>IFERROR(Q149/Q153,"")</f>
        <v/>
      </c>
      <c r="R151" s="54">
        <f>IFERROR(R149/R153,"")</f>
        <v/>
      </c>
      <c r="S151" s="54">
        <f>IFERROR(S149/S153,"")</f>
        <v/>
      </c>
      <c r="T151" s="54">
        <f>IFERROR(T149/T153,"")</f>
        <v/>
      </c>
      <c r="U151" s="54">
        <f>IFERROR(U149/U153,"")</f>
        <v/>
      </c>
      <c r="V151" s="54">
        <f>IFERROR(V149/V153,"")</f>
        <v/>
      </c>
      <c r="W151" s="54">
        <f>IFERROR(W149/W153,"")</f>
        <v/>
      </c>
      <c r="X151" s="54">
        <f>IFERROR(X149/X153,"")</f>
        <v/>
      </c>
      <c r="Y151" s="54">
        <f>IFERROR(Y149/Y153,"")</f>
        <v/>
      </c>
      <c r="Z151" s="54">
        <f>IFERROR(Z149/Z153,"")</f>
        <v/>
      </c>
      <c r="AA151" s="54">
        <f>IFERROR(AA149/AA153,"")</f>
        <v/>
      </c>
      <c r="AB151" s="54">
        <f>IFERROR(AB149/AB153,"")</f>
        <v/>
      </c>
      <c r="AC151" s="54">
        <f>IFERROR(AC149/AC153,"")</f>
        <v/>
      </c>
      <c r="AD151" s="54">
        <f>IFERROR(AD149/AD153,"")</f>
        <v/>
      </c>
      <c r="AE151" s="54">
        <f>IFERROR(AE149/AE153,"")</f>
        <v/>
      </c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</row>
    <row r="152" ht="15.75" customFormat="1" customHeight="1" s="7">
      <c r="B152" s="7" t="inlineStr">
        <is>
          <t>% of Target - YTD</t>
        </is>
      </c>
      <c r="C152" s="15" t="n"/>
      <c r="D152" s="16" t="inlineStr">
        <is>
          <t>%</t>
        </is>
      </c>
      <c r="E152" s="54">
        <f>IFERROR(SUM($E$149:E149)/SUM($E$153:E153),"")</f>
        <v/>
      </c>
      <c r="F152" s="54">
        <f>IFERROR(SUM($E$149:F149)/SUM($E$153:F153),"")</f>
        <v/>
      </c>
      <c r="G152" s="54">
        <f>IFERROR(SUM($E$149:G149)/SUM($E$153:G153),"")</f>
        <v/>
      </c>
      <c r="H152" s="54">
        <f>IFERROR(SUM($E$149:H149)/SUM($E$153:H153),"")</f>
        <v/>
      </c>
      <c r="I152" s="54">
        <f>IFERROR(SUM($E$149:I149)/SUM($E$153:I153),"")</f>
        <v/>
      </c>
      <c r="J152" s="54">
        <f>IFERROR(SUM($E$149:J149)/SUM($E$153:J153),"")</f>
        <v/>
      </c>
      <c r="K152" s="54">
        <f>IFERROR(SUM($E$149:K149)/SUM($E$153:K153),"")</f>
        <v/>
      </c>
      <c r="L152" s="54">
        <f>IFERROR(SUM($E$149:L149)/SUM($E$153:L153),"")</f>
        <v/>
      </c>
      <c r="M152" s="54">
        <f>IFERROR(SUM($E$149:M149)/SUM($E$153:M153),"")</f>
        <v/>
      </c>
      <c r="N152" s="54">
        <f>IFERROR(SUM($E$149:N149)/SUM($E$153:N153),"")</f>
        <v/>
      </c>
      <c r="O152" s="54">
        <f>IFERROR(SUM($E$149:O149)/SUM($E$153:O153),"")</f>
        <v/>
      </c>
      <c r="P152" s="54">
        <f>IFERROR(SUM($E$149:P149)/SUM($E$153:P153),"")</f>
        <v/>
      </c>
      <c r="Q152" s="54">
        <f>IFERROR(SUM($E$149:Q149)/SUM($E$153:Q153),"")</f>
        <v/>
      </c>
      <c r="R152" s="54">
        <f>IFERROR(SUM($E$149:R149)/SUM($E$153:R153),"")</f>
        <v/>
      </c>
      <c r="S152" s="54">
        <f>IFERROR(SUM($E$149:S149)/SUM($E$153:S153),"")</f>
        <v/>
      </c>
      <c r="T152" s="54">
        <f>IFERROR(SUM($E$149:T149)/SUM($E$153:T153),"")</f>
        <v/>
      </c>
      <c r="U152" s="54">
        <f>IFERROR(SUM($E$149:U149)/SUM($E$153:U153),"")</f>
        <v/>
      </c>
      <c r="V152" s="54">
        <f>IFERROR(SUM($E$149:V149)/SUM($E$153:V153),"")</f>
        <v/>
      </c>
      <c r="W152" s="54">
        <f>IFERROR(SUM($E$149:W149)/SUM($E$153:W153),"")</f>
        <v/>
      </c>
      <c r="X152" s="54">
        <f>IFERROR(SUM($E$149:X149)/SUM($E$153:X153),"")</f>
        <v/>
      </c>
      <c r="Y152" s="54">
        <f>IFERROR(SUM($E$149:Y149)/SUM($E$153:Y153),"")</f>
        <v/>
      </c>
      <c r="Z152" s="54">
        <f>IFERROR(SUM($E$149:Z149)/SUM($E$153:Z153),"")</f>
        <v/>
      </c>
      <c r="AA152" s="54">
        <f>IFERROR(SUM($E$149:AA149)/SUM($E$153:AA153),"")</f>
        <v/>
      </c>
      <c r="AB152" s="54">
        <f>IFERROR(SUM($E$149:AB149)/SUM($E$153:AB153),"")</f>
        <v/>
      </c>
      <c r="AC152" s="54">
        <f>IFERROR(SUM($E$149:AC149)/SUM($E$153:AC153),"")</f>
        <v/>
      </c>
      <c r="AD152" s="54">
        <f>IFERROR(SUM($E$149:AD149)/SUM($E$153:AD153),"")</f>
        <v/>
      </c>
      <c r="AE152" s="54">
        <f>IFERROR(SUM($E$149:AE149)/SUM($E$153:AE153),"")</f>
        <v/>
      </c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</row>
    <row r="153" ht="15.75" customFormat="1" customHeight="1" s="9">
      <c r="A153" s="50">
        <f>SUM(E153:BE153)</f>
        <v/>
      </c>
      <c r="B153" s="9" t="inlineStr">
        <is>
          <t>Target</t>
        </is>
      </c>
      <c r="D153" s="10" t="inlineStr">
        <is>
          <t>$k</t>
        </is>
      </c>
      <c r="E153" s="55" t="n">
        <v>41.219788528</v>
      </c>
      <c r="F153" s="55" t="n">
        <v>72.134629924</v>
      </c>
      <c r="G153" s="55" t="n">
        <v>72.134629924</v>
      </c>
      <c r="H153" s="55" t="n">
        <v>72.134629924</v>
      </c>
      <c r="I153" s="55" t="n">
        <v>75.09150526799999</v>
      </c>
      <c r="J153" s="55" t="n">
        <v>92.8335</v>
      </c>
      <c r="K153" s="55" t="n">
        <v>92.8335</v>
      </c>
      <c r="L153" s="55" t="n">
        <v>92.8335</v>
      </c>
      <c r="M153" s="55" t="n">
        <v>88.96398132</v>
      </c>
      <c r="N153" s="55" t="n">
        <v>65.74612657200001</v>
      </c>
      <c r="O153" s="55" t="n">
        <v>65.74612657200001</v>
      </c>
      <c r="P153" s="55" t="n">
        <v>65.74612657200001</v>
      </c>
      <c r="Q153" s="55" t="n">
        <v>65.74612657200001</v>
      </c>
      <c r="R153" s="55" t="n">
        <v>69.526709076</v>
      </c>
      <c r="S153" s="55" t="n">
        <v>71.03869851600001</v>
      </c>
      <c r="T153" s="55" t="n">
        <v>71.03869851600001</v>
      </c>
      <c r="U153" s="55" t="n">
        <v>71.03869851600001</v>
      </c>
      <c r="V153" s="55" t="n">
        <v>77.047780446</v>
      </c>
      <c r="W153" s="55" t="n">
        <v>85.05999116999999</v>
      </c>
      <c r="X153" s="55" t="n">
        <v>85.05999116999999</v>
      </c>
      <c r="Y153" s="55" t="n">
        <v>85.05999116999999</v>
      </c>
      <c r="Z153" s="55" t="n">
        <v>85.05999116999999</v>
      </c>
      <c r="AA153" s="55" t="n">
        <v>84.886778733</v>
      </c>
      <c r="AB153" s="55" t="n">
        <v>84.886778733</v>
      </c>
      <c r="AC153" s="55" t="n">
        <v>84.886778733</v>
      </c>
      <c r="AD153" s="55" t="n">
        <v>84.886778733</v>
      </c>
      <c r="AE153" s="55" t="n">
        <v>78.711476867</v>
      </c>
      <c r="AF153" s="55" t="n">
        <v>76.24113783999999</v>
      </c>
      <c r="AG153" s="55" t="n">
        <v>76.24113783999999</v>
      </c>
      <c r="AH153" s="55" t="n">
        <v>76.24113783999999</v>
      </c>
      <c r="AI153" s="55" t="n">
        <v>77.107523204</v>
      </c>
      <c r="AJ153" s="55" t="n">
        <v>79.27348661400001</v>
      </c>
      <c r="AK153" s="55" t="n">
        <v>79.27348661400001</v>
      </c>
      <c r="AL153" s="55" t="n">
        <v>79.27348661400001</v>
      </c>
      <c r="AM153" s="55" t="n">
        <v>79.27348661400001</v>
      </c>
      <c r="AN153" s="55" t="n">
        <v>81.828183802</v>
      </c>
      <c r="AO153" s="55" t="n">
        <v>82.25384916100001</v>
      </c>
      <c r="AP153" s="55" t="n">
        <v>82.25384916100001</v>
      </c>
      <c r="AQ153" s="55" t="n">
        <v>82.25384916100001</v>
      </c>
      <c r="AR153" s="55" t="n">
        <v>89.67610728</v>
      </c>
      <c r="AS153" s="55" t="n">
        <v>95.24271274</v>
      </c>
      <c r="AT153" s="55" t="n">
        <v>95.24271274</v>
      </c>
      <c r="AU153" s="55" t="n">
        <v>95.24271274</v>
      </c>
      <c r="AV153" s="55" t="n">
        <v>116.002767255</v>
      </c>
      <c r="AW153" s="55" t="n">
        <v>240.565156335</v>
      </c>
      <c r="AX153" s="55" t="n">
        <v>240.565156335</v>
      </c>
      <c r="AY153" s="55" t="n">
        <v>240.565156335</v>
      </c>
      <c r="AZ153" s="55" t="n">
        <v>240.565156335</v>
      </c>
      <c r="BA153" s="55" t="n">
        <v>93.056297019</v>
      </c>
      <c r="BB153" s="55" t="n">
        <v>68.471830798</v>
      </c>
      <c r="BC153" s="55" t="n">
        <v>68.471830798</v>
      </c>
      <c r="BD153" s="55" t="n">
        <v>68.471830798</v>
      </c>
      <c r="BE153" s="55" t="n">
        <v>39.12676045600001</v>
      </c>
    </row>
    <row r="154" ht="15.75" customHeight="1"/>
    <row r="155" ht="15.75" customHeight="1">
      <c r="A155" s="1" t="inlineStr">
        <is>
          <t xml:space="preserve">Sell-through units </t>
        </is>
      </c>
      <c r="D155" s="23" t="inlineStr">
        <is>
          <t>#</t>
        </is>
      </c>
      <c r="E155" s="53" t="n">
        <v>1183</v>
      </c>
      <c r="F155" s="53" t="n">
        <v>941</v>
      </c>
      <c r="G155" s="53" t="n">
        <v>1082</v>
      </c>
      <c r="H155" s="53" t="n">
        <v>924</v>
      </c>
      <c r="I155" s="53" t="n">
        <v>828</v>
      </c>
      <c r="J155" s="53" t="n">
        <v>946</v>
      </c>
      <c r="K155" s="53" t="n">
        <v>1005</v>
      </c>
      <c r="L155" s="53" t="n">
        <v>1083</v>
      </c>
      <c r="M155" s="53" t="n">
        <v>1343</v>
      </c>
      <c r="N155" s="53" t="n">
        <v>1605</v>
      </c>
      <c r="O155" s="53" t="n">
        <v>1505</v>
      </c>
      <c r="P155" s="53" t="n">
        <v>1481</v>
      </c>
      <c r="Q155" s="53" t="n">
        <v>1379</v>
      </c>
      <c r="R155" s="53" t="n">
        <v>1296</v>
      </c>
      <c r="S155" s="53" t="n">
        <v>1032</v>
      </c>
      <c r="T155" s="53" t="n">
        <v>1062</v>
      </c>
      <c r="U155" s="53" t="n">
        <v>899</v>
      </c>
      <c r="V155" s="53" t="n">
        <v>1103</v>
      </c>
      <c r="W155" s="53" t="n">
        <v>1160</v>
      </c>
      <c r="X155" s="53" t="n">
        <v>970</v>
      </c>
      <c r="Y155" s="53" t="n">
        <v>1093</v>
      </c>
      <c r="Z155" s="53" t="n">
        <v>1082</v>
      </c>
      <c r="AA155" s="53" t="n">
        <v>1088</v>
      </c>
      <c r="AB155" s="53" t="n">
        <v>942</v>
      </c>
      <c r="AC155" s="53" t="n">
        <v>995</v>
      </c>
      <c r="AD155" s="53" t="n">
        <v>1901</v>
      </c>
      <c r="AE155" s="53" t="n">
        <v>1010</v>
      </c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</row>
    <row r="156" ht="15.75" customFormat="1" customHeight="1" s="4">
      <c r="A156" s="3" t="n"/>
      <c r="B156" s="4" t="inlineStr">
        <is>
          <t>% of Total - YTD</t>
        </is>
      </c>
      <c r="D156" s="32" t="inlineStr">
        <is>
          <t>%</t>
        </is>
      </c>
      <c r="E156" s="57">
        <f>IFERROR(SUM($E$155:E155)/SUM($E$4:E4),"")</f>
        <v/>
      </c>
      <c r="F156" s="57">
        <f>IFERROR(SUM($E$155:F155)/SUM($E$4:F4),"")</f>
        <v/>
      </c>
      <c r="G156" s="57">
        <f>IFERROR(SUM($E$155:G155)/SUM($E$4:G4),"")</f>
        <v/>
      </c>
      <c r="H156" s="57">
        <f>IFERROR(SUM($E$155:H155)/SUM($E$4:H4),"")</f>
        <v/>
      </c>
      <c r="I156" s="57">
        <f>IFERROR(SUM($E$155:I155)/SUM($E$4:I4),"")</f>
        <v/>
      </c>
      <c r="J156" s="57">
        <f>IFERROR(SUM($E$155:J155)/SUM($E$4:J4),"")</f>
        <v/>
      </c>
      <c r="K156" s="57">
        <f>IFERROR(SUM($E$155:K155)/SUM($E$4:K4),"")</f>
        <v/>
      </c>
      <c r="L156" s="57">
        <f>IFERROR(SUM($E$155:L155)/SUM($E$4:L4),"")</f>
        <v/>
      </c>
      <c r="M156" s="57">
        <f>IFERROR(SUM($E$155:M155)/SUM($E$4:M4),"")</f>
        <v/>
      </c>
      <c r="N156" s="57">
        <f>IFERROR(SUM($E$155:N155)/SUM($E$4:N4),"")</f>
        <v/>
      </c>
      <c r="O156" s="57">
        <f>IFERROR(SUM($E$155:O155)/SUM($E$4:O4),"")</f>
        <v/>
      </c>
      <c r="P156" s="57">
        <f>IFERROR(SUM($E$155:P155)/SUM($E$4:P4),"")</f>
        <v/>
      </c>
      <c r="Q156" s="57">
        <f>IFERROR(SUM($E$155:Q155)/SUM($E$4:Q4),"")</f>
        <v/>
      </c>
      <c r="R156" s="57">
        <f>IFERROR(SUM($E$155:R155)/SUM($E$4:R4),"")</f>
        <v/>
      </c>
      <c r="S156" s="57">
        <f>IFERROR(SUM($E$155:S155)/SUM($E$4:S4),"")</f>
        <v/>
      </c>
      <c r="T156" s="57">
        <f>IFERROR(SUM($E$155:T155)/SUM($E$4:T4),"")</f>
        <v/>
      </c>
      <c r="U156" s="57">
        <f>IFERROR(SUM($E$155:U155)/SUM($E$4:U4),"")</f>
        <v/>
      </c>
      <c r="V156" s="57">
        <f>IFERROR(SUM($E$155:V155)/SUM($E$4:V4),"")</f>
        <v/>
      </c>
      <c r="W156" s="57">
        <f>IFERROR(SUM($E$155:W155)/SUM($E$4:W4),"")</f>
        <v/>
      </c>
      <c r="X156" s="57">
        <f>IFERROR(SUM($E$155:X155)/SUM($E$4:X4),"")</f>
        <v/>
      </c>
      <c r="Y156" s="57">
        <f>IFERROR(SUM($E$155:Y155)/SUM($E$4:Y4),"")</f>
        <v/>
      </c>
      <c r="Z156" s="57">
        <f>IFERROR(SUM($E$155:Z155)/SUM($E$4:Z4),"")</f>
        <v/>
      </c>
      <c r="AA156" s="57">
        <f>IFERROR(SUM($E$155:AA155)/SUM($E$4:AA4),"")</f>
        <v/>
      </c>
      <c r="AB156" s="57">
        <f>IFERROR(SUM($E$155:AB155)/SUM($E$4:AB4),"")</f>
        <v/>
      </c>
      <c r="AC156" s="57">
        <f>IFERROR(SUM($E$155:AC155)/SUM($E$4:AC4),"")</f>
        <v/>
      </c>
      <c r="AD156" s="57">
        <f>IFERROR(SUM($E$155:AD155)/SUM($E$4:AD4),"")</f>
        <v/>
      </c>
      <c r="AE156" s="57">
        <f>IFERROR(SUM($E$155:AE155)/SUM($E$4:AE4),"")</f>
        <v/>
      </c>
      <c r="AF156" s="57" t="n"/>
      <c r="AG156" s="57" t="n"/>
      <c r="AH156" s="57" t="n"/>
      <c r="AI156" s="57" t="n"/>
      <c r="AJ156" s="57" t="n"/>
      <c r="AK156" s="57" t="n"/>
      <c r="AL156" s="57" t="n"/>
      <c r="AM156" s="57" t="n"/>
      <c r="AN156" s="57" t="n"/>
      <c r="AO156" s="57" t="n"/>
      <c r="AP156" s="57" t="n"/>
      <c r="AQ156" s="57" t="n"/>
      <c r="AR156" s="57" t="n"/>
      <c r="AS156" s="57" t="n"/>
      <c r="AT156" s="57" t="n"/>
      <c r="AU156" s="57" t="n"/>
      <c r="AV156" s="57" t="n"/>
      <c r="AW156" s="57" t="n"/>
      <c r="AX156" s="57" t="n"/>
      <c r="AY156" s="57" t="n"/>
      <c r="AZ156" s="57" t="n"/>
      <c r="BA156" s="57" t="n"/>
      <c r="BB156" s="57" t="n"/>
      <c r="BC156" s="57" t="n"/>
      <c r="BD156" s="57" t="n"/>
      <c r="BE156" s="57" t="n"/>
    </row>
    <row r="157" ht="15.75" customFormat="1" customHeight="1" s="15">
      <c r="A157" s="14" t="n"/>
      <c r="B157" s="15" t="inlineStr">
        <is>
          <t>% of Target</t>
        </is>
      </c>
      <c r="D157" s="16" t="inlineStr">
        <is>
          <t>%</t>
        </is>
      </c>
      <c r="E157" s="54">
        <f>IFERROR(E155/E159,"")</f>
        <v/>
      </c>
      <c r="F157" s="54">
        <f>IFERROR(F155/F159,"")</f>
        <v/>
      </c>
      <c r="G157" s="54">
        <f>IFERROR(G155/G159,"")</f>
        <v/>
      </c>
      <c r="H157" s="54">
        <f>IFERROR(H155/H159,"")</f>
        <v/>
      </c>
      <c r="I157" s="54">
        <f>IFERROR(I155/I159,"")</f>
        <v/>
      </c>
      <c r="J157" s="54">
        <f>IFERROR(J155/J159,"")</f>
        <v/>
      </c>
      <c r="K157" s="54">
        <f>IFERROR(K155/K159,"")</f>
        <v/>
      </c>
      <c r="L157" s="54">
        <f>IFERROR(L155/L159,"")</f>
        <v/>
      </c>
      <c r="M157" s="54">
        <f>IFERROR(M155/M159,"")</f>
        <v/>
      </c>
      <c r="N157" s="54">
        <f>IFERROR(N155/N159,"")</f>
        <v/>
      </c>
      <c r="O157" s="54">
        <f>IFERROR(O155/O159,"")</f>
        <v/>
      </c>
      <c r="P157" s="54">
        <f>IFERROR(P155/P159,"")</f>
        <v/>
      </c>
      <c r="Q157" s="54">
        <f>IFERROR(Q155/Q159,"")</f>
        <v/>
      </c>
      <c r="R157" s="54">
        <f>IFERROR(R155/R159,"")</f>
        <v/>
      </c>
      <c r="S157" s="54">
        <f>IFERROR(S155/S159,"")</f>
        <v/>
      </c>
      <c r="T157" s="54">
        <f>IFERROR(T155/T159,"")</f>
        <v/>
      </c>
      <c r="U157" s="54">
        <f>IFERROR(U155/U159,"")</f>
        <v/>
      </c>
      <c r="V157" s="54">
        <f>IFERROR(V155/V159,"")</f>
        <v/>
      </c>
      <c r="W157" s="54">
        <f>IFERROR(W155/W159,"")</f>
        <v/>
      </c>
      <c r="X157" s="54">
        <f>IFERROR(X155/X159,"")</f>
        <v/>
      </c>
      <c r="Y157" s="54">
        <f>IFERROR(Y155/Y159,"")</f>
        <v/>
      </c>
      <c r="Z157" s="54">
        <f>IFERROR(Z155/Z159,"")</f>
        <v/>
      </c>
      <c r="AA157" s="54">
        <f>IFERROR(AA155/AA159,"")</f>
        <v/>
      </c>
      <c r="AB157" s="54">
        <f>IFERROR(AB155/AB159,"")</f>
        <v/>
      </c>
      <c r="AC157" s="54">
        <f>IFERROR(AC155/AC159,"")</f>
        <v/>
      </c>
      <c r="AD157" s="54">
        <f>IFERROR(AD155/AD159,"")</f>
        <v/>
      </c>
      <c r="AE157" s="54">
        <f>IFERROR(AE155/AE159,"")</f>
        <v/>
      </c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</row>
    <row r="158" ht="15.75" customFormat="1" customHeight="1" s="15">
      <c r="A158" s="14" t="n"/>
      <c r="B158" s="7" t="inlineStr">
        <is>
          <t>% of Target - YTD</t>
        </is>
      </c>
      <c r="D158" s="16" t="inlineStr">
        <is>
          <t>%</t>
        </is>
      </c>
      <c r="E158" s="54">
        <f>IFERROR(SUM($E$155:E155)/SUM($E$159:E159),"")</f>
        <v/>
      </c>
      <c r="F158" s="54">
        <f>IFERROR(SUM($E$155:F155)/SUM($E$159:F159),"")</f>
        <v/>
      </c>
      <c r="G158" s="54">
        <f>IFERROR(SUM($E$155:G155)/SUM($E$159:G159),"")</f>
        <v/>
      </c>
      <c r="H158" s="54">
        <f>IFERROR(SUM($E$155:H155)/SUM($E$159:H159),"")</f>
        <v/>
      </c>
      <c r="I158" s="54">
        <f>IFERROR(SUM($E$155:I155)/SUM($E$159:I159),"")</f>
        <v/>
      </c>
      <c r="J158" s="54">
        <f>IFERROR(SUM($E$155:J155)/SUM($E$159:J159),"")</f>
        <v/>
      </c>
      <c r="K158" s="54">
        <f>IFERROR(SUM($E$155:K155)/SUM($E$159:K159),"")</f>
        <v/>
      </c>
      <c r="L158" s="54">
        <f>IFERROR(SUM($E$155:L155)/SUM($E$159:L159),"")</f>
        <v/>
      </c>
      <c r="M158" s="54">
        <f>IFERROR(SUM($E$155:M155)/SUM($E$159:M159),"")</f>
        <v/>
      </c>
      <c r="N158" s="54">
        <f>IFERROR(SUM($E$155:N155)/SUM($E$159:N159),"")</f>
        <v/>
      </c>
      <c r="O158" s="54">
        <f>IFERROR(SUM($E$155:O155)/SUM($E$159:O159),"")</f>
        <v/>
      </c>
      <c r="P158" s="54">
        <f>IFERROR(SUM($E$155:P155)/SUM($E$159:P159),"")</f>
        <v/>
      </c>
      <c r="Q158" s="54">
        <f>IFERROR(SUM($E$155:Q155)/SUM($E$159:Q159),"")</f>
        <v/>
      </c>
      <c r="R158" s="54">
        <f>IFERROR(SUM($E$155:R155)/SUM($E$159:R159),"")</f>
        <v/>
      </c>
      <c r="S158" s="54">
        <f>IFERROR(SUM($E$155:S155)/SUM($E$159:S159),"")</f>
        <v/>
      </c>
      <c r="T158" s="54">
        <f>IFERROR(SUM($E$155:T155)/SUM($E$159:T159),"")</f>
        <v/>
      </c>
      <c r="U158" s="54">
        <f>IFERROR(SUM($E$155:U155)/SUM($E$159:U159),"")</f>
        <v/>
      </c>
      <c r="V158" s="54">
        <f>IFERROR(SUM($E$155:V155)/SUM($E$159:V159),"")</f>
        <v/>
      </c>
      <c r="W158" s="54">
        <f>IFERROR(SUM($E$155:W155)/SUM($E$159:W159),"")</f>
        <v/>
      </c>
      <c r="X158" s="54">
        <f>IFERROR(SUM($E$155:X155)/SUM($E$159:X159),"")</f>
        <v/>
      </c>
      <c r="Y158" s="54">
        <f>IFERROR(SUM($E$155:Y155)/SUM($E$159:Y159),"")</f>
        <v/>
      </c>
      <c r="Z158" s="54">
        <f>IFERROR(SUM($E$155:Z155)/SUM($E$159:Z159),"")</f>
        <v/>
      </c>
      <c r="AA158" s="54">
        <f>IFERROR(SUM($E$155:AA155)/SUM($E$159:AA159),"")</f>
        <v/>
      </c>
      <c r="AB158" s="54">
        <f>IFERROR(SUM($E$155:AB155)/SUM($E$159:AB159),"")</f>
        <v/>
      </c>
      <c r="AC158" s="54">
        <f>IFERROR(SUM($E$155:AC155)/SUM($E$159:AC159),"")</f>
        <v/>
      </c>
      <c r="AD158" s="54">
        <f>IFERROR(SUM($E$155:AD155)/SUM($E$159:AD159),"")</f>
        <v/>
      </c>
      <c r="AE158" s="54">
        <f>IFERROR(SUM($E$155:AE155)/SUM($E$159:AE159),"")</f>
        <v/>
      </c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</row>
    <row r="159" ht="15.75" customFormat="1" customHeight="1" s="12">
      <c r="A159" s="50">
        <f>SUM(E159:BE159)</f>
        <v/>
      </c>
      <c r="B159" s="12" t="inlineStr">
        <is>
          <t>Target</t>
        </is>
      </c>
      <c r="D159" s="13" t="inlineStr">
        <is>
          <t>#</t>
        </is>
      </c>
      <c r="E159" s="55" t="n">
        <v>1183</v>
      </c>
      <c r="F159" s="55" t="n">
        <v>1085</v>
      </c>
      <c r="G159" s="55" t="n">
        <v>1056</v>
      </c>
      <c r="H159" s="55" t="n">
        <v>1056</v>
      </c>
      <c r="I159" s="55" t="n">
        <v>1033</v>
      </c>
      <c r="J159" s="55" t="n">
        <v>1935</v>
      </c>
      <c r="K159" s="55" t="n">
        <v>1162</v>
      </c>
      <c r="L159" s="55" t="n">
        <v>1248</v>
      </c>
      <c r="M159" s="55" t="n">
        <v>1452</v>
      </c>
      <c r="N159" s="55" t="n">
        <v>1133</v>
      </c>
      <c r="O159" s="55" t="n">
        <v>1056</v>
      </c>
      <c r="P159" s="55" t="n">
        <v>1083</v>
      </c>
      <c r="Q159" s="55" t="n">
        <v>975</v>
      </c>
      <c r="R159" s="55" t="n">
        <v>652</v>
      </c>
      <c r="S159" s="55" t="n">
        <v>1033</v>
      </c>
      <c r="T159" s="55" t="n">
        <v>1232</v>
      </c>
      <c r="U159" s="55" t="n">
        <v>1194</v>
      </c>
      <c r="V159" s="55" t="n">
        <v>1194</v>
      </c>
      <c r="W159" s="55" t="n">
        <v>1209</v>
      </c>
      <c r="X159" s="55" t="n">
        <v>1208</v>
      </c>
      <c r="Y159" s="55" t="n">
        <v>1561</v>
      </c>
      <c r="Z159" s="55" t="n">
        <v>1209</v>
      </c>
      <c r="AA159" s="55" t="n">
        <v>1526</v>
      </c>
      <c r="AB159" s="55" t="n">
        <v>1668</v>
      </c>
      <c r="AC159" s="55" t="n">
        <v>1308</v>
      </c>
      <c r="AD159" s="55" t="n">
        <v>1208</v>
      </c>
      <c r="AE159" s="55" t="n">
        <v>1208</v>
      </c>
      <c r="AF159" s="55" t="n">
        <v>1208</v>
      </c>
      <c r="AG159" s="55" t="n">
        <v>1208</v>
      </c>
      <c r="AH159" s="55" t="n">
        <v>1207</v>
      </c>
      <c r="AI159" s="55" t="n">
        <v>1208</v>
      </c>
      <c r="AJ159" s="55" t="n">
        <v>1436</v>
      </c>
      <c r="AK159" s="55" t="n">
        <v>1330</v>
      </c>
      <c r="AL159" s="55" t="n">
        <v>1194</v>
      </c>
      <c r="AM159" s="55" t="n">
        <v>1115</v>
      </c>
      <c r="AN159" s="55" t="n">
        <v>1140</v>
      </c>
      <c r="AO159" s="55" t="n">
        <v>1650</v>
      </c>
      <c r="AP159" s="55" t="n">
        <v>1287</v>
      </c>
      <c r="AQ159" s="55" t="n">
        <v>1243</v>
      </c>
      <c r="AR159" s="55" t="n">
        <v>1256</v>
      </c>
      <c r="AS159" s="55" t="n">
        <v>1290</v>
      </c>
      <c r="AT159" s="55" t="n">
        <v>1308</v>
      </c>
      <c r="AU159" s="55" t="n">
        <v>1147</v>
      </c>
      <c r="AV159" s="55" t="n">
        <v>1987</v>
      </c>
      <c r="AW159" s="55" t="n">
        <v>2253</v>
      </c>
      <c r="AX159" s="55" t="n">
        <v>1755</v>
      </c>
      <c r="AY159" s="55" t="n">
        <v>1365</v>
      </c>
      <c r="AZ159" s="55" t="n">
        <v>16621</v>
      </c>
      <c r="BA159" s="55" t="n">
        <v>1312</v>
      </c>
      <c r="BB159" s="55" t="n">
        <v>1309</v>
      </c>
      <c r="BC159" s="55" t="n">
        <v>1307</v>
      </c>
      <c r="BD159" s="55" t="n">
        <v>824</v>
      </c>
      <c r="BE159" s="55" t="n"/>
    </row>
    <row r="160" ht="15.75" customHeight="1">
      <c r="B160" t="inlineStr">
        <is>
          <t>Actual  breakdown</t>
        </is>
      </c>
      <c r="C160" s="11" t="inlineStr">
        <is>
          <t xml:space="preserve">Cam </t>
        </is>
      </c>
      <c r="D160" s="6" t="inlineStr">
        <is>
          <t>#</t>
        </is>
      </c>
      <c r="E160" s="52" t="n">
        <v>1053</v>
      </c>
      <c r="F160" s="52" t="n">
        <v>849</v>
      </c>
      <c r="G160" s="52" t="n">
        <v>960</v>
      </c>
      <c r="H160" s="52" t="n">
        <v>858</v>
      </c>
      <c r="I160" s="52" t="n">
        <v>745</v>
      </c>
      <c r="J160" s="52" t="n">
        <v>859</v>
      </c>
      <c r="K160" s="52" t="n">
        <v>894</v>
      </c>
      <c r="L160" s="52" t="n">
        <v>979</v>
      </c>
      <c r="M160" s="52" t="n">
        <v>1206</v>
      </c>
      <c r="N160" s="52" t="n">
        <v>1434</v>
      </c>
      <c r="O160" s="52" t="n">
        <v>1305</v>
      </c>
      <c r="P160" s="52" t="n">
        <v>1313</v>
      </c>
      <c r="Q160" s="52" t="n">
        <v>1278</v>
      </c>
      <c r="R160" s="52" t="n">
        <v>1210</v>
      </c>
      <c r="S160" s="52" t="n">
        <v>988</v>
      </c>
      <c r="T160" s="52" t="n">
        <v>1002</v>
      </c>
      <c r="U160" s="52" t="n">
        <v>839</v>
      </c>
      <c r="V160" s="52" t="n">
        <v>1032</v>
      </c>
      <c r="W160" s="52" t="n">
        <v>1085</v>
      </c>
      <c r="X160" s="52" t="n">
        <v>906</v>
      </c>
      <c r="Y160" s="52" t="n">
        <v>1017</v>
      </c>
      <c r="Z160" s="52" t="n">
        <v>1001</v>
      </c>
      <c r="AA160" s="52" t="n">
        <v>989</v>
      </c>
      <c r="AB160" s="52" t="n">
        <v>882</v>
      </c>
      <c r="AC160" s="52" t="n">
        <v>935</v>
      </c>
      <c r="AD160" s="52" t="n">
        <v>1676</v>
      </c>
      <c r="AE160" s="52" t="n">
        <v>945</v>
      </c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</row>
    <row r="161" ht="15.75" customHeight="1">
      <c r="C161" s="11" t="inlineStr">
        <is>
          <t>Non Cam</t>
        </is>
      </c>
      <c r="D161" s="6" t="inlineStr">
        <is>
          <t>#</t>
        </is>
      </c>
      <c r="E161" s="52" t="n">
        <v>130</v>
      </c>
      <c r="F161" s="52" t="n">
        <v>92</v>
      </c>
      <c r="G161" s="52" t="n">
        <v>122</v>
      </c>
      <c r="H161" s="52" t="n">
        <v>66</v>
      </c>
      <c r="I161" s="52" t="n">
        <v>83</v>
      </c>
      <c r="J161" s="52" t="n">
        <v>87</v>
      </c>
      <c r="K161" s="52" t="n">
        <v>111</v>
      </c>
      <c r="L161" s="52" t="n">
        <v>104</v>
      </c>
      <c r="M161" s="52" t="n">
        <v>137</v>
      </c>
      <c r="N161" s="52" t="n">
        <v>171</v>
      </c>
      <c r="O161" s="52" t="n">
        <v>200</v>
      </c>
      <c r="P161" s="52" t="n">
        <v>168</v>
      </c>
      <c r="Q161" s="52" t="n">
        <v>101</v>
      </c>
      <c r="R161" s="52" t="n">
        <v>86</v>
      </c>
      <c r="S161" s="52" t="n">
        <v>44</v>
      </c>
      <c r="T161" s="52" t="n">
        <v>60</v>
      </c>
      <c r="U161" s="52" t="n">
        <v>60</v>
      </c>
      <c r="V161" s="52" t="n">
        <v>71</v>
      </c>
      <c r="W161" s="52" t="n">
        <v>75</v>
      </c>
      <c r="X161" s="52" t="n">
        <v>64</v>
      </c>
      <c r="Y161" s="52" t="n">
        <v>76</v>
      </c>
      <c r="Z161" s="52" t="n">
        <v>81</v>
      </c>
      <c r="AA161" s="52" t="n">
        <v>99</v>
      </c>
      <c r="AB161" s="52" t="n">
        <v>60</v>
      </c>
      <c r="AC161" s="52" t="n">
        <v>60</v>
      </c>
      <c r="AD161" s="52" t="n">
        <v>225</v>
      </c>
      <c r="AE161" s="52" t="n">
        <v>65</v>
      </c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</row>
    <row r="162" ht="15.75" customHeight="1">
      <c r="C162" s="6" t="n"/>
    </row>
    <row r="163" ht="15.75" customFormat="1" customHeight="1" s="1">
      <c r="A163" s="1" t="inlineStr">
        <is>
          <t xml:space="preserve">Promo </t>
        </is>
      </c>
      <c r="B163" s="1" t="inlineStr">
        <is>
          <t>Real-time tracking</t>
        </is>
      </c>
      <c r="D163" s="23" t="inlineStr">
        <is>
          <t>$k</t>
        </is>
      </c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>
        <v>2.57714</v>
      </c>
      <c r="R163" s="53" t="n">
        <v>0.9794299999999999</v>
      </c>
      <c r="S163" s="53" t="n">
        <v>1.91657</v>
      </c>
      <c r="T163" s="53" t="n">
        <v>2.78429</v>
      </c>
      <c r="U163" s="53" t="n">
        <v>0</v>
      </c>
      <c r="V163" s="53" t="n">
        <v>0.3</v>
      </c>
      <c r="W163" s="53" t="n">
        <v>0.17143</v>
      </c>
      <c r="X163" s="53" t="n">
        <v>0.15</v>
      </c>
      <c r="Y163" s="53" t="n">
        <v>2.365</v>
      </c>
      <c r="Z163" s="53" t="n">
        <v>1.44429</v>
      </c>
      <c r="AA163" s="53" t="n"/>
      <c r="AB163" s="53" t="n"/>
      <c r="AC163" s="53" t="n">
        <v>4.15457</v>
      </c>
      <c r="AD163" s="53" t="n">
        <v>4.977</v>
      </c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</row>
    <row r="164" ht="15.75" customFormat="1" customHeight="1" s="1">
      <c r="B164" s="1" t="inlineStr">
        <is>
          <t>Finance Actuals (Monthly)</t>
        </is>
      </c>
      <c r="D164" s="23" t="inlineStr">
        <is>
          <t>$k</t>
        </is>
      </c>
      <c r="E164" s="53" t="n"/>
      <c r="F164" s="53" t="n"/>
      <c r="G164" s="53" t="n"/>
      <c r="H164" s="53" t="n">
        <v>0.1392</v>
      </c>
      <c r="I164" s="53" t="n"/>
      <c r="J164" s="53" t="n"/>
      <c r="K164" s="53" t="n"/>
      <c r="L164" s="53" t="n">
        <v>0.28357</v>
      </c>
      <c r="M164" s="53" t="n"/>
      <c r="N164" s="53" t="n"/>
      <c r="O164" s="53" t="n"/>
      <c r="P164" s="53" t="n"/>
      <c r="Q164" s="53" t="n">
        <v>28.59598</v>
      </c>
      <c r="R164" s="53" t="n"/>
      <c r="S164" s="53" t="n"/>
      <c r="T164" s="53" t="n"/>
      <c r="U164" s="53" t="n">
        <v>5.506729999999999</v>
      </c>
      <c r="V164" s="53" t="n"/>
      <c r="W164" s="53" t="n"/>
      <c r="X164" s="53" t="n"/>
      <c r="Y164" s="53" t="n"/>
      <c r="Z164" s="53" t="n">
        <v>9.53669</v>
      </c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</row>
    <row r="165" ht="15.75" customFormat="1" customHeight="1" s="9">
      <c r="A165" s="50">
        <f>SUM(E165:BE165)</f>
        <v/>
      </c>
      <c r="B165" s="9" t="inlineStr">
        <is>
          <t>Budgeted (Monthly)</t>
        </is>
      </c>
      <c r="D165" s="10" t="inlineStr">
        <is>
          <t>$k</t>
        </is>
      </c>
      <c r="E165" s="55" t="n"/>
      <c r="F165" s="55" t="n"/>
      <c r="G165" s="55" t="n"/>
      <c r="H165" s="55" t="n">
        <v>0</v>
      </c>
      <c r="I165" s="55" t="n"/>
      <c r="J165" s="55" t="n"/>
      <c r="K165" s="55" t="n"/>
      <c r="L165" s="55" t="n">
        <v>0</v>
      </c>
      <c r="M165" s="55" t="n"/>
      <c r="N165" s="55" t="n"/>
      <c r="O165" s="55" t="n"/>
      <c r="P165" s="55" t="n"/>
      <c r="Q165" s="55" t="n">
        <v>5.535</v>
      </c>
      <c r="R165" s="55" t="n"/>
      <c r="S165" s="55" t="n"/>
      <c r="T165" s="55" t="n"/>
      <c r="U165" s="55" t="n">
        <v>6.835</v>
      </c>
      <c r="V165" s="55" t="n"/>
      <c r="W165" s="55" t="n"/>
      <c r="X165" s="55" t="n"/>
      <c r="Y165" s="55" t="n"/>
      <c r="Z165" s="55" t="n">
        <v>3.705</v>
      </c>
      <c r="AA165" s="55" t="n"/>
      <c r="AB165" s="55" t="n"/>
      <c r="AC165" s="55" t="n"/>
      <c r="AD165" s="55" t="n">
        <v>6.835</v>
      </c>
      <c r="AE165" s="55" t="n"/>
      <c r="AF165" s="55" t="n"/>
      <c r="AG165" s="55" t="n"/>
      <c r="AH165" s="55" t="n">
        <v>7.964285714285714</v>
      </c>
      <c r="AI165" s="55" t="n"/>
      <c r="AJ165" s="55" t="n"/>
      <c r="AK165" s="55" t="n"/>
      <c r="AL165" s="55" t="n"/>
      <c r="AM165" s="55" t="n">
        <v>0.7785714285714286</v>
      </c>
      <c r="AN165" s="55" t="n"/>
      <c r="AO165" s="55" t="n"/>
      <c r="AP165" s="55" t="n"/>
      <c r="AQ165" s="55" t="n">
        <v>3.707142857142857</v>
      </c>
      <c r="AR165" s="55" t="n"/>
      <c r="AS165" s="55" t="n"/>
      <c r="AT165" s="55" t="n"/>
      <c r="AU165" s="55" t="n">
        <v>7.885</v>
      </c>
      <c r="AV165" s="55" t="n"/>
      <c r="AW165" s="55" t="n"/>
      <c r="AX165" s="55" t="n"/>
      <c r="AY165" s="55" t="n"/>
      <c r="AZ165" s="55" t="n">
        <v>14.848</v>
      </c>
      <c r="BA165" s="55" t="n"/>
      <c r="BB165" s="55" t="n"/>
      <c r="BC165" s="55" t="n"/>
      <c r="BD165" s="55" t="n">
        <v>22.272</v>
      </c>
      <c r="BE165" s="55" t="n"/>
    </row>
    <row r="166" ht="15.75" customHeight="1">
      <c r="B166" s="7" t="inlineStr">
        <is>
          <t>As % of budget - this month</t>
        </is>
      </c>
      <c r="D166" s="16" t="inlineStr">
        <is>
          <t>%</t>
        </is>
      </c>
      <c r="E166" s="54" t="n"/>
      <c r="F166" s="54" t="n"/>
      <c r="G166" s="54" t="n"/>
      <c r="H166" s="54">
        <f>IFERROR(SUM(E164:H164)/H165,"")</f>
        <v/>
      </c>
      <c r="I166" s="54" t="n"/>
      <c r="J166" s="54" t="n"/>
      <c r="K166" s="54" t="n"/>
      <c r="L166" s="54">
        <f>IFERROR(SUM(I164:L164)/L165,"")</f>
        <v/>
      </c>
      <c r="M166" s="54" t="n"/>
      <c r="N166" s="54" t="n"/>
      <c r="O166" s="54" t="n"/>
      <c r="P166" s="54" t="n"/>
      <c r="Q166" s="54">
        <f>IFERROR(SUM(M164:Q164)/Q165,"")</f>
        <v/>
      </c>
      <c r="R166" s="54" t="n"/>
      <c r="S166" s="54" t="n"/>
      <c r="T166" s="54" t="n"/>
      <c r="U166" s="54">
        <f>IFERROR(SUM(R164:U164)/U165,"")</f>
        <v/>
      </c>
      <c r="V166" s="54" t="n"/>
      <c r="W166" s="54" t="n"/>
      <c r="X166" s="54" t="n"/>
      <c r="Y166" s="54" t="n"/>
      <c r="Z166" s="54">
        <f>IFERROR(SUM(V164:Z164)/Z165,"")</f>
        <v/>
      </c>
      <c r="AA166" s="54" t="n"/>
      <c r="AB166" s="54" t="n"/>
      <c r="AC166" s="54" t="n"/>
      <c r="AD166" s="54">
        <f>IFERROR(SUM(AA164:AD164)/AD165,"")</f>
        <v/>
      </c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</row>
    <row r="167" ht="15.75" customHeight="1">
      <c r="B167" s="7" t="inlineStr">
        <is>
          <t>As % of quarterly budget (QTD)</t>
        </is>
      </c>
      <c r="D167" s="16" t="inlineStr">
        <is>
          <t>%</t>
        </is>
      </c>
      <c r="E167" s="54" t="n"/>
      <c r="F167" s="54" t="n"/>
      <c r="G167" s="54" t="n"/>
      <c r="H167" s="54">
        <f>IFERROR(SUM(E164:H164)/(H165+L165+Q165),"")</f>
        <v/>
      </c>
      <c r="I167" s="54" t="n"/>
      <c r="J167" s="54" t="n"/>
      <c r="K167" s="54" t="n"/>
      <c r="L167" s="54">
        <f>IFERROR(SUM(E164:L164)/(H165+L165+Q165),"")</f>
        <v/>
      </c>
      <c r="M167" s="54" t="n"/>
      <c r="N167" s="54" t="n"/>
      <c r="O167" s="54" t="n"/>
      <c r="P167" s="54" t="n"/>
      <c r="Q167" s="54">
        <f>IFERROR(SUM(E164:Q164)/(H165+L165+Q165),"")</f>
        <v/>
      </c>
      <c r="R167" s="54" t="n"/>
      <c r="S167" s="54" t="n"/>
      <c r="T167" s="54" t="n"/>
      <c r="U167" s="54">
        <f>IFERROR(SUM(R164:U164)/(U165+Z165+AD165),"")</f>
        <v/>
      </c>
      <c r="V167" s="54" t="n"/>
      <c r="W167" s="54" t="n"/>
      <c r="X167" s="54" t="n"/>
      <c r="Y167" s="54" t="n"/>
      <c r="Z167" s="54">
        <f>IFERROR(SUM(R164:Z164)/(U165+Z165+AD165),"")</f>
        <v/>
      </c>
      <c r="AA167" s="54" t="n"/>
      <c r="AB167" s="54" t="n"/>
      <c r="AC167" s="54" t="n"/>
      <c r="AD167" s="54">
        <f>IFERROR(SUM(R164:AD164)/(U165+Z165+AD165),"")</f>
        <v/>
      </c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</row>
    <row r="168" ht="15.75" customHeight="1">
      <c r="B168" s="7" t="inlineStr">
        <is>
          <t>As % of annual budget (YTD)</t>
        </is>
      </c>
      <c r="D168" s="16" t="inlineStr">
        <is>
          <t>%</t>
        </is>
      </c>
      <c r="E168" s="54" t="n"/>
      <c r="F168" s="54" t="n"/>
      <c r="G168" s="54" t="n"/>
      <c r="H168" s="54">
        <f>IFERROR(SUM($E$164:H164)/SUM($E$165:BD165),"")</f>
        <v/>
      </c>
      <c r="I168" s="54" t="n"/>
      <c r="J168" s="54" t="n"/>
      <c r="K168" s="54" t="n"/>
      <c r="L168" s="54">
        <f>IFERROR(SUM($E$164:L164)/SUM($E$165:BD165),"")</f>
        <v/>
      </c>
      <c r="M168" s="54" t="n"/>
      <c r="N168" s="54" t="n"/>
      <c r="O168" s="54" t="n"/>
      <c r="P168" s="54" t="n"/>
      <c r="Q168" s="54">
        <f>IFERROR(SUM($E$164:Q164)/SUM($E$165:BD165),"")</f>
        <v/>
      </c>
      <c r="R168" s="54" t="n"/>
      <c r="S168" s="54" t="n"/>
      <c r="T168" s="54" t="n"/>
      <c r="U168" s="54">
        <f>IFERROR(SUM($E$164:U164)/SUM($E$165:BD165),"")</f>
        <v/>
      </c>
      <c r="V168" s="54" t="n"/>
      <c r="W168" s="54" t="n"/>
      <c r="X168" s="54" t="n"/>
      <c r="Y168" s="54" t="n"/>
      <c r="Z168" s="54">
        <f>IFERROR(SUM($E$164:Z164)/SUM($E$165:BD165),"")</f>
        <v/>
      </c>
      <c r="AA168" s="54" t="n"/>
      <c r="AB168" s="54" t="n"/>
      <c r="AC168" s="54" t="n"/>
      <c r="AD168" s="54">
        <f>IFERROR(SUM($E$164:AD164)/SUM($E$165:BD165),"")</f>
        <v/>
      </c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</row>
    <row r="169" ht="15.75" customHeight="1"/>
    <row r="170" ht="15.75" customFormat="1" customHeight="1" s="1">
      <c r="A170" s="1" t="inlineStr">
        <is>
          <t>Total Marketing</t>
        </is>
      </c>
      <c r="D170" s="23" t="inlineStr">
        <is>
          <t>$k</t>
        </is>
      </c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</row>
    <row r="171" ht="15.75" customFormat="1" customHeight="1" s="1">
      <c r="B171" s="1" t="inlineStr">
        <is>
          <t>Finance Actuals (Monthly)</t>
        </is>
      </c>
      <c r="D171" s="23" t="inlineStr">
        <is>
          <t>$k</t>
        </is>
      </c>
      <c r="E171" s="53" t="n"/>
      <c r="F171" s="53" t="n"/>
      <c r="G171" s="53" t="n"/>
      <c r="H171" s="53" t="n">
        <v>62.20287</v>
      </c>
      <c r="I171" s="53" t="n"/>
      <c r="J171" s="53" t="n"/>
      <c r="K171" s="53" t="n"/>
      <c r="L171" s="53" t="n">
        <v>34.08836</v>
      </c>
      <c r="M171" s="53" t="n"/>
      <c r="N171" s="53" t="n"/>
      <c r="O171" s="53" t="n"/>
      <c r="P171" s="53" t="n"/>
      <c r="Q171" s="53" t="n">
        <v>52.23806</v>
      </c>
      <c r="R171" s="53" t="n"/>
      <c r="S171" s="53" t="n"/>
      <c r="T171" s="53" t="n"/>
      <c r="U171" s="53" t="n">
        <v>0.89917</v>
      </c>
      <c r="V171" s="53" t="n"/>
      <c r="W171" s="53" t="n"/>
      <c r="X171" s="53" t="n"/>
      <c r="Y171" s="53" t="n"/>
      <c r="Z171" s="53" t="n">
        <v>76.83179</v>
      </c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</row>
    <row r="172" ht="15.75" customHeight="1">
      <c r="A172" s="50">
        <f>SUM(E172:BE172)</f>
        <v/>
      </c>
      <c r="B172" s="9" t="inlineStr">
        <is>
          <t>Budgeted (Monthly)</t>
        </is>
      </c>
      <c r="C172" s="9" t="n"/>
      <c r="D172" s="10" t="inlineStr">
        <is>
          <t>$k</t>
        </is>
      </c>
      <c r="E172" s="55" t="n"/>
      <c r="F172" s="55" t="n"/>
      <c r="G172" s="55" t="n"/>
      <c r="H172" s="55" t="n">
        <v>56.66666666666667</v>
      </c>
      <c r="I172" s="55" t="n"/>
      <c r="J172" s="55" t="n"/>
      <c r="K172" s="55" t="n"/>
      <c r="L172" s="55" t="n">
        <v>56.66666666666667</v>
      </c>
      <c r="M172" s="55" t="n"/>
      <c r="N172" s="55" t="n"/>
      <c r="O172" s="55" t="n"/>
      <c r="P172" s="55" t="n"/>
      <c r="Q172" s="55" t="n">
        <v>56.66666666666667</v>
      </c>
      <c r="R172" s="55" t="n"/>
      <c r="S172" s="55" t="n"/>
      <c r="T172" s="55" t="n"/>
      <c r="U172" s="55" t="n">
        <v>56.66666666666667</v>
      </c>
      <c r="V172" s="55" t="n"/>
      <c r="W172" s="55" t="n"/>
      <c r="X172" s="55" t="n"/>
      <c r="Y172" s="55" t="n"/>
      <c r="Z172" s="55" t="n">
        <v>56.66666666666667</v>
      </c>
      <c r="AA172" s="55" t="n"/>
      <c r="AB172" s="55" t="n"/>
      <c r="AC172" s="55" t="n"/>
      <c r="AD172" s="55" t="n">
        <v>56.66666666666667</v>
      </c>
      <c r="AE172" s="55" t="n"/>
      <c r="AF172" s="55" t="n"/>
      <c r="AG172" s="55" t="n"/>
      <c r="AH172" s="55" t="n">
        <v>56.66666666666667</v>
      </c>
      <c r="AI172" s="55" t="n"/>
      <c r="AJ172" s="55" t="n"/>
      <c r="AK172" s="55" t="n"/>
      <c r="AL172" s="55" t="n"/>
      <c r="AM172" s="55" t="n">
        <v>56.66666666666667</v>
      </c>
      <c r="AN172" s="55" t="n"/>
      <c r="AO172" s="55" t="n"/>
      <c r="AP172" s="55" t="n"/>
      <c r="AQ172" s="55" t="n">
        <v>56.66666666666667</v>
      </c>
      <c r="AR172" s="55" t="n"/>
      <c r="AS172" s="55" t="n"/>
      <c r="AT172" s="55" t="n"/>
      <c r="AU172" s="55" t="n">
        <v>73.33333333333334</v>
      </c>
      <c r="AV172" s="55" t="n"/>
      <c r="AW172" s="55" t="n"/>
      <c r="AX172" s="55" t="n"/>
      <c r="AY172" s="55" t="n"/>
      <c r="AZ172" s="55" t="n">
        <v>73.33333333333334</v>
      </c>
      <c r="BA172" s="55" t="n"/>
      <c r="BB172" s="55" t="n"/>
      <c r="BC172" s="55" t="n"/>
      <c r="BD172" s="55" t="n">
        <v>73.33333333333334</v>
      </c>
      <c r="BE172" s="55" t="n"/>
    </row>
    <row r="173" ht="15.75" customHeight="1">
      <c r="B173" s="7" t="inlineStr">
        <is>
          <t>As % of budget - this month</t>
        </is>
      </c>
      <c r="D173" s="16" t="inlineStr">
        <is>
          <t>%</t>
        </is>
      </c>
      <c r="E173" s="54" t="n"/>
      <c r="F173" s="54" t="n"/>
      <c r="G173" s="54" t="n"/>
      <c r="H173" s="54">
        <f>IFERROR(SUM(E171:H171)/H172,"")</f>
        <v/>
      </c>
      <c r="I173" s="54" t="n"/>
      <c r="J173" s="54" t="n"/>
      <c r="K173" s="54" t="n"/>
      <c r="L173" s="54">
        <f>IFERROR(SUM(I171:L171)/L172,"")</f>
        <v/>
      </c>
      <c r="M173" s="54" t="n"/>
      <c r="N173" s="54" t="n"/>
      <c r="O173" s="54" t="n"/>
      <c r="P173" s="54" t="n"/>
      <c r="Q173" s="54">
        <f>IFERROR(SUM(M171:Q171)/Q172,"")</f>
        <v/>
      </c>
      <c r="R173" s="54" t="n"/>
      <c r="S173" s="54" t="n"/>
      <c r="T173" s="54" t="n"/>
      <c r="U173" s="54">
        <f>IFERROR(SUM(R171:U171)/U172,"")</f>
        <v/>
      </c>
      <c r="V173" s="54" t="n"/>
      <c r="W173" s="54" t="n"/>
      <c r="X173" s="54" t="n"/>
      <c r="Y173" s="54" t="n"/>
      <c r="Z173" s="54">
        <f>IFERROR(SUM(V171:Z171)/Z172,"")</f>
        <v/>
      </c>
      <c r="AA173" s="54" t="n"/>
      <c r="AB173" s="54" t="n"/>
      <c r="AC173" s="54" t="n"/>
      <c r="AD173" s="54">
        <f>IFERROR(SUM(AA171:AD171)/AD172,"")</f>
        <v/>
      </c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</row>
    <row r="174" ht="15.75" customHeight="1">
      <c r="B174" s="7" t="inlineStr">
        <is>
          <t>As % of quarterly budget (QTD)</t>
        </is>
      </c>
      <c r="D174" s="16" t="inlineStr">
        <is>
          <t>%</t>
        </is>
      </c>
      <c r="E174" s="54" t="n"/>
      <c r="F174" s="54" t="n"/>
      <c r="G174" s="54" t="n"/>
      <c r="H174" s="54">
        <f>IFERROR(SUM(E171:H171)/(H172+L172+Q172),"")</f>
        <v/>
      </c>
      <c r="I174" s="54" t="n"/>
      <c r="J174" s="54" t="n"/>
      <c r="K174" s="54" t="n"/>
      <c r="L174" s="54">
        <f>IFERROR(SUM(E171:L171)/(H172+L172+Q172),"")</f>
        <v/>
      </c>
      <c r="M174" s="54" t="n"/>
      <c r="N174" s="54" t="n"/>
      <c r="O174" s="54" t="n"/>
      <c r="P174" s="54" t="n"/>
      <c r="Q174" s="54">
        <f>IFERROR(SUM(E171:Q171)/(H172+L172+Q172),"")</f>
        <v/>
      </c>
      <c r="R174" s="54" t="n"/>
      <c r="S174" s="54" t="n"/>
      <c r="T174" s="54" t="n"/>
      <c r="U174" s="54">
        <f>IFERROR(SUM(R171:U171)/(U172+Z172+AD172),"")</f>
        <v/>
      </c>
      <c r="V174" s="54" t="n"/>
      <c r="W174" s="54" t="n"/>
      <c r="X174" s="54" t="n"/>
      <c r="Y174" s="54" t="n"/>
      <c r="Z174" s="54">
        <f>IFERROR(SUM(R171:Z171)/(U172+Z172+AD172),"")</f>
        <v/>
      </c>
      <c r="AA174" s="54" t="n"/>
      <c r="AB174" s="54" t="n"/>
      <c r="AC174" s="54" t="n"/>
      <c r="AD174" s="54">
        <f>IFERROR(SUM(R171:AD171)/(U172+Z172+AD172),"")</f>
        <v/>
      </c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</row>
    <row r="175" ht="15.75" customHeight="1">
      <c r="B175" s="7" t="inlineStr">
        <is>
          <t>As % of annual budget (YTD)</t>
        </is>
      </c>
      <c r="D175" s="16" t="inlineStr">
        <is>
          <t>%</t>
        </is>
      </c>
      <c r="E175" s="54" t="n"/>
      <c r="F175" s="54" t="n"/>
      <c r="G175" s="54" t="n"/>
      <c r="H175" s="54">
        <f>IFERROR(SUM($E$171:H171)/SUM($E$172:BD172),"")</f>
        <v/>
      </c>
      <c r="I175" s="54" t="n"/>
      <c r="J175" s="54" t="n"/>
      <c r="K175" s="54" t="n"/>
      <c r="L175" s="54">
        <f>IFERROR(SUM($E$171:L171)/SUM($E$172:BD172),"")</f>
        <v/>
      </c>
      <c r="M175" s="54" t="n"/>
      <c r="N175" s="54" t="n"/>
      <c r="O175" s="54" t="n"/>
      <c r="P175" s="54" t="n"/>
      <c r="Q175" s="54">
        <f>IFERROR(SUM($E$171:Q171)/SUM($E$172:BD172),"")</f>
        <v/>
      </c>
      <c r="R175" s="54" t="n"/>
      <c r="S175" s="54" t="n"/>
      <c r="T175" s="54" t="n"/>
      <c r="U175" s="54">
        <f>IFERROR(SUM($E$171:U171)/SUM($E$172:BD172),"")</f>
        <v/>
      </c>
      <c r="V175" s="54" t="n"/>
      <c r="W175" s="54" t="n"/>
      <c r="X175" s="54" t="n"/>
      <c r="Y175" s="54" t="n"/>
      <c r="Z175" s="54">
        <f>IFERROR(SUM($E$171:Z171)/SUM($E$172:BD172),"")</f>
        <v/>
      </c>
      <c r="AA175" s="54" t="n"/>
      <c r="AB175" s="54" t="n"/>
      <c r="AC175" s="54" t="n"/>
      <c r="AD175" s="54">
        <f>IFERROR(SUM($E$171:AD171)/SUM($E$172:BD172),"")</f>
        <v/>
      </c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</row>
    <row r="176" ht="15.75" customHeight="1"/>
    <row r="177" ht="15.75" customHeight="1"/>
    <row r="178" ht="15.75" customFormat="1" customHeight="1" s="37">
      <c r="A178" s="36" t="inlineStr">
        <is>
          <t>TikTok Shop</t>
        </is>
      </c>
      <c r="D178" s="38" t="n"/>
    </row>
    <row r="179" ht="15.75" customHeight="1">
      <c r="A179" s="1" t="inlineStr">
        <is>
          <t>Sell-in value</t>
        </is>
      </c>
      <c r="D179" s="23" t="inlineStr">
        <is>
          <t>$k</t>
        </is>
      </c>
      <c r="E179" s="53" t="n">
        <v>328.4168911862</v>
      </c>
      <c r="F179" s="53" t="n">
        <v>209.989</v>
      </c>
      <c r="G179" s="53" t="n">
        <v>189.466</v>
      </c>
      <c r="H179" s="53" t="n">
        <v>190.482</v>
      </c>
      <c r="I179" s="53" t="n">
        <v>269.9673460942</v>
      </c>
      <c r="J179" s="53" t="n">
        <v>114.952</v>
      </c>
      <c r="K179" s="53" t="n">
        <v>200.984</v>
      </c>
      <c r="L179" s="53" t="n">
        <v>312.18</v>
      </c>
      <c r="M179" s="53" t="n">
        <v>416.6206320925</v>
      </c>
      <c r="N179" s="53" t="n">
        <v>185.849</v>
      </c>
      <c r="O179" s="53" t="n">
        <v>161.798</v>
      </c>
      <c r="P179" s="53" t="n">
        <v>264.673</v>
      </c>
      <c r="Q179" s="53" t="n">
        <v>301.588</v>
      </c>
      <c r="R179" s="53" t="n">
        <v>243.9297069575</v>
      </c>
      <c r="S179" s="53" t="n">
        <v>118.327</v>
      </c>
      <c r="T179" s="53" t="n">
        <v>207.45</v>
      </c>
      <c r="U179" s="53" t="n">
        <v>222.691</v>
      </c>
      <c r="V179" s="53" t="n">
        <v>273.13858402</v>
      </c>
      <c r="W179" s="53" t="n">
        <v>97.93000000000001</v>
      </c>
      <c r="X179" s="53" t="n">
        <v>96.291</v>
      </c>
      <c r="Y179" s="53" t="n">
        <v>199.012</v>
      </c>
      <c r="Z179" s="53" t="n">
        <v>262.069097147</v>
      </c>
      <c r="AA179" s="53" t="n">
        <v>122.526</v>
      </c>
      <c r="AB179" s="53" t="n">
        <v>94.819</v>
      </c>
      <c r="AC179" s="53" t="n">
        <v>128.692</v>
      </c>
      <c r="AD179" s="53" t="n">
        <v>144.75</v>
      </c>
      <c r="AE179" s="53" t="n">
        <v>94.9641629596</v>
      </c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</row>
    <row r="180" ht="15.75" customFormat="1" customHeight="1" s="4">
      <c r="A180" s="3" t="n"/>
      <c r="B180" s="4" t="inlineStr">
        <is>
          <t>% of Total - YTD</t>
        </is>
      </c>
      <c r="D180" s="32" t="inlineStr">
        <is>
          <t>%</t>
        </is>
      </c>
      <c r="E180" s="57">
        <f>IFERROR(SUM($E$179:E179)/SUM($E$3:E3),"")</f>
        <v/>
      </c>
      <c r="F180" s="57">
        <f>IFERROR(SUM($E$179:F179)/SUM($E$3:F3),"")</f>
        <v/>
      </c>
      <c r="G180" s="57">
        <f>IFERROR(SUM($E$179:G179)/SUM($E$3:G3),"")</f>
        <v/>
      </c>
      <c r="H180" s="57">
        <f>IFERROR(SUM($E$179:H179)/SUM($E$3:H3),"")</f>
        <v/>
      </c>
      <c r="I180" s="57">
        <f>IFERROR(SUM($E$179:I179)/SUM($E$3:I3),"")</f>
        <v/>
      </c>
      <c r="J180" s="57">
        <f>IFERROR(SUM($E$179:J179)/SUM($E$3:J3),"")</f>
        <v/>
      </c>
      <c r="K180" s="57">
        <f>IFERROR(SUM($E$179:K179)/SUM($E$3:K3),"")</f>
        <v/>
      </c>
      <c r="L180" s="57">
        <f>IFERROR(SUM($E$179:L179)/SUM($E$3:L3),"")</f>
        <v/>
      </c>
      <c r="M180" s="57">
        <f>IFERROR(SUM($E$179:M179)/SUM($E$3:M3),"")</f>
        <v/>
      </c>
      <c r="N180" s="57">
        <f>IFERROR(SUM($E$179:N179)/SUM($E$3:N3),"")</f>
        <v/>
      </c>
      <c r="O180" s="57">
        <f>IFERROR(SUM($E$179:O179)/SUM($E$3:O3),"")</f>
        <v/>
      </c>
      <c r="P180" s="57">
        <f>IFERROR(SUM($E$179:P179)/SUM($E$3:P3),"")</f>
        <v/>
      </c>
      <c r="Q180" s="57">
        <f>IFERROR(SUM($E$179:Q179)/SUM($E$3:Q3),"")</f>
        <v/>
      </c>
      <c r="R180" s="57">
        <f>IFERROR(SUM($E$179:R179)/SUM($E$3:R3),"")</f>
        <v/>
      </c>
      <c r="S180" s="57">
        <f>IFERROR(SUM($E$179:S179)/SUM($E$3:S3),"")</f>
        <v/>
      </c>
      <c r="T180" s="57">
        <f>IFERROR(SUM($E$179:T179)/SUM($E$3:T3),"")</f>
        <v/>
      </c>
      <c r="U180" s="57">
        <f>IFERROR(SUM($E$179:U179)/SUM($E$3:U3),"")</f>
        <v/>
      </c>
      <c r="V180" s="57">
        <f>IFERROR(SUM($E$179:V179)/SUM($E$3:V3),"")</f>
        <v/>
      </c>
      <c r="W180" s="57">
        <f>IFERROR(SUM($E$179:W179)/SUM($E$3:W3),"")</f>
        <v/>
      </c>
      <c r="X180" s="57">
        <f>IFERROR(SUM($E$179:X179)/SUM($E$3:X3),"")</f>
        <v/>
      </c>
      <c r="Y180" s="57">
        <f>IFERROR(SUM($E$179:Y179)/SUM($E$3:Y3),"")</f>
        <v/>
      </c>
      <c r="Z180" s="57">
        <f>IFERROR(SUM($E$179:Z179)/SUM($E$3:Z3),"")</f>
        <v/>
      </c>
      <c r="AA180" s="57">
        <f>IFERROR(SUM($E$179:AA179)/SUM($E$3:AA3),"")</f>
        <v/>
      </c>
      <c r="AB180" s="57">
        <f>IFERROR(SUM($E$179:AB179)/SUM($E$3:AB3),"")</f>
        <v/>
      </c>
      <c r="AC180" s="57">
        <f>IFERROR(SUM($E$179:AC179)/SUM($E$3:AC3),"")</f>
        <v/>
      </c>
      <c r="AD180" s="57">
        <f>IFERROR(SUM($E$179:AD179)/SUM($E$3:AD3),"")</f>
        <v/>
      </c>
      <c r="AE180" s="57">
        <f>IFERROR(SUM($E$179:AE179)/SUM($E$3:AE3),"")</f>
        <v/>
      </c>
      <c r="AF180" s="57" t="n"/>
      <c r="AG180" s="57" t="n"/>
      <c r="AH180" s="57" t="n"/>
      <c r="AI180" s="57" t="n"/>
      <c r="AJ180" s="57" t="n"/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AU180" s="57" t="n"/>
      <c r="AV180" s="57" t="n"/>
      <c r="AW180" s="57" t="n"/>
      <c r="AX180" s="57" t="n"/>
      <c r="AY180" s="57" t="n"/>
      <c r="AZ180" s="57" t="n"/>
      <c r="BA180" s="57" t="n"/>
      <c r="BB180" s="57" t="n"/>
      <c r="BC180" s="57" t="n"/>
      <c r="BD180" s="57" t="n"/>
      <c r="BE180" s="57" t="n"/>
    </row>
    <row r="181" ht="15.75" customFormat="1" customHeight="1" s="7">
      <c r="B181" s="7" t="inlineStr">
        <is>
          <t>% of Target</t>
        </is>
      </c>
      <c r="D181" s="8" t="inlineStr">
        <is>
          <t>%</t>
        </is>
      </c>
      <c r="E181" s="54">
        <f>IFERROR(E179/E183,"")</f>
        <v/>
      </c>
      <c r="F181" s="54">
        <f>IFERROR(F179/F183,"")</f>
        <v/>
      </c>
      <c r="G181" s="54">
        <f>IFERROR(G179/G183,"")</f>
        <v/>
      </c>
      <c r="H181" s="54">
        <f>IFERROR(H179/H183,"")</f>
        <v/>
      </c>
      <c r="I181" s="54">
        <f>IFERROR(I179/I183,"")</f>
        <v/>
      </c>
      <c r="J181" s="54">
        <f>IFERROR(J179/J183,"")</f>
        <v/>
      </c>
      <c r="K181" s="54">
        <f>IFERROR(K179/K183,"")</f>
        <v/>
      </c>
      <c r="L181" s="54">
        <f>IFERROR(L179/L183,"")</f>
        <v/>
      </c>
      <c r="M181" s="54">
        <f>IFERROR(M179/M183,"")</f>
        <v/>
      </c>
      <c r="N181" s="54">
        <f>IFERROR(N179/N183,"")</f>
        <v/>
      </c>
      <c r="O181" s="54">
        <f>IFERROR(O179/O183,"")</f>
        <v/>
      </c>
      <c r="P181" s="54">
        <f>IFERROR(P179/P183,"")</f>
        <v/>
      </c>
      <c r="Q181" s="54">
        <f>IFERROR(Q179/Q183,"")</f>
        <v/>
      </c>
      <c r="R181" s="54">
        <f>IFERROR(R179/R183,"")</f>
        <v/>
      </c>
      <c r="S181" s="54">
        <f>IFERROR(S179/S183,"")</f>
        <v/>
      </c>
      <c r="T181" s="54">
        <f>IFERROR(T179/T183,"")</f>
        <v/>
      </c>
      <c r="U181" s="54">
        <f>IFERROR(U179/U183,"")</f>
        <v/>
      </c>
      <c r="V181" s="54">
        <f>IFERROR(V179/V183,"")</f>
        <v/>
      </c>
      <c r="W181" s="54">
        <f>IFERROR(W179/W183,"")</f>
        <v/>
      </c>
      <c r="X181" s="54">
        <f>IFERROR(X179/X183,"")</f>
        <v/>
      </c>
      <c r="Y181" s="54">
        <f>IFERROR(Y179/Y183,"")</f>
        <v/>
      </c>
      <c r="Z181" s="54">
        <f>IFERROR(Z179/Z183,"")</f>
        <v/>
      </c>
      <c r="AA181" s="54">
        <f>IFERROR(AA179/AA183,"")</f>
        <v/>
      </c>
      <c r="AB181" s="54">
        <f>IFERROR(AB179/AB183,"")</f>
        <v/>
      </c>
      <c r="AC181" s="54">
        <f>IFERROR(AC179/AC183,"")</f>
        <v/>
      </c>
      <c r="AD181" s="54">
        <f>IFERROR(AD179/AD183,"")</f>
        <v/>
      </c>
      <c r="AE181" s="54">
        <f>IFERROR(AE179/AE183,"")</f>
        <v/>
      </c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</row>
    <row r="182" ht="15.75" customFormat="1" customHeight="1" s="7">
      <c r="B182" s="7" t="inlineStr">
        <is>
          <t>% of Target - YTD</t>
        </is>
      </c>
      <c r="C182" s="15" t="n"/>
      <c r="D182" s="16" t="inlineStr">
        <is>
          <t>%</t>
        </is>
      </c>
      <c r="E182" s="54">
        <f>IFERROR(SUM($E$179:E179)/SUM($E$183:E183),"")</f>
        <v/>
      </c>
      <c r="F182" s="54">
        <f>IFERROR(SUM($E$179:F179)/SUM($E$183:F183),"")</f>
        <v/>
      </c>
      <c r="G182" s="54">
        <f>IFERROR(SUM($E$179:G179)/SUM($E$183:G183),"")</f>
        <v/>
      </c>
      <c r="H182" s="54">
        <f>IFERROR(SUM($E$179:H179)/SUM($E$183:H183),"")</f>
        <v/>
      </c>
      <c r="I182" s="54">
        <f>IFERROR(SUM($E$179:I179)/SUM($E$183:I183),"")</f>
        <v/>
      </c>
      <c r="J182" s="54">
        <f>IFERROR(SUM($E$179:J179)/SUM($E$183:J183),"")</f>
        <v/>
      </c>
      <c r="K182" s="54">
        <f>IFERROR(SUM($E$179:K179)/SUM($E$183:K183),"")</f>
        <v/>
      </c>
      <c r="L182" s="54">
        <f>IFERROR(SUM($E$179:L179)/SUM($E$183:L183),"")</f>
        <v/>
      </c>
      <c r="M182" s="54">
        <f>IFERROR(SUM($E$179:M179)/SUM($E$183:M183),"")</f>
        <v/>
      </c>
      <c r="N182" s="54">
        <f>IFERROR(SUM($E$179:N179)/SUM($E$183:N183),"")</f>
        <v/>
      </c>
      <c r="O182" s="54">
        <f>IFERROR(SUM($E$179:O179)/SUM($E$183:O183),"")</f>
        <v/>
      </c>
      <c r="P182" s="54">
        <f>IFERROR(SUM($E$179:P179)/SUM($E$183:P183),"")</f>
        <v/>
      </c>
      <c r="Q182" s="54">
        <f>IFERROR(SUM($E$179:Q179)/SUM($E$183:Q183),"")</f>
        <v/>
      </c>
      <c r="R182" s="54">
        <f>IFERROR(SUM($E$179:R179)/SUM($E$183:R183),"")</f>
        <v/>
      </c>
      <c r="S182" s="54">
        <f>IFERROR(SUM($E$179:S179)/SUM($E$183:S183),"")</f>
        <v/>
      </c>
      <c r="T182" s="54">
        <f>IFERROR(SUM($E$179:T179)/SUM($E$183:T183),"")</f>
        <v/>
      </c>
      <c r="U182" s="54">
        <f>IFERROR(SUM($E$179:U179)/SUM($E$183:U183),"")</f>
        <v/>
      </c>
      <c r="V182" s="54">
        <f>IFERROR(SUM($E$179:V179)/SUM($E$183:V183),"")</f>
        <v/>
      </c>
      <c r="W182" s="54">
        <f>IFERROR(SUM($E$179:W179)/SUM($E$183:W183),"")</f>
        <v/>
      </c>
      <c r="X182" s="54">
        <f>IFERROR(SUM($E$179:X179)/SUM($E$183:X183),"")</f>
        <v/>
      </c>
      <c r="Y182" s="54">
        <f>IFERROR(SUM($E$179:Y179)/SUM($E$183:Y183),"")</f>
        <v/>
      </c>
      <c r="Z182" s="54">
        <f>IFERROR(SUM($E$179:Z179)/SUM($E$183:Z183),"")</f>
        <v/>
      </c>
      <c r="AA182" s="54">
        <f>IFERROR(SUM($E$179:AA179)/SUM($E$183:AA183),"")</f>
        <v/>
      </c>
      <c r="AB182" s="54">
        <f>IFERROR(SUM($E$179:AB179)/SUM($E$183:AB183),"")</f>
        <v/>
      </c>
      <c r="AC182" s="54">
        <f>IFERROR(SUM($E$179:AC179)/SUM($E$183:AC183),"")</f>
        <v/>
      </c>
      <c r="AD182" s="54">
        <f>IFERROR(SUM($E$179:AD179)/SUM($E$183:AD183),"")</f>
        <v/>
      </c>
      <c r="AE182" s="54">
        <f>IFERROR(SUM($E$179:AE179)/SUM($E$183:AE183),"")</f>
        <v/>
      </c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</row>
    <row r="183" ht="15.75" customFormat="1" customHeight="1" s="9">
      <c r="A183" s="50">
        <f>SUM(E183:BE183)</f>
        <v/>
      </c>
      <c r="B183" s="9" t="inlineStr">
        <is>
          <t>Target</t>
        </is>
      </c>
      <c r="D183" s="10" t="inlineStr">
        <is>
          <t>$k</t>
        </is>
      </c>
      <c r="E183" s="55" t="n">
        <v>121.107370688</v>
      </c>
      <c r="F183" s="55" t="n">
        <v>211.937898704</v>
      </c>
      <c r="G183" s="55" t="n">
        <v>211.937898704</v>
      </c>
      <c r="H183" s="55" t="n">
        <v>211.937898704</v>
      </c>
      <c r="I183" s="55" t="n">
        <v>207.298172362</v>
      </c>
      <c r="J183" s="55" t="n">
        <v>179.46125</v>
      </c>
      <c r="K183" s="55" t="n">
        <v>179.46125</v>
      </c>
      <c r="L183" s="55" t="n">
        <v>179.46125</v>
      </c>
      <c r="M183" s="55" t="n">
        <v>179.133470148</v>
      </c>
      <c r="N183" s="55" t="n">
        <v>177.165355346</v>
      </c>
      <c r="O183" s="55" t="n">
        <v>177.165355346</v>
      </c>
      <c r="P183" s="55" t="n">
        <v>177.165355346</v>
      </c>
      <c r="Q183" s="55" t="n">
        <v>177.165355346</v>
      </c>
      <c r="R183" s="55" t="n">
        <v>156.164717381</v>
      </c>
      <c r="S183" s="55" t="n">
        <v>147.763955575</v>
      </c>
      <c r="T183" s="55" t="n">
        <v>147.763955575</v>
      </c>
      <c r="U183" s="55" t="n">
        <v>147.763955575</v>
      </c>
      <c r="V183" s="55" t="n">
        <v>168.270997583</v>
      </c>
      <c r="W183" s="55" t="n">
        <v>195.613931352</v>
      </c>
      <c r="X183" s="55" t="n">
        <v>195.613931352</v>
      </c>
      <c r="Y183" s="55" t="n">
        <v>195.613931352</v>
      </c>
      <c r="Z183" s="55" t="n">
        <v>195.613931352</v>
      </c>
      <c r="AA183" s="55" t="n">
        <v>187.862231625</v>
      </c>
      <c r="AB183" s="55" t="n">
        <v>187.862231625</v>
      </c>
      <c r="AC183" s="55" t="n">
        <v>187.862231625</v>
      </c>
      <c r="AD183" s="55" t="n">
        <v>187.862231625</v>
      </c>
      <c r="AE183" s="55" t="n">
        <v>171.295355715</v>
      </c>
      <c r="AF183" s="55" t="n">
        <v>164.668122276</v>
      </c>
      <c r="AG183" s="55" t="n">
        <v>164.668122276</v>
      </c>
      <c r="AH183" s="55" t="n">
        <v>164.668122276</v>
      </c>
      <c r="AI183" s="55" t="n">
        <v>162.60806188</v>
      </c>
      <c r="AJ183" s="55" t="n">
        <v>157.45791089</v>
      </c>
      <c r="AK183" s="55" t="n">
        <v>157.45791089</v>
      </c>
      <c r="AL183" s="55" t="n">
        <v>157.45791089</v>
      </c>
      <c r="AM183" s="55" t="n">
        <v>157.45791089</v>
      </c>
      <c r="AN183" s="55" t="n">
        <v>211.39698727</v>
      </c>
      <c r="AO183" s="55" t="n">
        <v>220.386518495</v>
      </c>
      <c r="AP183" s="55" t="n">
        <v>220.386518495</v>
      </c>
      <c r="AQ183" s="55" t="n">
        <v>220.386518495</v>
      </c>
      <c r="AR183" s="55" t="n">
        <v>247.107065656</v>
      </c>
      <c r="AS183" s="55" t="n">
        <v>267.147239898</v>
      </c>
      <c r="AT183" s="55" t="n">
        <v>267.147239898</v>
      </c>
      <c r="AU183" s="55" t="n">
        <v>267.147239898</v>
      </c>
      <c r="AV183" s="55" t="n">
        <v>274.088830758</v>
      </c>
      <c r="AW183" s="55" t="n">
        <v>315.741082274</v>
      </c>
      <c r="AX183" s="55" t="n">
        <v>315.741082274</v>
      </c>
      <c r="AY183" s="55" t="n">
        <v>315.741082274</v>
      </c>
      <c r="AZ183" s="55" t="n">
        <v>315.741082274</v>
      </c>
      <c r="BA183" s="55" t="n">
        <v>253.596162066</v>
      </c>
      <c r="BB183" s="55" t="n">
        <v>243.239126424</v>
      </c>
      <c r="BC183" s="55" t="n">
        <v>243.239126424</v>
      </c>
      <c r="BD183" s="55" t="n">
        <v>243.239126424</v>
      </c>
      <c r="BE183" s="55" t="n">
        <v>138.993786528</v>
      </c>
    </row>
    <row r="184" ht="15.75" customHeight="1"/>
    <row r="185" ht="15.75" customHeight="1">
      <c r="A185" s="1" t="inlineStr">
        <is>
          <t xml:space="preserve">Sell-through units </t>
        </is>
      </c>
      <c r="D185" s="23" t="inlineStr">
        <is>
          <t>#</t>
        </is>
      </c>
      <c r="E185" s="53" t="n">
        <v>5901</v>
      </c>
      <c r="F185" s="53" t="n">
        <v>4405</v>
      </c>
      <c r="G185" s="53" t="n">
        <v>4553</v>
      </c>
      <c r="H185" s="53" t="n">
        <v>4473</v>
      </c>
      <c r="I185" s="53" t="n">
        <v>4702</v>
      </c>
      <c r="J185" s="53" t="n">
        <v>3447</v>
      </c>
      <c r="K185" s="53" t="n">
        <v>3964</v>
      </c>
      <c r="L185" s="53" t="n">
        <v>6882</v>
      </c>
      <c r="M185" s="53" t="n">
        <v>8157</v>
      </c>
      <c r="N185" s="53" t="n">
        <v>4407</v>
      </c>
      <c r="O185" s="53" t="n">
        <v>3800</v>
      </c>
      <c r="P185" s="53" t="n">
        <v>5747</v>
      </c>
      <c r="Q185" s="53" t="n">
        <v>6181</v>
      </c>
      <c r="R185" s="53" t="n">
        <v>4242</v>
      </c>
      <c r="S185" s="53" t="n">
        <v>3153</v>
      </c>
      <c r="T185" s="53" t="n">
        <v>4865</v>
      </c>
      <c r="U185" s="53" t="n">
        <v>4766</v>
      </c>
      <c r="V185" s="53" t="n">
        <v>5137</v>
      </c>
      <c r="W185" s="53" t="n">
        <v>2266</v>
      </c>
      <c r="X185" s="53" t="n">
        <v>2478</v>
      </c>
      <c r="Y185" s="53" t="n">
        <v>3813</v>
      </c>
      <c r="Z185" s="53" t="n">
        <v>4883</v>
      </c>
      <c r="AA185" s="53" t="n">
        <v>2754</v>
      </c>
      <c r="AB185" s="53" t="n">
        <v>2153</v>
      </c>
      <c r="AC185" s="53" t="n">
        <v>2391</v>
      </c>
      <c r="AD185" s="53" t="n">
        <v>2574</v>
      </c>
      <c r="AE185" s="53" t="n">
        <v>1500</v>
      </c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</row>
    <row r="186" ht="15.75" customFormat="1" customHeight="1" s="4">
      <c r="A186" s="3" t="n"/>
      <c r="B186" s="4" t="inlineStr">
        <is>
          <t>% of Total - YTD</t>
        </is>
      </c>
      <c r="D186" s="32" t="inlineStr">
        <is>
          <t>%</t>
        </is>
      </c>
      <c r="E186" s="57">
        <f>IFERROR(SUM($E$185:E185)/SUM($E$4:E4),"")</f>
        <v/>
      </c>
      <c r="F186" s="57">
        <f>IFERROR(SUM($E$185:F185)/SUM($E$4:F4),"")</f>
        <v/>
      </c>
      <c r="G186" s="57">
        <f>IFERROR(SUM($E$185:G185)/SUM($E$4:G4),"")</f>
        <v/>
      </c>
      <c r="H186" s="57">
        <f>IFERROR(SUM($E$185:H185)/SUM($E$4:H4),"")</f>
        <v/>
      </c>
      <c r="I186" s="57">
        <f>IFERROR(SUM($E$185:I185)/SUM($E$4:I4),"")</f>
        <v/>
      </c>
      <c r="J186" s="57">
        <f>IFERROR(SUM($E$185:J185)/SUM($E$4:J4),"")</f>
        <v/>
      </c>
      <c r="K186" s="57">
        <f>IFERROR(SUM($E$185:K185)/SUM($E$4:K4),"")</f>
        <v/>
      </c>
      <c r="L186" s="57">
        <f>IFERROR(SUM($E$185:L185)/SUM($E$4:L4),"")</f>
        <v/>
      </c>
      <c r="M186" s="57">
        <f>IFERROR(SUM($E$185:M185)/SUM($E$4:M4),"")</f>
        <v/>
      </c>
      <c r="N186" s="57">
        <f>IFERROR(SUM($E$185:N185)/SUM($E$4:N4),"")</f>
        <v/>
      </c>
      <c r="O186" s="57">
        <f>IFERROR(SUM($E$185:O185)/SUM($E$4:O4),"")</f>
        <v/>
      </c>
      <c r="P186" s="57">
        <f>IFERROR(SUM($E$185:P185)/SUM($E$4:P4),"")</f>
        <v/>
      </c>
      <c r="Q186" s="57">
        <f>IFERROR(SUM($E$185:Q185)/SUM($E$4:Q4),"")</f>
        <v/>
      </c>
      <c r="R186" s="57">
        <f>IFERROR(SUM($E$185:R185)/SUM($E$4:R4),"")</f>
        <v/>
      </c>
      <c r="S186" s="57">
        <f>IFERROR(SUM($E$185:S185)/SUM($E$4:S4),"")</f>
        <v/>
      </c>
      <c r="T186" s="57">
        <f>IFERROR(SUM($E$185:T185)/SUM($E$4:T4),"")</f>
        <v/>
      </c>
      <c r="U186" s="57">
        <f>IFERROR(SUM($E$185:U185)/SUM($E$4:U4),"")</f>
        <v/>
      </c>
      <c r="V186" s="57">
        <f>IFERROR(SUM($E$185:V185)/SUM($E$4:V4),"")</f>
        <v/>
      </c>
      <c r="W186" s="57">
        <f>IFERROR(SUM($E$185:W185)/SUM($E$4:W4),"")</f>
        <v/>
      </c>
      <c r="X186" s="57">
        <f>IFERROR(SUM($E$185:X185)/SUM($E$4:X4),"")</f>
        <v/>
      </c>
      <c r="Y186" s="57">
        <f>IFERROR(SUM($E$185:Y185)/SUM($E$4:Y4),"")</f>
        <v/>
      </c>
      <c r="Z186" s="57">
        <f>IFERROR(SUM($E$185:Z185)/SUM($E$4:Z4),"")</f>
        <v/>
      </c>
      <c r="AA186" s="57">
        <f>IFERROR(SUM($E$185:AA185)/SUM($E$4:AA4),"")</f>
        <v/>
      </c>
      <c r="AB186" s="57">
        <f>IFERROR(SUM($E$185:AB185)/SUM($E$4:AB4),"")</f>
        <v/>
      </c>
      <c r="AC186" s="57">
        <f>IFERROR(SUM($E$185:AC185)/SUM($E$4:AC4),"")</f>
        <v/>
      </c>
      <c r="AD186" s="57">
        <f>IFERROR(SUM($E$185:AD185)/SUM($E$4:AD4),"")</f>
        <v/>
      </c>
      <c r="AE186" s="57">
        <f>IFERROR(SUM($E$185:AE185)/SUM($E$4:AE4),"")</f>
        <v/>
      </c>
      <c r="AF186" s="57" t="n"/>
      <c r="AG186" s="57" t="n"/>
      <c r="AH186" s="57" t="n"/>
      <c r="AI186" s="57" t="n"/>
      <c r="AJ186" s="57" t="n"/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AU186" s="57" t="n"/>
      <c r="AV186" s="57" t="n"/>
      <c r="AW186" s="57" t="n"/>
      <c r="AX186" s="57" t="n"/>
      <c r="AY186" s="57" t="n"/>
      <c r="AZ186" s="57" t="n"/>
      <c r="BA186" s="57" t="n"/>
      <c r="BB186" s="57" t="n"/>
      <c r="BC186" s="57" t="n"/>
      <c r="BD186" s="57" t="n"/>
      <c r="BE186" s="57" t="n"/>
    </row>
    <row r="187" ht="15.75" customFormat="1" customHeight="1" s="15">
      <c r="A187" s="14" t="n"/>
      <c r="B187" s="15" t="inlineStr">
        <is>
          <t>% of Target</t>
        </is>
      </c>
      <c r="D187" s="16" t="inlineStr">
        <is>
          <t>%</t>
        </is>
      </c>
      <c r="E187" s="54">
        <f>IFERROR(E185/E189,"")</f>
        <v/>
      </c>
      <c r="F187" s="54">
        <f>IFERROR(F185/F189,"")</f>
        <v/>
      </c>
      <c r="G187" s="54">
        <f>IFERROR(G185/G189,"")</f>
        <v/>
      </c>
      <c r="H187" s="54">
        <f>IFERROR(H185/H189,"")</f>
        <v/>
      </c>
      <c r="I187" s="54">
        <f>IFERROR(I185/I189,"")</f>
        <v/>
      </c>
      <c r="J187" s="54">
        <f>IFERROR(J185/J189,"")</f>
        <v/>
      </c>
      <c r="K187" s="54">
        <f>IFERROR(K185/K189,"")</f>
        <v/>
      </c>
      <c r="L187" s="54">
        <f>IFERROR(L185/L189,"")</f>
        <v/>
      </c>
      <c r="M187" s="54">
        <f>IFERROR(M185/M189,"")</f>
        <v/>
      </c>
      <c r="N187" s="54">
        <f>IFERROR(N185/N189,"")</f>
        <v/>
      </c>
      <c r="O187" s="54">
        <f>IFERROR(O185/O189,"")</f>
        <v/>
      </c>
      <c r="P187" s="54">
        <f>IFERROR(P185/P189,"")</f>
        <v/>
      </c>
      <c r="Q187" s="54">
        <f>IFERROR(Q185/Q189,"")</f>
        <v/>
      </c>
      <c r="R187" s="54">
        <f>IFERROR(R185/R189,"")</f>
        <v/>
      </c>
      <c r="S187" s="54">
        <f>IFERROR(S185/S189,"")</f>
        <v/>
      </c>
      <c r="T187" s="54">
        <f>IFERROR(T185/T189,"")</f>
        <v/>
      </c>
      <c r="U187" s="54">
        <f>IFERROR(U185/U189,"")</f>
        <v/>
      </c>
      <c r="V187" s="54">
        <f>IFERROR(V185/V189,"")</f>
        <v/>
      </c>
      <c r="W187" s="54">
        <f>IFERROR(W185/W189,"")</f>
        <v/>
      </c>
      <c r="X187" s="54">
        <f>IFERROR(X185/X189,"")</f>
        <v/>
      </c>
      <c r="Y187" s="54">
        <f>IFERROR(Y185/Y189,"")</f>
        <v/>
      </c>
      <c r="Z187" s="54">
        <f>IFERROR(Z185/Z189,"")</f>
        <v/>
      </c>
      <c r="AA187" s="54">
        <f>IFERROR(AA185/AA189,"")</f>
        <v/>
      </c>
      <c r="AB187" s="54">
        <f>IFERROR(AB185/AB189,"")</f>
        <v/>
      </c>
      <c r="AC187" s="54">
        <f>IFERROR(AC185/AC189,"")</f>
        <v/>
      </c>
      <c r="AD187" s="54">
        <f>IFERROR(AD185/AD189,"")</f>
        <v/>
      </c>
      <c r="AE187" s="54">
        <f>IFERROR(AE185/AE189,"")</f>
        <v/>
      </c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</row>
    <row r="188" ht="15.75" customFormat="1" customHeight="1" s="15">
      <c r="A188" s="14" t="n"/>
      <c r="B188" s="7" t="inlineStr">
        <is>
          <t>% of Target - YTD</t>
        </is>
      </c>
      <c r="D188" s="16" t="inlineStr">
        <is>
          <t>%</t>
        </is>
      </c>
      <c r="E188" s="54">
        <f>IFERROR(SUM($E$185:E185)/SUM($E$189:E189),"")</f>
        <v/>
      </c>
      <c r="F188" s="54">
        <f>IFERROR(SUM($E$185:F185)/SUM($E$189:F189),"")</f>
        <v/>
      </c>
      <c r="G188" s="54">
        <f>IFERROR(SUM($E$185:G185)/SUM($E$189:G189),"")</f>
        <v/>
      </c>
      <c r="H188" s="54">
        <f>IFERROR(SUM($E$185:H185)/SUM($E$189:H189),"")</f>
        <v/>
      </c>
      <c r="I188" s="54">
        <f>IFERROR(SUM($E$185:I185)/SUM($E$189:I189),"")</f>
        <v/>
      </c>
      <c r="J188" s="54">
        <f>IFERROR(SUM($E$185:J185)/SUM($E$189:J189),"")</f>
        <v/>
      </c>
      <c r="K188" s="54">
        <f>IFERROR(SUM($E$185:K185)/SUM($E$189:K189),"")</f>
        <v/>
      </c>
      <c r="L188" s="54">
        <f>IFERROR(SUM($E$185:L185)/SUM($E$189:L189),"")</f>
        <v/>
      </c>
      <c r="M188" s="54">
        <f>IFERROR(SUM($E$185:M185)/SUM($E$189:M189),"")</f>
        <v/>
      </c>
      <c r="N188" s="54">
        <f>IFERROR(SUM($E$185:N185)/SUM($E$189:N189),"")</f>
        <v/>
      </c>
      <c r="O188" s="54">
        <f>IFERROR(SUM($E$185:O185)/SUM($E$189:O189),"")</f>
        <v/>
      </c>
      <c r="P188" s="54">
        <f>IFERROR(SUM($E$185:P185)/SUM($E$189:P189),"")</f>
        <v/>
      </c>
      <c r="Q188" s="54">
        <f>IFERROR(SUM($E$185:Q185)/SUM($E$189:Q189),"")</f>
        <v/>
      </c>
      <c r="R188" s="54">
        <f>IFERROR(SUM($E$185:R185)/SUM($E$189:R189),"")</f>
        <v/>
      </c>
      <c r="S188" s="54">
        <f>IFERROR(SUM($E$185:S185)/SUM($E$189:S189),"")</f>
        <v/>
      </c>
      <c r="T188" s="54">
        <f>IFERROR(SUM($E$185:T185)/SUM($E$189:T189),"")</f>
        <v/>
      </c>
      <c r="U188" s="54">
        <f>IFERROR(SUM($E$185:U185)/SUM($E$189:U189),"")</f>
        <v/>
      </c>
      <c r="V188" s="54">
        <f>IFERROR(SUM($E$185:V185)/SUM($E$189:V189),"")</f>
        <v/>
      </c>
      <c r="W188" s="54">
        <f>IFERROR(SUM($E$185:W185)/SUM($E$189:W189),"")</f>
        <v/>
      </c>
      <c r="X188" s="54">
        <f>IFERROR(SUM($E$185:X185)/SUM($E$189:X189),"")</f>
        <v/>
      </c>
      <c r="Y188" s="54">
        <f>IFERROR(SUM($E$185:Y185)/SUM($E$189:Y189),"")</f>
        <v/>
      </c>
      <c r="Z188" s="54">
        <f>IFERROR(SUM($E$185:Z185)/SUM($E$189:Z189),"")</f>
        <v/>
      </c>
      <c r="AA188" s="54">
        <f>IFERROR(SUM($E$185:AA185)/SUM($E$189:AA189),"")</f>
        <v/>
      </c>
      <c r="AB188" s="54">
        <f>IFERROR(SUM($E$185:AB185)/SUM($E$189:AB189),"")</f>
        <v/>
      </c>
      <c r="AC188" s="54">
        <f>IFERROR(SUM($E$185:AC185)/SUM($E$189:AC189),"")</f>
        <v/>
      </c>
      <c r="AD188" s="54">
        <f>IFERROR(SUM($E$185:AD185)/SUM($E$189:AD189),"")</f>
        <v/>
      </c>
      <c r="AE188" s="54">
        <f>IFERROR(SUM($E$185:AE185)/SUM($E$189:AE189),"")</f>
        <v/>
      </c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</row>
    <row r="189" ht="15.75" customFormat="1" customHeight="1" s="12">
      <c r="A189" s="50">
        <f>SUM(E189:BE189)</f>
        <v/>
      </c>
      <c r="B189" s="12" t="inlineStr">
        <is>
          <t>Target</t>
        </is>
      </c>
      <c r="D189" s="13" t="inlineStr">
        <is>
          <t>#</t>
        </is>
      </c>
      <c r="E189" s="55" t="n">
        <v>5901</v>
      </c>
      <c r="F189" s="55" t="n">
        <v>6299</v>
      </c>
      <c r="G189" s="55" t="n">
        <v>3542</v>
      </c>
      <c r="H189" s="55" t="n">
        <v>3136</v>
      </c>
      <c r="I189" s="55" t="n">
        <v>2995</v>
      </c>
      <c r="J189" s="55" t="n">
        <v>3429</v>
      </c>
      <c r="K189" s="55" t="n">
        <v>3278</v>
      </c>
      <c r="L189" s="55" t="n">
        <v>3175</v>
      </c>
      <c r="M189" s="55" t="n">
        <v>3265</v>
      </c>
      <c r="N189" s="55" t="n">
        <v>2659</v>
      </c>
      <c r="O189" s="55" t="n">
        <v>2692</v>
      </c>
      <c r="P189" s="55" t="n">
        <v>2582</v>
      </c>
      <c r="Q189" s="55" t="n">
        <v>6251</v>
      </c>
      <c r="R189" s="55" t="n">
        <v>2516</v>
      </c>
      <c r="S189" s="55" t="n">
        <v>3264</v>
      </c>
      <c r="T189" s="55" t="n">
        <v>2846</v>
      </c>
      <c r="U189" s="55" t="n">
        <v>2850</v>
      </c>
      <c r="V189" s="55" t="n">
        <v>2780</v>
      </c>
      <c r="W189" s="55" t="n">
        <v>1866</v>
      </c>
      <c r="X189" s="55" t="n">
        <v>5691</v>
      </c>
      <c r="Y189" s="55" t="n">
        <v>5701</v>
      </c>
      <c r="Z189" s="55" t="n">
        <v>2372</v>
      </c>
      <c r="AA189" s="55" t="n">
        <v>2364</v>
      </c>
      <c r="AB189" s="55" t="n">
        <v>2343</v>
      </c>
      <c r="AC189" s="55" t="n">
        <v>6121</v>
      </c>
      <c r="AD189" s="55" t="n">
        <v>2361</v>
      </c>
      <c r="AE189" s="55" t="n">
        <v>6711</v>
      </c>
      <c r="AF189" s="55" t="n">
        <v>2805</v>
      </c>
      <c r="AG189" s="55" t="n">
        <v>2779</v>
      </c>
      <c r="AH189" s="55" t="n">
        <v>2621</v>
      </c>
      <c r="AI189" s="55" t="n">
        <v>2698</v>
      </c>
      <c r="AJ189" s="55" t="n">
        <v>2889</v>
      </c>
      <c r="AK189" s="55" t="n">
        <v>2802</v>
      </c>
      <c r="AL189" s="55" t="n">
        <v>2783</v>
      </c>
      <c r="AM189" s="55" t="n">
        <v>2847</v>
      </c>
      <c r="AN189" s="55" t="n">
        <v>6939</v>
      </c>
      <c r="AO189" s="55" t="n">
        <v>3799</v>
      </c>
      <c r="AP189" s="55" t="n">
        <v>3369</v>
      </c>
      <c r="AQ189" s="55" t="n">
        <v>3437</v>
      </c>
      <c r="AR189" s="55" t="n">
        <v>3222</v>
      </c>
      <c r="AS189" s="55" t="n">
        <v>6855</v>
      </c>
      <c r="AT189" s="55" t="n">
        <v>3644</v>
      </c>
      <c r="AU189" s="55" t="n">
        <v>6977</v>
      </c>
      <c r="AV189" s="55" t="n">
        <v>2930</v>
      </c>
      <c r="AW189" s="55" t="n">
        <v>2528</v>
      </c>
      <c r="AX189" s="55" t="n">
        <v>2653</v>
      </c>
      <c r="AY189" s="55" t="n">
        <v>2721</v>
      </c>
      <c r="AZ189" s="55" t="n">
        <v>14050</v>
      </c>
      <c r="BA189" s="55" t="n">
        <v>10595</v>
      </c>
      <c r="BB189" s="55" t="n">
        <v>4137</v>
      </c>
      <c r="BC189" s="55" t="n">
        <v>3559</v>
      </c>
      <c r="BD189" s="55" t="n">
        <v>4866</v>
      </c>
      <c r="BE189" s="55" t="n"/>
    </row>
    <row r="190" ht="15.75" customHeight="1">
      <c r="B190" t="inlineStr">
        <is>
          <t>Actual  breakdown</t>
        </is>
      </c>
      <c r="C190" s="11" t="inlineStr">
        <is>
          <t xml:space="preserve">Cam </t>
        </is>
      </c>
      <c r="D190" s="6" t="inlineStr">
        <is>
          <t>#</t>
        </is>
      </c>
      <c r="E190" s="52" t="n">
        <v>2914</v>
      </c>
      <c r="F190" s="52" t="n">
        <v>2338</v>
      </c>
      <c r="G190" s="52" t="n">
        <v>2777</v>
      </c>
      <c r="H190" s="52" t="n">
        <v>2627</v>
      </c>
      <c r="I190" s="52" t="n">
        <v>2722</v>
      </c>
      <c r="J190" s="52" t="n">
        <v>1940</v>
      </c>
      <c r="K190" s="52" t="n">
        <v>2448</v>
      </c>
      <c r="L190" s="52" t="n">
        <v>4336</v>
      </c>
      <c r="M190" s="52" t="n">
        <v>5136</v>
      </c>
      <c r="N190" s="52" t="n">
        <v>2395</v>
      </c>
      <c r="O190" s="52" t="n">
        <v>2079</v>
      </c>
      <c r="P190" s="52" t="n">
        <v>3265</v>
      </c>
      <c r="Q190" s="52" t="n">
        <v>3463</v>
      </c>
      <c r="R190" s="52" t="n">
        <v>2135</v>
      </c>
      <c r="S190" s="52" t="n">
        <v>1398</v>
      </c>
      <c r="T190" s="52" t="n">
        <v>3130</v>
      </c>
      <c r="U190" s="52" t="n">
        <v>2591</v>
      </c>
      <c r="V190" s="52" t="n">
        <v>2255</v>
      </c>
      <c r="W190" s="52" t="n">
        <v>1183</v>
      </c>
      <c r="X190" s="52" t="n">
        <v>1244</v>
      </c>
      <c r="Y190" s="52" t="n">
        <v>1931</v>
      </c>
      <c r="Z190" s="52" t="n">
        <v>2519</v>
      </c>
      <c r="AA190" s="52" t="n">
        <v>1235</v>
      </c>
      <c r="AB190" s="52" t="n">
        <v>1040</v>
      </c>
      <c r="AC190" s="52" t="n">
        <v>1391</v>
      </c>
      <c r="AD190" s="52" t="n">
        <v>1515</v>
      </c>
      <c r="AE190" s="52" t="n">
        <v>928</v>
      </c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</row>
    <row r="191" ht="15.75" customHeight="1">
      <c r="C191" s="11" t="inlineStr">
        <is>
          <t>Non Cam</t>
        </is>
      </c>
      <c r="D191" s="6" t="inlineStr">
        <is>
          <t>#</t>
        </is>
      </c>
      <c r="E191" s="52" t="n">
        <v>2987</v>
      </c>
      <c r="F191" s="52" t="n">
        <v>2067</v>
      </c>
      <c r="G191" s="52" t="n">
        <v>1776</v>
      </c>
      <c r="H191" s="52" t="n">
        <v>1846</v>
      </c>
      <c r="I191" s="52" t="n">
        <v>1980</v>
      </c>
      <c r="J191" s="52" t="n">
        <v>1507</v>
      </c>
      <c r="K191" s="52" t="n">
        <v>1516</v>
      </c>
      <c r="L191" s="52" t="n">
        <v>2546</v>
      </c>
      <c r="M191" s="52" t="n">
        <v>3021</v>
      </c>
      <c r="N191" s="52" t="n">
        <v>2012</v>
      </c>
      <c r="O191" s="52" t="n">
        <v>1721</v>
      </c>
      <c r="P191" s="52" t="n">
        <v>2482</v>
      </c>
      <c r="Q191" s="52" t="n">
        <v>2718</v>
      </c>
      <c r="R191" s="52" t="n">
        <v>2107</v>
      </c>
      <c r="S191" s="52" t="n">
        <v>1755</v>
      </c>
      <c r="T191" s="52" t="n">
        <v>1735</v>
      </c>
      <c r="U191" s="52" t="n">
        <v>2175</v>
      </c>
      <c r="V191" s="52" t="n">
        <v>2882</v>
      </c>
      <c r="W191" s="52" t="n">
        <v>1083</v>
      </c>
      <c r="X191" s="52" t="n">
        <v>1234</v>
      </c>
      <c r="Y191" s="52" t="n">
        <v>1882</v>
      </c>
      <c r="Z191" s="52" t="n">
        <v>2364</v>
      </c>
      <c r="AA191" s="52" t="n">
        <v>1519</v>
      </c>
      <c r="AB191" s="52" t="n">
        <v>1113</v>
      </c>
      <c r="AC191" s="52" t="n">
        <v>1000</v>
      </c>
      <c r="AD191" s="52" t="n">
        <v>1059</v>
      </c>
      <c r="AE191" s="52" t="n">
        <v>572</v>
      </c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</row>
    <row r="192" ht="15.75" customHeight="1">
      <c r="C192" s="6" t="n"/>
    </row>
    <row r="193" ht="15.75" customFormat="1" customHeight="1" s="1">
      <c r="A193" s="1" t="inlineStr">
        <is>
          <t xml:space="preserve">Promo </t>
        </is>
      </c>
      <c r="B193" s="1" t="inlineStr">
        <is>
          <t>Real-time tracking</t>
        </is>
      </c>
      <c r="D193" s="23" t="inlineStr">
        <is>
          <t>$k</t>
        </is>
      </c>
      <c r="E193" s="53" t="n">
        <v>44.67041</v>
      </c>
      <c r="F193" s="53" t="n">
        <v>22.18212</v>
      </c>
      <c r="G193" s="53" t="n">
        <v>29.00855</v>
      </c>
      <c r="H193" s="53" t="n">
        <v>29.42086</v>
      </c>
      <c r="I193" s="53" t="n">
        <v>35.08533</v>
      </c>
      <c r="J193" s="53" t="n">
        <v>8.85036</v>
      </c>
      <c r="K193" s="53" t="n">
        <v>17.51459</v>
      </c>
      <c r="L193" s="53" t="n">
        <v>48.73032</v>
      </c>
      <c r="M193" s="53" t="n">
        <v>57.54705000000001</v>
      </c>
      <c r="N193" s="53" t="n">
        <v>16.11398</v>
      </c>
      <c r="O193" s="53" t="n">
        <v>7.36188</v>
      </c>
      <c r="P193" s="53" t="n">
        <v>34.55707</v>
      </c>
      <c r="Q193" s="53" t="n">
        <v>48.75215</v>
      </c>
      <c r="R193" s="53" t="n">
        <v>18.90543</v>
      </c>
      <c r="S193" s="53" t="n">
        <v>4.91811</v>
      </c>
      <c r="T193" s="53" t="n">
        <v>15.30413</v>
      </c>
      <c r="U193" s="53" t="n">
        <v>32.61127</v>
      </c>
      <c r="V193" s="53" t="n">
        <v>42.59935</v>
      </c>
      <c r="W193" s="53" t="n">
        <v>4.751390000000001</v>
      </c>
      <c r="X193" s="53" t="n">
        <v>4.0914</v>
      </c>
      <c r="Y193" s="53" t="n">
        <v>29.69274</v>
      </c>
      <c r="Z193" s="53" t="n">
        <v>39.31711</v>
      </c>
      <c r="AA193" s="53" t="n">
        <v>5.78569</v>
      </c>
      <c r="AB193" s="53" t="n">
        <v>1.12982</v>
      </c>
      <c r="AC193" s="53" t="n">
        <v>16.19983</v>
      </c>
      <c r="AD193" s="53" t="n">
        <v>26.39589</v>
      </c>
      <c r="AE193" s="53" t="n">
        <v>7.10311</v>
      </c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</row>
    <row r="194" ht="15.75" customFormat="1" customHeight="1" s="1">
      <c r="B194" s="48" t="inlineStr">
        <is>
          <t>Finance Actuals (Monthly)</t>
        </is>
      </c>
      <c r="D194" s="31" t="inlineStr">
        <is>
          <t>$k</t>
        </is>
      </c>
      <c r="E194" s="53" t="n"/>
      <c r="F194" s="53" t="n"/>
      <c r="G194" s="53" t="n"/>
      <c r="H194" s="53" t="n">
        <v>131.2552</v>
      </c>
      <c r="I194" s="53" t="n"/>
      <c r="J194" s="53" t="n"/>
      <c r="K194" s="53" t="n"/>
      <c r="L194" s="53" t="n">
        <v>109.74642</v>
      </c>
      <c r="M194" s="53" t="n"/>
      <c r="N194" s="53" t="n"/>
      <c r="O194" s="53" t="n"/>
      <c r="P194" s="53" t="n"/>
      <c r="Q194" s="53" t="n">
        <v>156.62207</v>
      </c>
      <c r="R194" s="53" t="n"/>
      <c r="S194" s="53" t="n"/>
      <c r="T194" s="53" t="n"/>
      <c r="U194" s="53" t="n">
        <v>101.05282</v>
      </c>
      <c r="V194" s="53" t="n"/>
      <c r="W194" s="53" t="n"/>
      <c r="X194" s="53" t="n"/>
      <c r="Y194" s="53" t="n"/>
      <c r="Z194" s="53" t="n">
        <v>112.06002</v>
      </c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</row>
    <row r="195" ht="15.75" customFormat="1" customHeight="1" s="9">
      <c r="A195" s="50">
        <f>SUM(E195:BE195)</f>
        <v/>
      </c>
      <c r="B195" s="9" t="inlineStr">
        <is>
          <t>Budgeted (Monthly)</t>
        </is>
      </c>
      <c r="D195" s="10" t="inlineStr">
        <is>
          <t>$k</t>
        </is>
      </c>
      <c r="E195" s="55" t="n"/>
      <c r="F195" s="55" t="n"/>
      <c r="G195" s="55" t="n"/>
      <c r="H195" s="55" t="n">
        <v>66.67209603489979</v>
      </c>
      <c r="I195" s="55" t="n"/>
      <c r="J195" s="55" t="n"/>
      <c r="K195" s="55" t="n"/>
      <c r="L195" s="55" t="n">
        <v>51.59123322641948</v>
      </c>
      <c r="M195" s="55" t="n"/>
      <c r="N195" s="55" t="n"/>
      <c r="O195" s="55" t="n"/>
      <c r="P195" s="55" t="n"/>
      <c r="Q195" s="55" t="n">
        <v>52.69869839668941</v>
      </c>
      <c r="R195" s="55" t="n"/>
      <c r="S195" s="55" t="n"/>
      <c r="T195" s="55" t="n"/>
      <c r="U195" s="55" t="n">
        <v>41.65774272207034</v>
      </c>
      <c r="V195" s="55" t="n"/>
      <c r="W195" s="55" t="n"/>
      <c r="X195" s="55" t="n"/>
      <c r="Y195" s="55" t="n"/>
      <c r="Z195" s="55" t="n">
        <v>58.97775773556774</v>
      </c>
      <c r="AA195" s="55" t="n"/>
      <c r="AB195" s="55" t="n"/>
      <c r="AC195" s="55" t="n"/>
      <c r="AD195" s="55" t="n">
        <v>54.02665873645324</v>
      </c>
      <c r="AE195" s="55" t="n"/>
      <c r="AF195" s="55" t="n"/>
      <c r="AG195" s="55" t="n"/>
      <c r="AH195" s="55" t="n">
        <v>100.7972372036713</v>
      </c>
      <c r="AI195" s="55" t="n"/>
      <c r="AJ195" s="55" t="n"/>
      <c r="AK195" s="55" t="n"/>
      <c r="AL195" s="55" t="n"/>
      <c r="AM195" s="55" t="n">
        <v>45.90416509779239</v>
      </c>
      <c r="AN195" s="55" t="n"/>
      <c r="AO195" s="55" t="n"/>
      <c r="AP195" s="55" t="n"/>
      <c r="AQ195" s="55" t="n">
        <v>68.32736876380628</v>
      </c>
      <c r="AR195" s="55" t="n"/>
      <c r="AS195" s="55" t="n"/>
      <c r="AT195" s="55" t="n"/>
      <c r="AU195" s="55" t="n">
        <v>170.7816230303037</v>
      </c>
      <c r="AV195" s="55" t="n"/>
      <c r="AW195" s="55" t="n"/>
      <c r="AX195" s="55" t="n"/>
      <c r="AY195" s="55" t="n"/>
      <c r="AZ195" s="55" t="n">
        <v>196.0246219502299</v>
      </c>
      <c r="BA195" s="55" t="n"/>
      <c r="BB195" s="55" t="n"/>
      <c r="BC195" s="55" t="n"/>
      <c r="BD195" s="55" t="n">
        <v>77.67697508665465</v>
      </c>
      <c r="BE195" s="55" t="n"/>
    </row>
    <row r="196" ht="15.75" customHeight="1">
      <c r="B196" s="7" t="inlineStr">
        <is>
          <t>As % of budget - this month</t>
        </is>
      </c>
      <c r="D196" s="16" t="inlineStr">
        <is>
          <t>%</t>
        </is>
      </c>
      <c r="E196" s="54" t="n"/>
      <c r="F196" s="54" t="n"/>
      <c r="G196" s="54" t="n"/>
      <c r="H196" s="54">
        <f>IFERROR(SUM(E194:H194)/H195,"")</f>
        <v/>
      </c>
      <c r="I196" s="54" t="n"/>
      <c r="J196" s="54" t="n"/>
      <c r="K196" s="54" t="n"/>
      <c r="L196" s="54">
        <f>IFERROR(SUM(I194:L194)/L195,"")</f>
        <v/>
      </c>
      <c r="M196" s="54" t="n"/>
      <c r="N196" s="54" t="n"/>
      <c r="O196" s="54" t="n"/>
      <c r="P196" s="54" t="n"/>
      <c r="Q196" s="54">
        <f>IFERROR(SUM(M194:Q194)/Q195,"")</f>
        <v/>
      </c>
      <c r="R196" s="54" t="n"/>
      <c r="S196" s="54" t="n"/>
      <c r="T196" s="54" t="n"/>
      <c r="U196" s="54">
        <f>IFERROR(SUM(R194:U194)/U195,"")</f>
        <v/>
      </c>
      <c r="V196" s="54" t="n"/>
      <c r="W196" s="54" t="n"/>
      <c r="X196" s="54" t="n"/>
      <c r="Y196" s="54" t="n"/>
      <c r="Z196" s="54">
        <f>IFERROR(SUM(V194:Z194)/Z195,"")</f>
        <v/>
      </c>
      <c r="AA196" s="54" t="n"/>
      <c r="AB196" s="54" t="n"/>
      <c r="AC196" s="54" t="n"/>
      <c r="AD196" s="54">
        <f>IFERROR(SUM(AA194:AD194)/AD195,"")</f>
        <v/>
      </c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</row>
    <row r="197" ht="15.75" customHeight="1">
      <c r="B197" s="7" t="inlineStr">
        <is>
          <t>As % of quarterly budget (QTD)</t>
        </is>
      </c>
      <c r="D197" s="16" t="inlineStr">
        <is>
          <t>%</t>
        </is>
      </c>
      <c r="E197" s="54" t="n"/>
      <c r="F197" s="54" t="n"/>
      <c r="G197" s="54" t="n"/>
      <c r="H197" s="54">
        <f>IFERROR(SUM(E194:H194)/(H195+L195+Q195),"")</f>
        <v/>
      </c>
      <c r="I197" s="54" t="n"/>
      <c r="J197" s="54" t="n"/>
      <c r="K197" s="54" t="n"/>
      <c r="L197" s="54">
        <f>IFERROR(SUM(E194:L194)/(H195+L195+Q195),"")</f>
        <v/>
      </c>
      <c r="M197" s="54" t="n"/>
      <c r="N197" s="54" t="n"/>
      <c r="O197" s="54" t="n"/>
      <c r="P197" s="54" t="n"/>
      <c r="Q197" s="54">
        <f>IFERROR(SUM(E194:Q194)/(H195+L195+Q195),"")</f>
        <v/>
      </c>
      <c r="R197" s="54" t="n"/>
      <c r="S197" s="54" t="n"/>
      <c r="T197" s="54" t="n"/>
      <c r="U197" s="54">
        <f>IFERROR(SUM(R194:U194)/(U195+Z195+AD195),"")</f>
        <v/>
      </c>
      <c r="V197" s="54" t="n"/>
      <c r="W197" s="54" t="n"/>
      <c r="X197" s="54" t="n"/>
      <c r="Y197" s="54" t="n"/>
      <c r="Z197" s="54">
        <f>IFERROR(SUM(R194:Z194)/(U195+Z195+AD195),"")</f>
        <v/>
      </c>
      <c r="AA197" s="54" t="n"/>
      <c r="AB197" s="54" t="n"/>
      <c r="AC197" s="54" t="n"/>
      <c r="AD197" s="54">
        <f>IFERROR(SUM(R194:AD194)/(U195+Z195+AD195),"")</f>
        <v/>
      </c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</row>
    <row r="198" ht="15.75" customHeight="1">
      <c r="B198" s="7" t="inlineStr">
        <is>
          <t>As % of annual budget (YTD)</t>
        </is>
      </c>
      <c r="D198" s="16" t="inlineStr">
        <is>
          <t>%</t>
        </is>
      </c>
      <c r="E198" s="54" t="n"/>
      <c r="F198" s="54" t="n"/>
      <c r="G198" s="54" t="n"/>
      <c r="H198" s="54">
        <f>IFERROR(SUM($E$194:H194)/SUM($E$195:BD195),"")</f>
        <v/>
      </c>
      <c r="I198" s="54" t="n"/>
      <c r="J198" s="54" t="n"/>
      <c r="K198" s="54" t="n"/>
      <c r="L198" s="54">
        <f>IFERROR(SUM($E$194:L194)/SUM($E$195:BD195),"")</f>
        <v/>
      </c>
      <c r="M198" s="54" t="n"/>
      <c r="N198" s="54" t="n"/>
      <c r="O198" s="54" t="n"/>
      <c r="P198" s="54" t="n"/>
      <c r="Q198" s="54">
        <f>IFERROR(SUM($E$194:Q194)/SUM($E$195:BD195),"")</f>
        <v/>
      </c>
      <c r="R198" s="54" t="n"/>
      <c r="S198" s="54" t="n"/>
      <c r="T198" s="54" t="n"/>
      <c r="U198" s="54">
        <f>IFERROR(SUM($E$194:U194)/SUM($E$195:BD195),"")</f>
        <v/>
      </c>
      <c r="V198" s="54" t="n"/>
      <c r="W198" s="54" t="n"/>
      <c r="X198" s="54" t="n"/>
      <c r="Y198" s="54" t="n"/>
      <c r="Z198" s="54">
        <f>IFERROR(SUM($E$194:Z194)/SUM($E$195:BD195),"")</f>
        <v/>
      </c>
      <c r="AA198" s="54" t="n"/>
      <c r="AB198" s="54" t="n"/>
      <c r="AC198" s="54" t="n"/>
      <c r="AD198" s="54">
        <f>IFERROR(SUM($E$194:AD194)/SUM($E$195:BD195),"")</f>
        <v/>
      </c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</row>
    <row r="199" ht="15.75" customHeight="1"/>
    <row r="200" ht="15.75" customHeight="1">
      <c r="A200" s="1" t="inlineStr">
        <is>
          <t>Total Marketing</t>
        </is>
      </c>
      <c r="B200" s="1" t="n"/>
      <c r="C200" s="1" t="n"/>
      <c r="D200" s="23" t="inlineStr">
        <is>
          <t>$k</t>
        </is>
      </c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</row>
    <row r="201" ht="15.75" customHeight="1">
      <c r="A201" s="1" t="n"/>
      <c r="B201" s="1" t="inlineStr">
        <is>
          <t>Finance Actuals (Monthly)</t>
        </is>
      </c>
      <c r="C201" s="1" t="n"/>
      <c r="D201" s="23" t="inlineStr">
        <is>
          <t>$k</t>
        </is>
      </c>
      <c r="E201" s="53" t="n"/>
      <c r="F201" s="53" t="n"/>
      <c r="G201" s="53" t="n"/>
      <c r="H201" s="53" t="n">
        <v>399.33827</v>
      </c>
      <c r="I201" s="53" t="n"/>
      <c r="J201" s="53" t="n"/>
      <c r="K201" s="53" t="n"/>
      <c r="L201" s="53" t="n">
        <v>380.7085300000001</v>
      </c>
      <c r="M201" s="53" t="n"/>
      <c r="N201" s="53" t="n"/>
      <c r="O201" s="53" t="n"/>
      <c r="P201" s="53" t="n"/>
      <c r="Q201" s="53" t="n">
        <v>433.5556</v>
      </c>
      <c r="R201" s="53" t="n"/>
      <c r="S201" s="53" t="n"/>
      <c r="T201" s="53" t="n"/>
      <c r="U201" s="53" t="n">
        <v>334.68296</v>
      </c>
      <c r="V201" s="53" t="n"/>
      <c r="W201" s="53" t="n"/>
      <c r="X201" s="53" t="n"/>
      <c r="Y201" s="53" t="n"/>
      <c r="Z201" s="53" t="n">
        <v>269.32245</v>
      </c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</row>
    <row r="202" ht="15.75" customHeight="1">
      <c r="A202" s="50">
        <f>SUM(E202:BE202)</f>
        <v/>
      </c>
      <c r="B202" s="9" t="inlineStr">
        <is>
          <t>Budgeted (Monthly)</t>
        </is>
      </c>
      <c r="C202" s="9" t="n"/>
      <c r="D202" s="10" t="inlineStr">
        <is>
          <t>$k</t>
        </is>
      </c>
      <c r="E202" s="55" t="n"/>
      <c r="F202" s="55" t="n"/>
      <c r="G202" s="55" t="n"/>
      <c r="H202" s="55" t="n">
        <v>295.9560933359365</v>
      </c>
      <c r="I202" s="55" t="n"/>
      <c r="J202" s="55" t="n"/>
      <c r="K202" s="55" t="n"/>
      <c r="L202" s="55" t="n">
        <v>219.3000667644519</v>
      </c>
      <c r="M202" s="55" t="n"/>
      <c r="N202" s="55" t="n"/>
      <c r="O202" s="55" t="n"/>
      <c r="P202" s="55" t="n"/>
      <c r="Q202" s="55" t="n">
        <v>265.5773750184785</v>
      </c>
      <c r="R202" s="55" t="n"/>
      <c r="S202" s="55" t="n"/>
      <c r="T202" s="55" t="n"/>
      <c r="U202" s="55" t="n">
        <v>217.3890838352732</v>
      </c>
      <c r="V202" s="55" t="n"/>
      <c r="W202" s="55" t="n"/>
      <c r="X202" s="55" t="n"/>
      <c r="Y202" s="55" t="n"/>
      <c r="Z202" s="55" t="n">
        <v>289.681371037551</v>
      </c>
      <c r="AA202" s="55" t="n"/>
      <c r="AB202" s="55" t="n"/>
      <c r="AC202" s="55" t="n"/>
      <c r="AD202" s="55" t="n">
        <v>273.9896400778524</v>
      </c>
      <c r="AE202" s="55" t="n"/>
      <c r="AF202" s="55" t="n"/>
      <c r="AG202" s="55" t="n"/>
      <c r="AH202" s="55" t="n">
        <v>252.0133363922982</v>
      </c>
      <c r="AI202" s="55" t="n"/>
      <c r="AJ202" s="55" t="n"/>
      <c r="AK202" s="55" t="n"/>
      <c r="AL202" s="55" t="n"/>
      <c r="AM202" s="55" t="n">
        <v>240.4686353974666</v>
      </c>
      <c r="AN202" s="55" t="n"/>
      <c r="AO202" s="55" t="n"/>
      <c r="AP202" s="55" t="n"/>
      <c r="AQ202" s="55" t="n">
        <v>289.8586787320109</v>
      </c>
      <c r="AR202" s="55" t="n"/>
      <c r="AS202" s="55" t="n"/>
      <c r="AT202" s="55" t="n"/>
      <c r="AU202" s="55" t="n">
        <v>361.9244061024789</v>
      </c>
      <c r="AV202" s="55" t="n"/>
      <c r="AW202" s="55" t="n"/>
      <c r="AX202" s="55" t="n"/>
      <c r="AY202" s="55" t="n"/>
      <c r="AZ202" s="55" t="n">
        <v>414.496137509831</v>
      </c>
      <c r="BA202" s="55" t="n"/>
      <c r="BB202" s="55" t="n"/>
      <c r="BC202" s="55" t="n"/>
      <c r="BD202" s="55" t="n">
        <v>337.7219058087064</v>
      </c>
      <c r="BE202" s="55" t="n"/>
    </row>
    <row r="203" ht="15.75" customHeight="1">
      <c r="B203" s="7" t="inlineStr">
        <is>
          <t>As % of budget - this month</t>
        </is>
      </c>
      <c r="D203" s="16" t="inlineStr">
        <is>
          <t>%</t>
        </is>
      </c>
      <c r="E203" s="54" t="n"/>
      <c r="F203" s="54" t="n"/>
      <c r="G203" s="54" t="n"/>
      <c r="H203" s="54">
        <f>IFERROR(SUM(E201:H201)/H202,"")</f>
        <v/>
      </c>
      <c r="I203" s="54" t="n"/>
      <c r="J203" s="54" t="n"/>
      <c r="K203" s="54" t="n"/>
      <c r="L203" s="54">
        <f>IFERROR(SUM(I201:L201)/L202,"")</f>
        <v/>
      </c>
      <c r="M203" s="54" t="n"/>
      <c r="N203" s="54" t="n"/>
      <c r="O203" s="54" t="n"/>
      <c r="P203" s="54" t="n"/>
      <c r="Q203" s="54">
        <f>IFERROR(SUM(M201:Q201)/Q202,"")</f>
        <v/>
      </c>
      <c r="R203" s="54" t="n"/>
      <c r="S203" s="54" t="n"/>
      <c r="T203" s="54" t="n"/>
      <c r="U203" s="54">
        <f>IFERROR(SUM(R201:U201)/U202,"")</f>
        <v/>
      </c>
      <c r="V203" s="54" t="n"/>
      <c r="W203" s="54" t="n"/>
      <c r="X203" s="54" t="n"/>
      <c r="Y203" s="54" t="n"/>
      <c r="Z203" s="54">
        <f>IFERROR(SUM(V201:Z201)/Z202,"")</f>
        <v/>
      </c>
      <c r="AA203" s="54" t="n"/>
      <c r="AB203" s="54" t="n"/>
      <c r="AC203" s="54" t="n"/>
      <c r="AD203" s="54">
        <f>IFERROR(SUM(AA201:AD201)/AD202,"")</f>
        <v/>
      </c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</row>
    <row r="204" ht="15.75" customHeight="1">
      <c r="B204" s="7" t="inlineStr">
        <is>
          <t>As % of quarterly budget (QTD)</t>
        </is>
      </c>
      <c r="D204" s="16" t="inlineStr">
        <is>
          <t>%</t>
        </is>
      </c>
      <c r="E204" s="54" t="n"/>
      <c r="F204" s="54" t="n"/>
      <c r="G204" s="54" t="n"/>
      <c r="H204" s="54">
        <f>IFERROR(SUM(E201:H201)/(H202+L202+Q202),"")</f>
        <v/>
      </c>
      <c r="I204" s="54" t="n"/>
      <c r="J204" s="54" t="n"/>
      <c r="K204" s="54" t="n"/>
      <c r="L204" s="54">
        <f>IFERROR(SUM(E201:L201)/(H202+L202+Q202),"")</f>
        <v/>
      </c>
      <c r="M204" s="54" t="n"/>
      <c r="N204" s="54" t="n"/>
      <c r="O204" s="54" t="n"/>
      <c r="P204" s="54" t="n"/>
      <c r="Q204" s="54">
        <f>IFERROR(SUM(E201:Q201)/(H202+L202+Q202),"")</f>
        <v/>
      </c>
      <c r="R204" s="54" t="n"/>
      <c r="S204" s="54" t="n"/>
      <c r="T204" s="54" t="n"/>
      <c r="U204" s="54">
        <f>IFERROR(SUM(R201:U201)/(U202+Z202+AD202),"")</f>
        <v/>
      </c>
      <c r="V204" s="54" t="n"/>
      <c r="W204" s="54" t="n"/>
      <c r="X204" s="54" t="n"/>
      <c r="Y204" s="54" t="n"/>
      <c r="Z204" s="54">
        <f>IFERROR(SUM(R201:Z201)/(U202+Z202+AD202),"")</f>
        <v/>
      </c>
      <c r="AA204" s="54" t="n"/>
      <c r="AB204" s="54" t="n"/>
      <c r="AC204" s="54" t="n"/>
      <c r="AD204" s="54">
        <f>IFERROR(SUM(R201:AD201)/(U202+Z202+AD202),"")</f>
        <v/>
      </c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</row>
    <row r="205" ht="15.75" customHeight="1">
      <c r="B205" s="7" t="inlineStr">
        <is>
          <t>As % of annual budget (YTD)</t>
        </is>
      </c>
      <c r="D205" s="16" t="inlineStr">
        <is>
          <t>%</t>
        </is>
      </c>
      <c r="E205" s="54" t="n"/>
      <c r="F205" s="54" t="n"/>
      <c r="G205" s="54" t="n"/>
      <c r="H205" s="54">
        <f>IFERROR(SUM($E$201:H201)/SUM($E$202:BD202),"")</f>
        <v/>
      </c>
      <c r="I205" s="54" t="n"/>
      <c r="J205" s="54" t="n"/>
      <c r="K205" s="54" t="n"/>
      <c r="L205" s="54">
        <f>IFERROR(SUM($E$201:L201)/SUM($E$202:BD202),"")</f>
        <v/>
      </c>
      <c r="M205" s="54" t="n"/>
      <c r="N205" s="54" t="n"/>
      <c r="O205" s="54" t="n"/>
      <c r="P205" s="54" t="n"/>
      <c r="Q205" s="54">
        <f>IFERROR(SUM($E$201:Q201)/SUM($E$202:BD202),"")</f>
        <v/>
      </c>
      <c r="R205" s="54" t="n"/>
      <c r="S205" s="54" t="n"/>
      <c r="T205" s="54" t="n"/>
      <c r="U205" s="54">
        <f>IFERROR(SUM($E$201:U201)/SUM($E$202:BD202),"")</f>
        <v/>
      </c>
      <c r="V205" s="54" t="n"/>
      <c r="W205" s="54" t="n"/>
      <c r="X205" s="54" t="n"/>
      <c r="Y205" s="54" t="n"/>
      <c r="Z205" s="54">
        <f>IFERROR(SUM($E$201:Z201)/SUM($E$202:BD202),"")</f>
        <v/>
      </c>
      <c r="AA205" s="54" t="n"/>
      <c r="AB205" s="54" t="n"/>
      <c r="AC205" s="54" t="n"/>
      <c r="AD205" s="54">
        <f>IFERROR(SUM($E$201:AD201)/SUM($E$202:BD202),"")</f>
        <v/>
      </c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</row>
    <row r="206" ht="15.75" customHeight="1"/>
    <row r="207" ht="15.75" customFormat="1" customHeight="1" s="1">
      <c r="A207" s="1" t="inlineStr">
        <is>
          <t>Ads</t>
        </is>
      </c>
      <c r="B207" s="1" t="inlineStr">
        <is>
          <t>Real-time tracking</t>
        </is>
      </c>
      <c r="D207" s="23" t="inlineStr">
        <is>
          <t>$k</t>
        </is>
      </c>
      <c r="E207" s="53" t="n">
        <v>54.4255</v>
      </c>
      <c r="F207" s="53" t="n">
        <v>38.51414</v>
      </c>
      <c r="G207" s="53" t="n">
        <v>36.04068</v>
      </c>
      <c r="H207" s="53" t="n">
        <v>39.34256</v>
      </c>
      <c r="I207" s="53" t="n">
        <v>47.3189</v>
      </c>
      <c r="J207" s="53" t="n">
        <v>26.57542</v>
      </c>
      <c r="K207" s="53" t="n">
        <v>28.53181</v>
      </c>
      <c r="L207" s="53" t="n">
        <v>53.06933</v>
      </c>
      <c r="M207" s="53" t="n">
        <v>74.18224000000001</v>
      </c>
      <c r="N207" s="53" t="n">
        <v>40.59018</v>
      </c>
      <c r="O207" s="53" t="n">
        <v>33.00131</v>
      </c>
      <c r="P207" s="53" t="n">
        <v>51.236</v>
      </c>
      <c r="Q207" s="53" t="n">
        <v>64.90655000000001</v>
      </c>
      <c r="R207" s="53" t="n">
        <v>37.60924</v>
      </c>
      <c r="S207" s="53" t="n">
        <v>26.63017</v>
      </c>
      <c r="T207" s="53" t="n">
        <v>39.15215</v>
      </c>
      <c r="U207" s="53" t="n">
        <v>44.35764</v>
      </c>
      <c r="V207" s="53" t="n">
        <v>54.72473</v>
      </c>
      <c r="W207" s="53" t="n">
        <v>8.374000000000001</v>
      </c>
      <c r="X207" s="53" t="n">
        <v>10.33057</v>
      </c>
      <c r="Y207" s="53" t="n">
        <v>41.81375</v>
      </c>
      <c r="Z207" s="53" t="n">
        <v>50.55479</v>
      </c>
      <c r="AA207" s="53" t="n">
        <v>19.0568</v>
      </c>
      <c r="AB207" s="53" t="n">
        <v>15.16552</v>
      </c>
      <c r="AC207" s="53" t="n">
        <v>27.08095</v>
      </c>
      <c r="AD207" s="53" t="n">
        <v>31.65955</v>
      </c>
      <c r="AE207" s="53" t="n">
        <v>9.867239999999999</v>
      </c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</row>
    <row r="208" ht="15.75" customHeight="1">
      <c r="B208" s="9" t="inlineStr">
        <is>
          <t>Budgeted (Monthly)</t>
        </is>
      </c>
      <c r="C208" s="9" t="n"/>
      <c r="D208" s="10" t="inlineStr">
        <is>
          <t>$k</t>
        </is>
      </c>
      <c r="E208" s="55" t="n"/>
      <c r="F208" s="55" t="n"/>
      <c r="G208" s="55" t="n"/>
      <c r="H208" s="55" t="n">
        <v>159.1227600026032</v>
      </c>
      <c r="I208" s="55" t="n"/>
      <c r="J208" s="55" t="n"/>
      <c r="K208" s="55" t="n"/>
      <c r="L208" s="55" t="n">
        <v>82.46673343111851</v>
      </c>
      <c r="M208" s="55" t="n"/>
      <c r="N208" s="55" t="n"/>
      <c r="O208" s="55" t="n"/>
      <c r="P208" s="55" t="n"/>
      <c r="Q208" s="55" t="n">
        <v>128.7440416851451</v>
      </c>
      <c r="R208" s="55" t="n"/>
      <c r="S208" s="55" t="n"/>
      <c r="T208" s="55" t="n"/>
      <c r="U208" s="55" t="n">
        <v>80.55575050193988</v>
      </c>
      <c r="V208" s="55" t="n"/>
      <c r="W208" s="55" t="n"/>
      <c r="X208" s="55" t="n"/>
      <c r="Y208" s="55" t="n"/>
      <c r="Z208" s="55" t="n">
        <v>152.8480377042177</v>
      </c>
      <c r="AA208" s="55" t="n"/>
      <c r="AB208" s="55" t="n"/>
      <c r="AC208" s="55" t="n"/>
      <c r="AD208" s="55" t="n">
        <v>137.156306744519</v>
      </c>
      <c r="AE208" s="55" t="n"/>
      <c r="AF208" s="55" t="n"/>
      <c r="AG208" s="55" t="n"/>
      <c r="AH208" s="55" t="n">
        <v>115.1800030589649</v>
      </c>
      <c r="AI208" s="55" t="n"/>
      <c r="AJ208" s="55" t="n"/>
      <c r="AK208" s="55" t="n"/>
      <c r="AL208" s="55" t="n"/>
      <c r="AM208" s="55" t="n">
        <v>103.6353020641332</v>
      </c>
      <c r="AN208" s="55" t="n"/>
      <c r="AO208" s="55" t="n"/>
      <c r="AP208" s="55" t="n"/>
      <c r="AQ208" s="55" t="n">
        <v>153.0253453986776</v>
      </c>
      <c r="AR208" s="55" t="n"/>
      <c r="AS208" s="55" t="n"/>
      <c r="AT208" s="55" t="n"/>
      <c r="AU208" s="55" t="n">
        <v>225.0910727691456</v>
      </c>
      <c r="AV208" s="55" t="n"/>
      <c r="AW208" s="55" t="n"/>
      <c r="AX208" s="55" t="n"/>
      <c r="AY208" s="55" t="n"/>
      <c r="AZ208" s="55" t="n">
        <v>277.6628041764977</v>
      </c>
      <c r="BA208" s="55" t="n"/>
      <c r="BB208" s="55" t="n"/>
      <c r="BC208" s="55" t="n"/>
      <c r="BD208" s="55" t="n">
        <v>200.8885724753731</v>
      </c>
      <c r="BE208" s="55" t="n"/>
    </row>
    <row r="209" ht="15.75" customHeight="1"/>
    <row r="210" ht="15.75" customFormat="1" customHeight="1" s="1">
      <c r="A210" s="1" t="inlineStr">
        <is>
          <t>Other Marketing - Commissions &amp; Samples, etc.</t>
        </is>
      </c>
      <c r="D210" s="23" t="inlineStr">
        <is>
          <t>$k</t>
        </is>
      </c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</row>
    <row r="211" ht="15.75" customHeight="1">
      <c r="B211" s="9" t="inlineStr">
        <is>
          <t>Budgeted (Monthly)</t>
        </is>
      </c>
      <c r="C211" s="9" t="n"/>
      <c r="D211" s="10" t="inlineStr">
        <is>
          <t>$k</t>
        </is>
      </c>
      <c r="E211" s="55" t="n"/>
      <c r="F211" s="55" t="n"/>
      <c r="G211" s="55" t="n"/>
      <c r="H211" s="55" t="n">
        <v>136.8333333333333</v>
      </c>
      <c r="I211" s="55" t="n"/>
      <c r="J211" s="55" t="n"/>
      <c r="K211" s="55" t="n"/>
      <c r="L211" s="55" t="n">
        <v>136.8333333333333</v>
      </c>
      <c r="M211" s="55" t="n"/>
      <c r="N211" s="55" t="n"/>
      <c r="O211" s="55" t="n"/>
      <c r="P211" s="55" t="n"/>
      <c r="Q211" s="55" t="n">
        <v>136.8333333333333</v>
      </c>
      <c r="R211" s="55" t="n"/>
      <c r="S211" s="55" t="n"/>
      <c r="T211" s="55" t="n"/>
      <c r="U211" s="55" t="n">
        <v>136.8333333333333</v>
      </c>
      <c r="V211" s="55" t="n"/>
      <c r="W211" s="55" t="n"/>
      <c r="X211" s="55" t="n"/>
      <c r="Y211" s="55" t="n"/>
      <c r="Z211" s="55" t="n">
        <v>136.8333333333333</v>
      </c>
      <c r="AA211" s="55" t="n"/>
      <c r="AB211" s="55" t="n"/>
      <c r="AC211" s="55" t="n"/>
      <c r="AD211" s="55" t="n">
        <v>136.8333333333333</v>
      </c>
      <c r="AE211" s="55" t="n"/>
      <c r="AF211" s="55" t="n"/>
      <c r="AG211" s="55" t="n"/>
      <c r="AH211" s="55" t="n">
        <v>136.8333333333333</v>
      </c>
      <c r="AI211" s="55" t="n"/>
      <c r="AJ211" s="55" t="n"/>
      <c r="AK211" s="55" t="n"/>
      <c r="AL211" s="55" t="n"/>
      <c r="AM211" s="55" t="n">
        <v>136.8333333333333</v>
      </c>
      <c r="AN211" s="55" t="n"/>
      <c r="AO211" s="55" t="n"/>
      <c r="AP211" s="55" t="n"/>
      <c r="AQ211" s="55" t="n">
        <v>136.8333333333333</v>
      </c>
      <c r="AR211" s="55" t="n"/>
      <c r="AS211" s="55" t="n"/>
      <c r="AT211" s="55" t="n"/>
      <c r="AU211" s="55" t="n">
        <v>136.8333333333333</v>
      </c>
      <c r="AV211" s="55" t="n"/>
      <c r="AW211" s="55" t="n"/>
      <c r="AX211" s="55" t="n"/>
      <c r="AY211" s="55" t="n"/>
      <c r="AZ211" s="55" t="n">
        <v>136.8333333333333</v>
      </c>
      <c r="BA211" s="55" t="n"/>
      <c r="BB211" s="55" t="n"/>
      <c r="BC211" s="55" t="n"/>
      <c r="BD211" s="55" t="n">
        <v>136.8333333333333</v>
      </c>
      <c r="BE211" s="55" t="n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2026-07-09T00:00:09Z</dcterms:modified>
</cp:coreProperties>
</file>