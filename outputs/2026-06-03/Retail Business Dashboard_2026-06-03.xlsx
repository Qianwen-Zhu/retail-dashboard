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b val="1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center"/>
    </xf>
    <xf numFmtId="0" fontId="11" fillId="3" borderId="0" pivotButton="0" quotePrefix="0" xfId="0"/>
    <xf numFmtId="0" fontId="12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1" fillId="4" borderId="0" pivotButton="0" quotePrefix="0" xfId="0"/>
    <xf numFmtId="0" fontId="12" fillId="4" borderId="0" applyAlignment="1" pivotButton="0" quotePrefix="0" xfId="0">
      <alignment horizontal="center"/>
    </xf>
    <xf numFmtId="0" fontId="1" fillId="5" borderId="0" pivotButton="0" quotePrefix="0" xfId="0"/>
    <xf numFmtId="0" fontId="11" fillId="5" borderId="0" pivotButton="0" quotePrefix="0" xfId="0"/>
    <xf numFmtId="0" fontId="12" fillId="5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1" fillId="6" borderId="0" pivotButton="0" quotePrefix="0" xfId="0"/>
    <xf numFmtId="0" fontId="12" fillId="6" borderId="0" applyAlignment="1" pivotButton="0" quotePrefix="0" xfId="0">
      <alignment horizontal="center"/>
    </xf>
    <xf numFmtId="0" fontId="1" fillId="7" borderId="0" pivotButton="0" quotePrefix="0" xfId="0"/>
    <xf numFmtId="0" fontId="11" fillId="7" borderId="0" pivotButton="0" quotePrefix="0" xfId="0"/>
    <xf numFmtId="0" fontId="12" fillId="7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tc={B79BA3E3-E585-964D-9C92-483DFB65026F}</author>
    <author>tc={017799DC-20F9-774D-B346-E298DE127B5D}</author>
    <author>tc={82AF0F11-C6B4-F04D-A9ED-3915416AF9D9}</author>
    <author>tc={1AFEDADD-C365-E749-8232-528FAE26FA5F}</author>
    <author>tc={380AB180-B1D9-2D42-90D3-AB6531D1AE69}</author>
    <author>tc={169D5268-D09C-574F-B989-B7C05F3AD2E6}</author>
    <author>tc={7D78CC43-3312-0244-804C-8514DA03F6E7}</author>
  </authors>
  <commentList>
    <comment ref="A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A3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68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0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3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5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90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94"/>
  <sheetViews>
    <sheetView tabSelected="1" workbookViewId="0">
      <pane xSplit="4" ySplit="6" topLeftCell="E175" activePane="bottomRight" state="frozen"/>
      <selection pane="bottomRight" activeCell="F197" sqref="F197"/>
      <selection pane="bottomLeft" activeCell="A7" sqref="A7"/>
      <selection pane="topRight" activeCell="E1" sqref="E1"/>
    </sheetView>
  </sheetViews>
  <sheetFormatPr baseColWidth="8" defaultColWidth="11" defaultRowHeight="15.95"/>
  <cols>
    <col width="3.5" customWidth="1" min="1" max="1"/>
    <col width="5.5" customWidth="1" min="2" max="2"/>
    <col width="19.5" customWidth="1" min="3" max="3"/>
    <col width="8.625" customWidth="1" style="6" min="4" max="4"/>
    <col width="8.625" customWidth="1" min="5" max="5"/>
  </cols>
  <sheetData>
    <row r="1" customFormat="1" s="1">
      <c r="B1" s="4" t="inlineStr">
        <is>
          <t>Weeks ending</t>
        </is>
      </c>
      <c r="C1" s="4" t="n"/>
      <c r="D1" s="5" t="n"/>
      <c r="E1" s="2" t="n">
        <v>46026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>
      <c r="A2" s="1" t="n"/>
      <c r="D2" s="5" t="inlineStr">
        <is>
          <t>Unit</t>
        </is>
      </c>
    </row>
    <row r="3" customFormat="1" s="41">
      <c r="A3" s="41" t="inlineStr">
        <is>
          <t>Sell-in value -- all channels</t>
        </is>
      </c>
      <c r="D3" s="32" t="inlineStr">
        <is>
          <t>$k</t>
        </is>
      </c>
      <c r="E3" s="42" t="n">
        <v>4954.610089296621</v>
      </c>
      <c r="F3" s="42" t="n">
        <v>2237.4512113112</v>
      </c>
      <c r="G3" s="42" t="n">
        <v>2335.4586737674</v>
      </c>
      <c r="H3" s="42" t="n">
        <v>1649.07083781414</v>
      </c>
      <c r="I3" s="42" t="n">
        <v>4150.7015449296</v>
      </c>
      <c r="J3" s="42" t="n">
        <v>2442.7975764364</v>
      </c>
      <c r="K3" s="42" t="n">
        <v>2422.39902996014</v>
      </c>
      <c r="L3" s="42" t="n">
        <v>3638.85222668684</v>
      </c>
      <c r="M3" s="42" t="n">
        <v>3854.504668764</v>
      </c>
      <c r="N3" s="42" t="n">
        <v>5146.87236335751</v>
      </c>
      <c r="O3" s="42" t="n">
        <v>1873.12654342892</v>
      </c>
      <c r="P3" s="42" t="n">
        <v>3799.64861455711</v>
      </c>
      <c r="Q3" s="42" t="n">
        <v>2194.51577538332</v>
      </c>
      <c r="R3" s="42" t="n">
        <v>2690.88277960665</v>
      </c>
      <c r="S3" s="42" t="n">
        <v>2624.02298683649</v>
      </c>
      <c r="T3" s="42" t="n">
        <v>3427.01404612472</v>
      </c>
      <c r="U3" s="42" t="n">
        <v>3319.94226771397</v>
      </c>
      <c r="V3" s="42" t="n">
        <v>4758.96040884765</v>
      </c>
      <c r="W3" s="42" t="n">
        <v>5059.94036805932</v>
      </c>
      <c r="X3" s="42" t="n">
        <v>2907.86589319979</v>
      </c>
      <c r="Y3" s="42" t="n">
        <v>7391.168164887979</v>
      </c>
      <c r="Z3" s="42" t="n">
        <v>2249.26277394989</v>
      </c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</row>
    <row r="4" customFormat="1" s="41">
      <c r="A4" s="41" t="inlineStr">
        <is>
          <t>Sell-through untis -- all channels</t>
        </is>
      </c>
      <c r="D4" s="32" t="inlineStr">
        <is>
          <t>#</t>
        </is>
      </c>
      <c r="E4" s="42" t="n">
        <v>148159</v>
      </c>
      <c r="F4" s="42" t="n">
        <v>83850</v>
      </c>
      <c r="G4" s="42" t="n">
        <v>83860</v>
      </c>
      <c r="H4" s="42" t="n">
        <v>71330</v>
      </c>
      <c r="I4" s="42" t="n">
        <v>67840</v>
      </c>
      <c r="J4" s="42" t="n">
        <v>70315</v>
      </c>
      <c r="K4" s="42" t="n">
        <v>76845</v>
      </c>
      <c r="L4" s="42" t="n">
        <v>82178</v>
      </c>
      <c r="M4" s="42" t="n">
        <v>97833</v>
      </c>
      <c r="N4" s="42" t="n">
        <v>77766</v>
      </c>
      <c r="O4" s="42" t="n">
        <v>76221</v>
      </c>
      <c r="P4" s="42" t="n">
        <v>74251</v>
      </c>
      <c r="Q4" s="42" t="n">
        <v>90103</v>
      </c>
      <c r="R4" s="42" t="n">
        <v>81472</v>
      </c>
      <c r="S4" s="42" t="n">
        <v>81390</v>
      </c>
      <c r="T4" s="42" t="n">
        <v>87345</v>
      </c>
      <c r="U4" s="42" t="n">
        <v>70978</v>
      </c>
      <c r="V4" s="42" t="n">
        <v>78752</v>
      </c>
      <c r="W4" s="42" t="n">
        <v>72812</v>
      </c>
      <c r="X4" s="42" t="n">
        <v>74282</v>
      </c>
      <c r="Y4" s="42" t="n">
        <v>88399</v>
      </c>
      <c r="Z4" s="42" t="n">
        <v>82954</v>
      </c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</row>
    <row r="5" customFormat="1" s="41">
      <c r="A5" s="41" t="inlineStr">
        <is>
          <t>New Customers -- all channels</t>
        </is>
      </c>
      <c r="D5" s="32" t="inlineStr">
        <is>
          <t># ppl</t>
        </is>
      </c>
      <c r="E5" s="42" t="n">
        <v>31495</v>
      </c>
      <c r="F5" s="42" t="n">
        <v>29301</v>
      </c>
      <c r="G5" s="42" t="n">
        <v>26915</v>
      </c>
      <c r="H5" s="42" t="n">
        <v>24542</v>
      </c>
      <c r="I5" s="42" t="n">
        <v>22217</v>
      </c>
      <c r="J5" s="42" t="n">
        <v>23609</v>
      </c>
      <c r="K5" s="42" t="n">
        <v>23653</v>
      </c>
      <c r="L5" s="42" t="n">
        <v>25518</v>
      </c>
      <c r="M5" s="42" t="n">
        <v>26083</v>
      </c>
      <c r="N5" s="42" t="n">
        <v>26884</v>
      </c>
      <c r="O5" s="42" t="n">
        <v>25884</v>
      </c>
      <c r="P5" s="42" t="n">
        <v>24509</v>
      </c>
      <c r="Q5" s="42" t="n">
        <v>26007</v>
      </c>
      <c r="R5" s="42" t="n">
        <v>26526</v>
      </c>
      <c r="S5" s="42" t="n">
        <v>25879</v>
      </c>
      <c r="T5" s="42" t="n">
        <v>26241</v>
      </c>
      <c r="U5" s="42" t="n">
        <v>25187</v>
      </c>
      <c r="V5" s="42" t="n">
        <v>24591</v>
      </c>
      <c r="W5" s="42" t="n">
        <v>24287</v>
      </c>
      <c r="X5" s="42" t="n">
        <v>23804</v>
      </c>
      <c r="Y5" s="42" t="n">
        <v>24570</v>
      </c>
      <c r="Z5" s="42" t="n">
        <v>25699</v>
      </c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</row>
    <row r="6" ht="6.95" customHeight="1">
      <c r="A6" s="1" t="n"/>
      <c r="D6" s="5" t="n"/>
    </row>
    <row r="7" customFormat="1" s="19">
      <c r="A7" s="18" t="inlineStr">
        <is>
          <t>Total Retail</t>
        </is>
      </c>
      <c r="D7" s="20" t="n"/>
    </row>
    <row r="8">
      <c r="A8" s="1" t="inlineStr">
        <is>
          <t>Sell-in value</t>
        </is>
      </c>
      <c r="D8" s="24" t="inlineStr">
        <is>
          <t>$k</t>
        </is>
      </c>
      <c r="E8" s="42">
        <f>E27+E76+E108+E140+E166</f>
        <v/>
      </c>
      <c r="F8" s="42">
        <f>F27+F76+F108+F140+F166</f>
        <v/>
      </c>
      <c r="G8" s="42">
        <f>G27+G76+G108+G140+G166</f>
        <v/>
      </c>
      <c r="H8" s="42">
        <f>H27+H76+H108+H140+H166</f>
        <v/>
      </c>
      <c r="I8" s="42">
        <f>I27+I76+I108+I140+I166</f>
        <v/>
      </c>
      <c r="J8" s="42">
        <f>J27+J76+J108+J140+J166</f>
        <v/>
      </c>
      <c r="K8" s="42">
        <f>K27+K76+K108+K140+K166</f>
        <v/>
      </c>
      <c r="L8" s="42">
        <f>L27+L76+L108+L140+L166</f>
        <v/>
      </c>
      <c r="M8" s="42">
        <f>M27+M76+M108+M140+M166</f>
        <v/>
      </c>
      <c r="N8" s="42">
        <f>N27+N76+N108+N140+N166</f>
        <v/>
      </c>
      <c r="O8" s="42">
        <f>O27+O76+O108+O140+O166</f>
        <v/>
      </c>
      <c r="P8" s="42">
        <f>P27+P76+P108+P140+P166</f>
        <v/>
      </c>
      <c r="Q8" s="42">
        <f>Q27+Q76+Q108+Q140+Q166</f>
        <v/>
      </c>
      <c r="R8" s="42">
        <f>R27+R76+R108+R140+R166</f>
        <v/>
      </c>
      <c r="S8" s="42">
        <f>S27+S76+S108+S140+S166</f>
        <v/>
      </c>
      <c r="T8" s="42">
        <f>T27+T76+T108+T140+T166</f>
        <v/>
      </c>
      <c r="U8" s="42">
        <f>U27+U76+U108+U140+U166</f>
        <v/>
      </c>
      <c r="V8" s="42">
        <f>V27+V76+V108+V140+V166</f>
        <v/>
      </c>
      <c r="W8" s="42">
        <f>W27+W76+W108+W140+W166</f>
        <v/>
      </c>
      <c r="X8" s="42">
        <f>X27+X76+X108+X140+X166</f>
        <v/>
      </c>
      <c r="Y8" s="42">
        <f>Y27+Y76+Y108+Y140+Y166</f>
        <v/>
      </c>
      <c r="Z8" s="42">
        <f>Z27+Z76+Z108+Z140+Z166</f>
        <v/>
      </c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</row>
    <row r="9" customFormat="1" s="7">
      <c r="B9" s="7" t="inlineStr">
        <is>
          <t>% of Target</t>
        </is>
      </c>
      <c r="D9" s="8" t="inlineStr">
        <is>
          <t>%</t>
        </is>
      </c>
      <c r="E9" s="43">
        <f>IFERROR(E8/E10,"")</f>
        <v/>
      </c>
      <c r="F9" s="43">
        <f>IFERROR(F8/F10,"")</f>
        <v/>
      </c>
      <c r="G9" s="43">
        <f>IFERROR(G8/G10,"")</f>
        <v/>
      </c>
      <c r="H9" s="43">
        <f>IFERROR(H8/H10,"")</f>
        <v/>
      </c>
      <c r="I9" s="43">
        <f>IFERROR(I8/I10,"")</f>
        <v/>
      </c>
      <c r="J9" s="43">
        <f>IFERROR(J8/J10,"")</f>
        <v/>
      </c>
      <c r="K9" s="43">
        <f>IFERROR(K8/K10,"")</f>
        <v/>
      </c>
      <c r="L9" s="43">
        <f>IFERROR(L8/L10,"")</f>
        <v/>
      </c>
      <c r="M9" s="43">
        <f>IFERROR(M8/M10,"")</f>
        <v/>
      </c>
      <c r="N9" s="43">
        <f>IFERROR(N8/N10,"")</f>
        <v/>
      </c>
      <c r="O9" s="43">
        <f>IFERROR(O8/O10,"")</f>
        <v/>
      </c>
      <c r="P9" s="43">
        <f>IFERROR(P8/P10,"")</f>
        <v/>
      </c>
      <c r="Q9" s="43">
        <f>IFERROR(Q8/Q10,"")</f>
        <v/>
      </c>
      <c r="R9" s="43">
        <f>IFERROR(R8/R10,"")</f>
        <v/>
      </c>
      <c r="S9" s="43">
        <f>IFERROR(S8/S10,"")</f>
        <v/>
      </c>
      <c r="T9" s="43">
        <f>IFERROR(T8/T10,"")</f>
        <v/>
      </c>
      <c r="U9" s="43">
        <f>IFERROR(U8/U10,"")</f>
        <v/>
      </c>
      <c r="V9" s="43">
        <f>IFERROR(V8/V10,"")</f>
        <v/>
      </c>
      <c r="W9" s="43">
        <f>IFERROR(W8/W10,"")</f>
        <v/>
      </c>
      <c r="X9" s="43">
        <f>IFERROR(X8/X10,"")</f>
        <v/>
      </c>
      <c r="Y9" s="43">
        <f>IFERROR(Y8/Y10,"")</f>
        <v/>
      </c>
      <c r="Z9" s="43">
        <f>IFERROR(Z8/Z10,"")</f>
        <v/>
      </c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43" t="n"/>
      <c r="AW9" s="43" t="n"/>
      <c r="AX9" s="43" t="n"/>
      <c r="AY9" s="43" t="n"/>
      <c r="AZ9" s="43" t="n"/>
      <c r="BA9" s="43" t="n"/>
      <c r="BB9" s="43" t="n"/>
      <c r="BC9" s="43" t="n"/>
      <c r="BD9" s="43" t="n"/>
    </row>
    <row r="10" customFormat="1" s="40">
      <c r="B10" s="40" t="inlineStr">
        <is>
          <t>Target</t>
        </is>
      </c>
      <c r="D10" s="10" t="inlineStr">
        <is>
          <t>$k</t>
        </is>
      </c>
      <c r="E10" s="42">
        <f>E30+E79+E111+E143+E169</f>
        <v/>
      </c>
      <c r="F10" s="42">
        <f>F30+F79+F111+F143+F169</f>
        <v/>
      </c>
      <c r="G10" s="42">
        <f>G30+G79+G111+G143+G169</f>
        <v/>
      </c>
      <c r="H10" s="42">
        <f>H30+H79+H111+H143+H169</f>
        <v/>
      </c>
      <c r="I10" s="42">
        <f>I30+I79+I111+I143+I169</f>
        <v/>
      </c>
      <c r="J10" s="42">
        <f>J30+J79+J111+J143+J169</f>
        <v/>
      </c>
      <c r="K10" s="42">
        <f>K30+K79+K111+K143+K169</f>
        <v/>
      </c>
      <c r="L10" s="42">
        <f>L30+L79+L111+L143+L169</f>
        <v/>
      </c>
      <c r="M10" s="42">
        <f>M30+M79+M111+M143+M169</f>
        <v/>
      </c>
      <c r="N10" s="42">
        <f>N30+N79+N111+N143+N169</f>
        <v/>
      </c>
      <c r="O10" s="42">
        <f>O30+O79+O111+O143+O169</f>
        <v/>
      </c>
      <c r="P10" s="42">
        <f>P30+P79+P111+P143+P169</f>
        <v/>
      </c>
      <c r="Q10" s="42">
        <f>Q30+Q79+Q111+Q143+Q169</f>
        <v/>
      </c>
      <c r="R10" s="42">
        <f>R30+R79+R111+R143+R169</f>
        <v/>
      </c>
      <c r="S10" s="42">
        <f>S30+S79+S111+S143+S169</f>
        <v/>
      </c>
      <c r="T10" s="42">
        <f>T30+T79+T111+T143+T169</f>
        <v/>
      </c>
      <c r="U10" s="42">
        <f>U30+U79+U111+U143+U169</f>
        <v/>
      </c>
      <c r="V10" s="42">
        <f>V30+V79+V111+V143+V169</f>
        <v/>
      </c>
      <c r="W10" s="42">
        <f>W30+W79+W111+W143+W169</f>
        <v/>
      </c>
      <c r="X10" s="42">
        <f>X30+X79+X111+X143+X169</f>
        <v/>
      </c>
      <c r="Y10" s="42">
        <f>Y30+Y79+Y111+Y143+Y169</f>
        <v/>
      </c>
      <c r="Z10" s="42">
        <f>Z30+Z79+Z111+Z143+Z169</f>
        <v/>
      </c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2" t="n"/>
      <c r="AQ10" s="42" t="n"/>
      <c r="AR10" s="42" t="n"/>
      <c r="AS10" s="42" t="n"/>
      <c r="AT10" s="42" t="n"/>
      <c r="AU10" s="42" t="n"/>
      <c r="AV10" s="42" t="n"/>
      <c r="AW10" s="42" t="n"/>
      <c r="AX10" s="42" t="n"/>
      <c r="AY10" s="42" t="n"/>
      <c r="AZ10" s="42" t="n"/>
      <c r="BA10" s="42" t="n"/>
      <c r="BB10" s="42" t="n"/>
      <c r="BC10" s="42" t="n"/>
      <c r="BD10" s="42" t="n"/>
    </row>
    <row r="11"/>
    <row r="12">
      <c r="A12" s="1" t="inlineStr">
        <is>
          <t xml:space="preserve">Sell-through units </t>
        </is>
      </c>
      <c r="D12" s="24" t="inlineStr">
        <is>
          <t>#</t>
        </is>
      </c>
      <c r="E12" s="42">
        <f>E32+E81+E113+E145+E171</f>
        <v/>
      </c>
      <c r="F12" s="42">
        <f>F32+F81+F113+F145+F171</f>
        <v/>
      </c>
      <c r="G12" s="42">
        <f>G32+G81+G113+G145+G171</f>
        <v/>
      </c>
      <c r="H12" s="42">
        <f>H32+H81+H113+H145+H171</f>
        <v/>
      </c>
      <c r="I12" s="42">
        <f>I32+I81+I113+I145+I171</f>
        <v/>
      </c>
      <c r="J12" s="42">
        <f>J32+J81+J113+J145+J171</f>
        <v/>
      </c>
      <c r="K12" s="42">
        <f>K32+K81+K113+K145+K171</f>
        <v/>
      </c>
      <c r="L12" s="42">
        <f>L32+L81+L113+L145+L171</f>
        <v/>
      </c>
      <c r="M12" s="42">
        <f>M32+M81+M113+M145+M171</f>
        <v/>
      </c>
      <c r="N12" s="42">
        <f>N32+N81+N113+N145+N171</f>
        <v/>
      </c>
      <c r="O12" s="42">
        <f>O32+O81+O113+O145+O171</f>
        <v/>
      </c>
      <c r="P12" s="42">
        <f>P32+P81+P113+P145+P171</f>
        <v/>
      </c>
      <c r="Q12" s="42">
        <f>Q32+Q81+Q113+Q145+Q171</f>
        <v/>
      </c>
      <c r="R12" s="42">
        <f>R32+R81+R113+R145+R171</f>
        <v/>
      </c>
      <c r="S12" s="42">
        <f>S32+S81+S113+S145+S171</f>
        <v/>
      </c>
      <c r="T12" s="42">
        <f>T32+T81+T113+T145+T171</f>
        <v/>
      </c>
      <c r="U12" s="42">
        <f>U32+U81+U113+U145+U171</f>
        <v/>
      </c>
      <c r="V12" s="42">
        <f>V32+V81+V113+V145+V171</f>
        <v/>
      </c>
      <c r="W12" s="42">
        <f>W32+W81+W113+W145+W171</f>
        <v/>
      </c>
      <c r="X12" s="42">
        <f>X32+X81+X113+X145+X171</f>
        <v/>
      </c>
      <c r="Y12" s="42">
        <f>Y32+Y81+Y113+Y145+Y171</f>
        <v/>
      </c>
      <c r="Z12" s="42">
        <f>Z32+Z81+Z113+Z145+Z171</f>
        <v/>
      </c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42" t="n"/>
      <c r="AM12" s="42" t="n"/>
      <c r="AN12" s="42" t="n"/>
      <c r="AO12" s="42" t="n"/>
      <c r="AP12" s="42" t="n"/>
      <c r="AQ12" s="42" t="n"/>
      <c r="AR12" s="42" t="n"/>
      <c r="AS12" s="42" t="n"/>
      <c r="AT12" s="42" t="n"/>
      <c r="AU12" s="42" t="n"/>
      <c r="AV12" s="42" t="n"/>
      <c r="AW12" s="42" t="n"/>
      <c r="AX12" s="42" t="n"/>
      <c r="AY12" s="42" t="n"/>
      <c r="AZ12" s="42" t="n"/>
      <c r="BA12" s="42" t="n"/>
      <c r="BB12" s="42" t="n"/>
      <c r="BC12" s="42" t="n"/>
      <c r="BD12" s="42" t="n"/>
    </row>
    <row r="13" customFormat="1" s="16">
      <c r="A13" s="15" t="n"/>
      <c r="B13" s="16" t="inlineStr">
        <is>
          <t>% of Target</t>
        </is>
      </c>
      <c r="D13" s="17" t="inlineStr">
        <is>
          <t>%</t>
        </is>
      </c>
      <c r="E13" s="43">
        <f>IFERROR(E12/E14,"")</f>
        <v/>
      </c>
      <c r="F13" s="43">
        <f>IFERROR(F12/F14,"")</f>
        <v/>
      </c>
      <c r="G13" s="43">
        <f>IFERROR(G12/G14,"")</f>
        <v/>
      </c>
      <c r="H13" s="43">
        <f>IFERROR(H12/H14,"")</f>
        <v/>
      </c>
      <c r="I13" s="43">
        <f>IFERROR(I12/I14,"")</f>
        <v/>
      </c>
      <c r="J13" s="43">
        <f>IFERROR(J12/J14,"")</f>
        <v/>
      </c>
      <c r="K13" s="43">
        <f>IFERROR(K12/K14,"")</f>
        <v/>
      </c>
      <c r="L13" s="43">
        <f>IFERROR(L12/L14,"")</f>
        <v/>
      </c>
      <c r="M13" s="43">
        <f>IFERROR(M12/M14,"")</f>
        <v/>
      </c>
      <c r="N13" s="43">
        <f>IFERROR(N12/N14,"")</f>
        <v/>
      </c>
      <c r="O13" s="43">
        <f>IFERROR(O12/O14,"")</f>
        <v/>
      </c>
      <c r="P13" s="43">
        <f>IFERROR(P12/P14,"")</f>
        <v/>
      </c>
      <c r="Q13" s="43">
        <f>IFERROR(Q12/Q14,"")</f>
        <v/>
      </c>
      <c r="R13" s="43">
        <f>IFERROR(R12/R14,"")</f>
        <v/>
      </c>
      <c r="S13" s="43">
        <f>IFERROR(S12/S14,"")</f>
        <v/>
      </c>
      <c r="T13" s="43">
        <f>IFERROR(T12/T14,"")</f>
        <v/>
      </c>
      <c r="U13" s="43">
        <f>IFERROR(U12/U14,"")</f>
        <v/>
      </c>
      <c r="V13" s="43">
        <f>IFERROR(V12/V14,"")</f>
        <v/>
      </c>
      <c r="W13" s="43">
        <f>IFERROR(W12/W14,"")</f>
        <v/>
      </c>
      <c r="X13" s="43">
        <f>IFERROR(X12/X14,"")</f>
        <v/>
      </c>
      <c r="Y13" s="43">
        <f>IFERROR(Y12/Y14,"")</f>
        <v/>
      </c>
      <c r="Z13" s="43">
        <f>IFERROR(Z12/Z14,"")</f>
        <v/>
      </c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43" t="n"/>
      <c r="AW13" s="43" t="n"/>
      <c r="AX13" s="43" t="n"/>
      <c r="AY13" s="43" t="n"/>
      <c r="AZ13" s="43" t="n"/>
      <c r="BA13" s="43" t="n"/>
      <c r="BB13" s="43" t="n"/>
      <c r="BC13" s="43" t="n"/>
      <c r="BD13" s="43" t="n"/>
    </row>
    <row r="14" customFormat="1" s="13">
      <c r="A14" s="12" t="n"/>
      <c r="B14" s="13" t="inlineStr">
        <is>
          <t>Target</t>
        </is>
      </c>
      <c r="D14" s="14" t="inlineStr">
        <is>
          <t>#</t>
        </is>
      </c>
      <c r="E14" s="42">
        <f>E35+E84+E116+E148+E174</f>
        <v/>
      </c>
      <c r="F14" s="42">
        <f>F35+F84+F116+F148+F174</f>
        <v/>
      </c>
      <c r="G14" s="42">
        <f>G35+G84+G116+G148+G174</f>
        <v/>
      </c>
      <c r="H14" s="42">
        <f>H35+H84+H116+H148+H174</f>
        <v/>
      </c>
      <c r="I14" s="42">
        <f>I35+I84+I116+I148+I174</f>
        <v/>
      </c>
      <c r="J14" s="42">
        <f>J35+J84+J116+J148+J174</f>
        <v/>
      </c>
      <c r="K14" s="42">
        <f>K35+K84+K116+K148+K174</f>
        <v/>
      </c>
      <c r="L14" s="42">
        <f>L35+L84+L116+L148+L174</f>
        <v/>
      </c>
      <c r="M14" s="42">
        <f>M35+M84+M116+M148+M174</f>
        <v/>
      </c>
      <c r="N14" s="42">
        <f>N35+N84+N116+N148+N174</f>
        <v/>
      </c>
      <c r="O14" s="42">
        <f>O35+O84+O116+O148+O174</f>
        <v/>
      </c>
      <c r="P14" s="42">
        <f>P35+P84+P116+P148+P174</f>
        <v/>
      </c>
      <c r="Q14" s="42">
        <f>Q35+Q84+Q116+Q148+Q174</f>
        <v/>
      </c>
      <c r="R14" s="42">
        <f>R35+R84+R116+R148+R174</f>
        <v/>
      </c>
      <c r="S14" s="42">
        <f>S35+S84+S116+S148+S174</f>
        <v/>
      </c>
      <c r="T14" s="42">
        <f>T35+T84+T116+T148+T174</f>
        <v/>
      </c>
      <c r="U14" s="42">
        <f>U35+U84+U116+U148+U174</f>
        <v/>
      </c>
      <c r="V14" s="42">
        <f>V35+V84+V116+V148+V174</f>
        <v/>
      </c>
      <c r="W14" s="42">
        <f>W35+W84+W116+W148+W174</f>
        <v/>
      </c>
      <c r="X14" s="42">
        <f>X35+X84+X116+X148+X174</f>
        <v/>
      </c>
      <c r="Y14" s="42">
        <f>Y35+Y84+Y116+Y148+Y174</f>
        <v/>
      </c>
      <c r="Z14" s="42">
        <f>Z35+Z84+Z116+Z148+Z174</f>
        <v/>
      </c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</row>
    <row r="15">
      <c r="C15" s="11" t="inlineStr">
        <is>
          <t xml:space="preserve">Cam </t>
        </is>
      </c>
      <c r="D15" s="6" t="inlineStr">
        <is>
          <t>#</t>
        </is>
      </c>
      <c r="E15" s="42">
        <f>E36+E85+E117+E149+E175</f>
        <v/>
      </c>
      <c r="F15" s="42">
        <f>F36+F85+F117+F149+F175</f>
        <v/>
      </c>
      <c r="G15" s="42">
        <f>G36+G85+G117+G149+G175</f>
        <v/>
      </c>
      <c r="H15" s="42">
        <f>H36+H85+H117+H149+H175</f>
        <v/>
      </c>
      <c r="I15" s="42">
        <f>I36+I85+I117+I149+I175</f>
        <v/>
      </c>
      <c r="J15" s="42">
        <f>J36+J85+J117+J149+J175</f>
        <v/>
      </c>
      <c r="K15" s="42">
        <f>K36+K85+K117+K149+K175</f>
        <v/>
      </c>
      <c r="L15" s="42">
        <f>L36+L85+L117+L149+L175</f>
        <v/>
      </c>
      <c r="M15" s="42">
        <f>M36+M85+M117+M149+M175</f>
        <v/>
      </c>
      <c r="N15" s="42">
        <f>N36+N85+N117+N149+N175</f>
        <v/>
      </c>
      <c r="O15" s="42">
        <f>O36+O85+O117+O149+O175</f>
        <v/>
      </c>
      <c r="P15" s="42">
        <f>P36+P85+P117+P149+P175</f>
        <v/>
      </c>
      <c r="Q15" s="42">
        <f>Q36+Q85+Q117+Q149+Q175</f>
        <v/>
      </c>
      <c r="R15" s="42">
        <f>R36+R85+R117+R149+R175</f>
        <v/>
      </c>
      <c r="S15" s="42">
        <f>S36+S85+S117+S149+S175</f>
        <v/>
      </c>
      <c r="T15" s="42">
        <f>T36+T85+T117+T149+T175</f>
        <v/>
      </c>
      <c r="U15" s="42">
        <f>U36+U85+U117+U149+U175</f>
        <v/>
      </c>
      <c r="V15" s="42">
        <f>V36+V85+V117+V149+V175</f>
        <v/>
      </c>
      <c r="W15" s="42">
        <f>W36+W85+W117+W149+W175</f>
        <v/>
      </c>
      <c r="X15" s="42">
        <f>X36+X85+X117+X149+X175</f>
        <v/>
      </c>
      <c r="Y15" s="42">
        <f>Y36+Y85+Y117+Y149+Y175</f>
        <v/>
      </c>
      <c r="Z15" s="42">
        <f>Z36+Z85+Z117+Z149+Z175</f>
        <v/>
      </c>
      <c r="AA15" s="42" t="n"/>
      <c r="AB15" s="42" t="n"/>
      <c r="AC15" s="42" t="n"/>
      <c r="AD15" s="42" t="n"/>
      <c r="AE15" s="42" t="n"/>
      <c r="AF15" s="42" t="n"/>
      <c r="AG15" s="42" t="n"/>
      <c r="AH15" s="42" t="n"/>
      <c r="AI15" s="42" t="n"/>
      <c r="AJ15" s="42" t="n"/>
      <c r="AK15" s="42" t="n"/>
      <c r="AL15" s="42" t="n"/>
      <c r="AM15" s="42" t="n"/>
      <c r="AN15" s="42" t="n"/>
      <c r="AO15" s="42" t="n"/>
      <c r="AP15" s="42" t="n"/>
      <c r="AQ15" s="42" t="n"/>
      <c r="AR15" s="42" t="n"/>
      <c r="AS15" s="42" t="n"/>
      <c r="AT15" s="42" t="n"/>
      <c r="AU15" s="42" t="n"/>
      <c r="AV15" s="42" t="n"/>
      <c r="AW15" s="42" t="n"/>
      <c r="AX15" s="42" t="n"/>
      <c r="AY15" s="42" t="n"/>
      <c r="AZ15" s="42" t="n"/>
      <c r="BA15" s="42" t="n"/>
      <c r="BB15" s="42" t="n"/>
      <c r="BC15" s="42" t="n"/>
      <c r="BD15" s="42" t="n"/>
    </row>
    <row r="16">
      <c r="C16" s="11" t="inlineStr">
        <is>
          <t>Non Cam</t>
        </is>
      </c>
      <c r="D16" s="6" t="inlineStr">
        <is>
          <t>#</t>
        </is>
      </c>
      <c r="E16" s="42">
        <f>E37+E86+E118+E150+E176</f>
        <v/>
      </c>
      <c r="F16" s="42">
        <f>F37+F86+F118+F150+F176</f>
        <v/>
      </c>
      <c r="G16" s="42">
        <f>G37+G86+G118+G150+G176</f>
        <v/>
      </c>
      <c r="H16" s="42">
        <f>H37+H86+H118+H150+H176</f>
        <v/>
      </c>
      <c r="I16" s="42">
        <f>I37+I86+I118+I150+I176</f>
        <v/>
      </c>
      <c r="J16" s="42">
        <f>J37+J86+J118+J150+J176</f>
        <v/>
      </c>
      <c r="K16" s="42">
        <f>K37+K86+K118+K150+K176</f>
        <v/>
      </c>
      <c r="L16" s="42">
        <f>L37+L86+L118+L150+L176</f>
        <v/>
      </c>
      <c r="M16" s="42">
        <f>M37+M86+M118+M150+M176</f>
        <v/>
      </c>
      <c r="N16" s="42">
        <f>N37+N86+N118+N150+N176</f>
        <v/>
      </c>
      <c r="O16" s="42">
        <f>O37+O86+O118+O150+O176</f>
        <v/>
      </c>
      <c r="P16" s="42">
        <f>P37+P86+P118+P150+P176</f>
        <v/>
      </c>
      <c r="Q16" s="42">
        <f>Q37+Q86+Q118+Q150+Q176</f>
        <v/>
      </c>
      <c r="R16" s="42">
        <f>R37+R86+R118+R150+R176</f>
        <v/>
      </c>
      <c r="S16" s="42">
        <f>S37+S86+S118+S150+S176</f>
        <v/>
      </c>
      <c r="T16" s="42">
        <f>T37+T86+T118+T150+T176</f>
        <v/>
      </c>
      <c r="U16" s="42">
        <f>U37+U86+U118+U150+U176</f>
        <v/>
      </c>
      <c r="V16" s="42">
        <f>V37+V86+V118+V150+V176</f>
        <v/>
      </c>
      <c r="W16" s="42">
        <f>W37+W86+W118+W150+W176</f>
        <v/>
      </c>
      <c r="X16" s="42">
        <f>X37+X86+X118+X150+X176</f>
        <v/>
      </c>
      <c r="Y16" s="42">
        <f>Y37+Y86+Y118+Y150+Y176</f>
        <v/>
      </c>
      <c r="Z16" s="42">
        <f>Z37+Z86+Z118+Z150+Z176</f>
        <v/>
      </c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</row>
    <row r="17">
      <c r="C17" s="6" t="n"/>
    </row>
    <row r="18">
      <c r="A18" s="1" t="inlineStr">
        <is>
          <t>New Customers</t>
        </is>
      </c>
      <c r="C18" s="6" t="n"/>
      <c r="D18" s="24" t="inlineStr">
        <is>
          <t># ppl</t>
        </is>
      </c>
      <c r="E18" s="42" t="n">
        <v>30913</v>
      </c>
      <c r="F18" s="42" t="n">
        <v>28705</v>
      </c>
      <c r="G18" s="42" t="n">
        <v>26402</v>
      </c>
      <c r="H18" s="42" t="n">
        <v>24114</v>
      </c>
      <c r="I18" s="42" t="n">
        <v>21858</v>
      </c>
      <c r="J18" s="42" t="n">
        <v>23108</v>
      </c>
      <c r="K18" s="42" t="n">
        <v>23153</v>
      </c>
      <c r="L18" s="42" t="n">
        <v>24919</v>
      </c>
      <c r="M18" s="42" t="n">
        <v>25510</v>
      </c>
      <c r="N18" s="42" t="n">
        <v>26319</v>
      </c>
      <c r="O18" s="42" t="n">
        <v>25365</v>
      </c>
      <c r="P18" s="42" t="n">
        <v>23927</v>
      </c>
      <c r="Q18" s="42" t="n">
        <v>25390</v>
      </c>
      <c r="R18" s="42" t="n">
        <v>25936</v>
      </c>
      <c r="S18" s="42" t="n">
        <v>25222</v>
      </c>
      <c r="T18" s="42" t="n">
        <v>25624</v>
      </c>
      <c r="U18" s="42" t="n">
        <v>24570</v>
      </c>
      <c r="V18" s="42" t="n">
        <v>24046</v>
      </c>
      <c r="W18" s="42" t="n">
        <v>23713</v>
      </c>
      <c r="X18" s="42" t="n">
        <v>23199</v>
      </c>
      <c r="Y18" s="42" t="n">
        <v>23912</v>
      </c>
      <c r="Z18" s="42" t="n">
        <v>25063</v>
      </c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42" t="n"/>
      <c r="AJ18" s="42" t="n"/>
      <c r="AK18" s="42" t="n"/>
      <c r="AL18" s="42" t="n"/>
      <c r="AM18" s="42" t="n"/>
      <c r="AN18" s="42" t="n"/>
      <c r="AO18" s="42" t="n"/>
      <c r="AP18" s="42" t="n"/>
      <c r="AQ18" s="42" t="n"/>
      <c r="AR18" s="42" t="n"/>
      <c r="AS18" s="42" t="n"/>
      <c r="AT18" s="42" t="n"/>
      <c r="AU18" s="42" t="n"/>
      <c r="AV18" s="42" t="n"/>
      <c r="AW18" s="42" t="n"/>
      <c r="AX18" s="42" t="n"/>
      <c r="AY18" s="42" t="n"/>
      <c r="AZ18" s="42" t="n"/>
      <c r="BA18" s="42" t="n"/>
      <c r="BB18" s="42" t="n"/>
      <c r="BC18" s="42" t="n"/>
      <c r="BD18" s="42" t="n"/>
    </row>
    <row r="19">
      <c r="A19" s="1" t="n"/>
      <c r="B19" t="inlineStr">
        <is>
          <t>As % of all units</t>
        </is>
      </c>
      <c r="C19" s="6" t="n"/>
      <c r="D19" s="6" t="inlineStr">
        <is>
          <t>%</t>
        </is>
      </c>
      <c r="E19" s="43">
        <f>IFERROR(E18/E12,"")</f>
        <v/>
      </c>
      <c r="F19" s="43">
        <f>IFERROR(F18/F12,"")</f>
        <v/>
      </c>
      <c r="G19" s="43">
        <f>IFERROR(G18/G12,"")</f>
        <v/>
      </c>
      <c r="H19" s="43">
        <f>IFERROR(H18/H12,"")</f>
        <v/>
      </c>
      <c r="I19" s="43">
        <f>IFERROR(I18/I12,"")</f>
        <v/>
      </c>
      <c r="J19" s="43">
        <f>IFERROR(J18/J12,"")</f>
        <v/>
      </c>
      <c r="K19" s="43">
        <f>IFERROR(K18/K12,"")</f>
        <v/>
      </c>
      <c r="L19" s="43">
        <f>IFERROR(L18/L12,"")</f>
        <v/>
      </c>
      <c r="M19" s="43">
        <f>IFERROR(M18/M12,"")</f>
        <v/>
      </c>
      <c r="N19" s="43">
        <f>IFERROR(N18/N12,"")</f>
        <v/>
      </c>
      <c r="O19" s="43">
        <f>IFERROR(O18/O12,"")</f>
        <v/>
      </c>
      <c r="P19" s="43">
        <f>IFERROR(P18/P12,"")</f>
        <v/>
      </c>
      <c r="Q19" s="43">
        <f>IFERROR(Q18/Q12,"")</f>
        <v/>
      </c>
      <c r="R19" s="43">
        <f>IFERROR(R18/R12,"")</f>
        <v/>
      </c>
      <c r="S19" s="43">
        <f>IFERROR(S18/S12,"")</f>
        <v/>
      </c>
      <c r="T19" s="43">
        <f>IFERROR(T18/T12,"")</f>
        <v/>
      </c>
      <c r="U19" s="43">
        <f>IFERROR(U18/U12,"")</f>
        <v/>
      </c>
      <c r="V19" s="43">
        <f>IFERROR(V18/V12,"")</f>
        <v/>
      </c>
      <c r="W19" s="43">
        <f>IFERROR(W18/W12,"")</f>
        <v/>
      </c>
      <c r="X19" s="43">
        <f>IFERROR(X18/X12,"")</f>
        <v/>
      </c>
      <c r="Y19" s="43">
        <f>IFERROR(Y18/Y12,"")</f>
        <v/>
      </c>
      <c r="Z19" s="43">
        <f>IFERROR(Z18/Z12,"")</f>
        <v/>
      </c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3" t="n"/>
      <c r="AL19" s="43" t="n"/>
      <c r="AM19" s="43" t="n"/>
      <c r="AN19" s="43" t="n"/>
      <c r="AO19" s="43" t="n"/>
      <c r="AP19" s="43" t="n"/>
      <c r="AQ19" s="43" t="n"/>
      <c r="AR19" s="43" t="n"/>
      <c r="AS19" s="43" t="n"/>
      <c r="AT19" s="43" t="n"/>
      <c r="AU19" s="43" t="n"/>
      <c r="AV19" s="43" t="n"/>
      <c r="AW19" s="43" t="n"/>
      <c r="AX19" s="43" t="n"/>
      <c r="AY19" s="43" t="n"/>
      <c r="AZ19" s="43" t="n"/>
      <c r="BA19" s="43" t="n"/>
      <c r="BB19" s="43" t="n"/>
      <c r="BC19" s="43" t="n"/>
      <c r="BD19" s="43" t="n"/>
    </row>
    <row r="20">
      <c r="B20" s="7" t="inlineStr">
        <is>
          <t>% of Target</t>
        </is>
      </c>
      <c r="C20" s="6" t="n"/>
      <c r="D20" s="17" t="inlineStr">
        <is>
          <t>%</t>
        </is>
      </c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3" t="n"/>
      <c r="AH20" s="43" t="n"/>
      <c r="AI20" s="43" t="n"/>
      <c r="AJ20" s="43" t="n"/>
      <c r="AK20" s="43" t="n"/>
      <c r="AL20" s="43" t="n"/>
      <c r="AM20" s="43" t="n"/>
      <c r="AN20" s="43" t="n"/>
      <c r="AO20" s="43" t="n"/>
      <c r="AP20" s="43" t="n"/>
      <c r="AQ20" s="43" t="n"/>
      <c r="AR20" s="43" t="n"/>
      <c r="AS20" s="43" t="n"/>
      <c r="AT20" s="43" t="n"/>
      <c r="AU20" s="43" t="n"/>
      <c r="AV20" s="43" t="n"/>
      <c r="AW20" s="43" t="n"/>
      <c r="AX20" s="43" t="n"/>
      <c r="AY20" s="43" t="n"/>
      <c r="AZ20" s="43" t="n"/>
      <c r="BA20" s="43" t="n"/>
      <c r="BB20" s="43" t="n"/>
      <c r="BC20" s="43" t="n"/>
      <c r="BD20" s="43" t="n"/>
    </row>
    <row r="21">
      <c r="B21" s="40" t="inlineStr">
        <is>
          <t>Target</t>
        </is>
      </c>
      <c r="C21" s="6" t="n"/>
      <c r="D21" s="14" t="inlineStr">
        <is>
          <t>#</t>
        </is>
      </c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</row>
    <row r="22">
      <c r="C22" s="11" t="inlineStr">
        <is>
          <t xml:space="preserve">Cam </t>
        </is>
      </c>
      <c r="D22" s="6" t="inlineStr">
        <is>
          <t>#</t>
        </is>
      </c>
      <c r="E22" s="42" t="n">
        <v>23622</v>
      </c>
      <c r="F22" s="42" t="n">
        <v>21604</v>
      </c>
      <c r="G22" s="42" t="n">
        <v>20652</v>
      </c>
      <c r="H22" s="42" t="n">
        <v>18832</v>
      </c>
      <c r="I22" s="42" t="n">
        <v>17288</v>
      </c>
      <c r="J22" s="42" t="n">
        <v>18372</v>
      </c>
      <c r="K22" s="42" t="n">
        <v>18546</v>
      </c>
      <c r="L22" s="42" t="n">
        <v>20197</v>
      </c>
      <c r="M22" s="42" t="n">
        <v>20957</v>
      </c>
      <c r="N22" s="42" t="n">
        <v>21828</v>
      </c>
      <c r="O22" s="42" t="n">
        <v>20965</v>
      </c>
      <c r="P22" s="42" t="n">
        <v>19797</v>
      </c>
      <c r="Q22" s="42" t="n">
        <v>21106</v>
      </c>
      <c r="R22" s="42" t="n">
        <v>21578</v>
      </c>
      <c r="S22" s="42" t="n">
        <v>21045</v>
      </c>
      <c r="T22" s="42" t="n">
        <v>21495</v>
      </c>
      <c r="U22" s="42" t="n">
        <v>20608</v>
      </c>
      <c r="V22" s="42" t="n">
        <v>19803</v>
      </c>
      <c r="W22" s="42" t="n">
        <v>19631</v>
      </c>
      <c r="X22" s="42" t="n">
        <v>19486</v>
      </c>
      <c r="Y22" s="42" t="n">
        <v>20145</v>
      </c>
      <c r="Z22" s="42" t="n">
        <v>20824</v>
      </c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</row>
    <row r="23">
      <c r="C23" s="11" t="inlineStr">
        <is>
          <t>Non Cam</t>
        </is>
      </c>
      <c r="D23" s="6" t="inlineStr">
        <is>
          <t>#</t>
        </is>
      </c>
      <c r="E23" s="42" t="n">
        <v>7291</v>
      </c>
      <c r="F23" s="42" t="n">
        <v>7101</v>
      </c>
      <c r="G23" s="42" t="n">
        <v>5750</v>
      </c>
      <c r="H23" s="42" t="n">
        <v>5282</v>
      </c>
      <c r="I23" s="42" t="n">
        <v>4570</v>
      </c>
      <c r="J23" s="42" t="n">
        <v>4736</v>
      </c>
      <c r="K23" s="42" t="n">
        <v>4607</v>
      </c>
      <c r="L23" s="42" t="n">
        <v>4722</v>
      </c>
      <c r="M23" s="42" t="n">
        <v>4553</v>
      </c>
      <c r="N23" s="42" t="n">
        <v>4491</v>
      </c>
      <c r="O23" s="42" t="n">
        <v>4400</v>
      </c>
      <c r="P23" s="42" t="n">
        <v>4130</v>
      </c>
      <c r="Q23" s="42" t="n">
        <v>4284</v>
      </c>
      <c r="R23" s="42" t="n">
        <v>4358</v>
      </c>
      <c r="S23" s="42" t="n">
        <v>4177</v>
      </c>
      <c r="T23" s="42" t="n">
        <v>4129</v>
      </c>
      <c r="U23" s="42" t="n">
        <v>3962</v>
      </c>
      <c r="V23" s="42" t="n">
        <v>4243</v>
      </c>
      <c r="W23" s="42" t="n">
        <v>4082</v>
      </c>
      <c r="X23" s="42" t="n">
        <v>3713</v>
      </c>
      <c r="Y23" s="42" t="n">
        <v>3767</v>
      </c>
      <c r="Z23" s="42" t="n">
        <v>4239</v>
      </c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</row>
    <row r="24"/>
    <row r="25"/>
    <row r="26" customFormat="1" s="21">
      <c r="A26" s="23" t="inlineStr">
        <is>
          <t>Amazon</t>
        </is>
      </c>
      <c r="D26" s="22" t="n"/>
    </row>
    <row r="27">
      <c r="A27" s="1" t="inlineStr">
        <is>
          <t>Sell-in value</t>
        </is>
      </c>
      <c r="D27" s="24" t="inlineStr">
        <is>
          <t>$k</t>
        </is>
      </c>
      <c r="E27" s="42" t="n">
        <v>477.558</v>
      </c>
      <c r="F27" s="42" t="n">
        <v>657.735</v>
      </c>
      <c r="G27" s="42" t="n">
        <v>1031.807</v>
      </c>
      <c r="H27" s="42" t="n">
        <v>375.815</v>
      </c>
      <c r="I27" s="42" t="n">
        <v>919.802</v>
      </c>
      <c r="J27" s="42" t="n">
        <v>743.9</v>
      </c>
      <c r="K27" s="42" t="n">
        <v>1122.401</v>
      </c>
      <c r="L27" s="42" t="n">
        <v>2015.756</v>
      </c>
      <c r="M27" s="42" t="n">
        <v>1845.494</v>
      </c>
      <c r="N27" s="42" t="n">
        <v>3412.268</v>
      </c>
      <c r="O27" s="42" t="n">
        <v>651.255</v>
      </c>
      <c r="P27" s="42" t="n">
        <v>2116.446</v>
      </c>
      <c r="Q27" s="42" t="n">
        <v>519.106</v>
      </c>
      <c r="R27" s="42" t="n">
        <v>1907.646</v>
      </c>
      <c r="S27" s="42" t="n">
        <v>1186.938</v>
      </c>
      <c r="T27" s="42" t="n">
        <v>1421.368</v>
      </c>
      <c r="U27" s="42" t="n">
        <v>1162.305</v>
      </c>
      <c r="V27" s="42" t="n">
        <v>1254.842</v>
      </c>
      <c r="W27" s="42" t="n">
        <v>3374.807</v>
      </c>
      <c r="X27" s="42" t="n">
        <v>1461.043</v>
      </c>
      <c r="Y27" s="42" t="n">
        <v>5579.827</v>
      </c>
      <c r="Z27" s="42" t="n">
        <v>455.199</v>
      </c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</row>
    <row r="28" customFormat="1" s="4">
      <c r="A28" s="3" t="n"/>
      <c r="B28" s="4" t="inlineStr">
        <is>
          <t>% of Total - YTD</t>
        </is>
      </c>
      <c r="D28" s="33" t="inlineStr">
        <is>
          <t>%</t>
        </is>
      </c>
      <c r="E28" s="43">
        <f>IFERROR(SUM($E$27:E27)/SUM($E$3:E3),"")</f>
        <v/>
      </c>
      <c r="F28" s="43">
        <f>IFERROR(SUM($E$27:F27)/SUM($E$3:F3),"")</f>
        <v/>
      </c>
      <c r="G28" s="43">
        <f>IFERROR(SUM($E$27:G27)/SUM($E$3:G3),"")</f>
        <v/>
      </c>
      <c r="H28" s="43">
        <f>IFERROR(SUM($E$27:H27)/SUM($E$3:H3),"")</f>
        <v/>
      </c>
      <c r="I28" s="43">
        <f>IFERROR(SUM($E$27:I27)/SUM($E$3:I3),"")</f>
        <v/>
      </c>
      <c r="J28" s="43">
        <f>IFERROR(SUM($E$27:J27)/SUM($E$3:J3),"")</f>
        <v/>
      </c>
      <c r="K28" s="43">
        <f>IFERROR(SUM($E$27:K27)/SUM($E$3:K3),"")</f>
        <v/>
      </c>
      <c r="L28" s="43">
        <f>IFERROR(SUM($E$27:L27)/SUM($E$3:L3),"")</f>
        <v/>
      </c>
      <c r="M28" s="43">
        <f>IFERROR(SUM($E$27:M27)/SUM($E$3:M3),"")</f>
        <v/>
      </c>
      <c r="N28" s="43">
        <f>IFERROR(SUM($E$27:N27)/SUM($E$3:N3),"")</f>
        <v/>
      </c>
      <c r="O28" s="43">
        <f>IFERROR(SUM($E$27:O27)/SUM($E$3:O3),"")</f>
        <v/>
      </c>
      <c r="P28" s="43">
        <f>IFERROR(SUM($E$27:P27)/SUM($E$3:P3),"")</f>
        <v/>
      </c>
      <c r="Q28" s="43">
        <f>IFERROR(SUM($E$27:Q27)/SUM($E$3:Q3),"")</f>
        <v/>
      </c>
      <c r="R28" s="43">
        <f>IFERROR(SUM($E$27:R27)/SUM($E$3:R3),"")</f>
        <v/>
      </c>
      <c r="S28" s="43">
        <f>IFERROR(SUM($E$27:S27)/SUM($E$3:S3),"")</f>
        <v/>
      </c>
      <c r="T28" s="43">
        <f>IFERROR(SUM($E$27:T27)/SUM($E$3:T3),"")</f>
        <v/>
      </c>
      <c r="U28" s="43">
        <f>IFERROR(SUM($E$27:U27)/SUM($E$3:U3),"")</f>
        <v/>
      </c>
      <c r="V28" s="43">
        <f>IFERROR(SUM($E$27:V27)/SUM($E$3:V3),"")</f>
        <v/>
      </c>
      <c r="W28" s="43">
        <f>IFERROR(SUM($E$27:W27)/SUM($E$3:W3),"")</f>
        <v/>
      </c>
      <c r="X28" s="43">
        <f>IFERROR(SUM($E$27:X27)/SUM($E$3:X3),"")</f>
        <v/>
      </c>
      <c r="Y28" s="43">
        <f>IFERROR(SUM($E$27:Y27)/SUM($E$3:Y3),"")</f>
        <v/>
      </c>
      <c r="Z28" s="43">
        <f>IFERROR(SUM($E$27:Z27)/SUM($E$3:Z3),"")</f>
        <v/>
      </c>
      <c r="AA28" s="43" t="n"/>
      <c r="AB28" s="43" t="n"/>
      <c r="AC28" s="43" t="n"/>
      <c r="AD28" s="43" t="n"/>
      <c r="AE28" s="43" t="n"/>
      <c r="AF28" s="43" t="n"/>
      <c r="AG28" s="43" t="n"/>
      <c r="AH28" s="43" t="n"/>
      <c r="AI28" s="43" t="n"/>
      <c r="AJ28" s="43" t="n"/>
      <c r="AK28" s="43" t="n"/>
      <c r="AL28" s="43" t="n"/>
      <c r="AM28" s="43" t="n"/>
      <c r="AN28" s="43" t="n"/>
      <c r="AO28" s="43" t="n"/>
      <c r="AP28" s="43" t="n"/>
      <c r="AQ28" s="43" t="n"/>
      <c r="AR28" s="43" t="n"/>
      <c r="AS28" s="43" t="n"/>
      <c r="AT28" s="43" t="n"/>
      <c r="AU28" s="43" t="n"/>
      <c r="AV28" s="43" t="n"/>
      <c r="AW28" s="43" t="n"/>
      <c r="AX28" s="43" t="n"/>
      <c r="AY28" s="43" t="n"/>
      <c r="AZ28" s="43" t="n"/>
      <c r="BA28" s="43" t="n"/>
      <c r="BB28" s="43" t="n"/>
      <c r="BC28" s="43" t="n"/>
      <c r="BD28" s="43" t="n"/>
    </row>
    <row r="29" customFormat="1" s="7">
      <c r="B29" s="7" t="inlineStr">
        <is>
          <t>% of Target</t>
        </is>
      </c>
      <c r="D29" s="8" t="inlineStr">
        <is>
          <t>%</t>
        </is>
      </c>
      <c r="E29" s="43">
        <f>IFERROR(E27/E30,"")</f>
        <v/>
      </c>
      <c r="F29" s="43">
        <f>IFERROR(F27/F30,"")</f>
        <v/>
      </c>
      <c r="G29" s="43">
        <f>IFERROR(G27/G30,"")</f>
        <v/>
      </c>
      <c r="H29" s="43">
        <f>IFERROR(H27/H30,"")</f>
        <v/>
      </c>
      <c r="I29" s="43">
        <f>IFERROR(I27/I30,"")</f>
        <v/>
      </c>
      <c r="J29" s="43">
        <f>IFERROR(J27/J30,"")</f>
        <v/>
      </c>
      <c r="K29" s="43">
        <f>IFERROR(K27/K30,"")</f>
        <v/>
      </c>
      <c r="L29" s="43">
        <f>IFERROR(L27/L30,"")</f>
        <v/>
      </c>
      <c r="M29" s="43">
        <f>IFERROR(M27/M30,"")</f>
        <v/>
      </c>
      <c r="N29" s="43">
        <f>IFERROR(N27/N30,"")</f>
        <v/>
      </c>
      <c r="O29" s="43">
        <f>IFERROR(O27/O30,"")</f>
        <v/>
      </c>
      <c r="P29" s="43">
        <f>IFERROR(P27/P30,"")</f>
        <v/>
      </c>
      <c r="Q29" s="43">
        <f>IFERROR(Q27/Q30,"")</f>
        <v/>
      </c>
      <c r="R29" s="43">
        <f>IFERROR(R27/R30,"")</f>
        <v/>
      </c>
      <c r="S29" s="43">
        <f>IFERROR(S27/S30,"")</f>
        <v/>
      </c>
      <c r="T29" s="43">
        <f>IFERROR(T27/T30,"")</f>
        <v/>
      </c>
      <c r="U29" s="43">
        <f>IFERROR(U27/U30,"")</f>
        <v/>
      </c>
      <c r="V29" s="43">
        <f>IFERROR(V27/V30,"")</f>
        <v/>
      </c>
      <c r="W29" s="43">
        <f>IFERROR(W27/W30,"")</f>
        <v/>
      </c>
      <c r="X29" s="43">
        <f>IFERROR(X27/X30,"")</f>
        <v/>
      </c>
      <c r="Y29" s="43">
        <f>IFERROR(Y27/Y30,"")</f>
        <v/>
      </c>
      <c r="Z29" s="43">
        <f>IFERROR(Z27/Z30,"")</f>
        <v/>
      </c>
      <c r="AA29" s="43" t="n"/>
      <c r="AB29" s="43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  <c r="AO29" s="43" t="n"/>
      <c r="AP29" s="43" t="n"/>
      <c r="AQ29" s="43" t="n"/>
      <c r="AR29" s="43" t="n"/>
      <c r="AS29" s="43" t="n"/>
      <c r="AT29" s="43" t="n"/>
      <c r="AU29" s="43" t="n"/>
      <c r="AV29" s="43" t="n"/>
      <c r="AW29" s="43" t="n"/>
      <c r="AX29" s="43" t="n"/>
      <c r="AY29" s="43" t="n"/>
      <c r="AZ29" s="43" t="n"/>
      <c r="BA29" s="43" t="n"/>
      <c r="BB29" s="43" t="n"/>
      <c r="BC29" s="43" t="n"/>
      <c r="BD29" s="43" t="n"/>
    </row>
    <row r="30" customFormat="1" s="40">
      <c r="B30" s="40" t="inlineStr">
        <is>
          <t>Target</t>
        </is>
      </c>
      <c r="D30" s="10" t="inlineStr">
        <is>
          <t>$k</t>
        </is>
      </c>
      <c r="E30" s="42" t="n">
        <v>455.453798768</v>
      </c>
      <c r="F30" s="42" t="n">
        <v>797.044147844</v>
      </c>
      <c r="G30" s="42" t="n">
        <v>797.044147844</v>
      </c>
      <c r="H30" s="42" t="n">
        <v>797.044147844</v>
      </c>
      <c r="I30" s="42" t="n">
        <v>862.6127626839999</v>
      </c>
      <c r="J30" s="42" t="n">
        <v>1256.0345</v>
      </c>
      <c r="K30" s="42" t="n">
        <v>1256.0345</v>
      </c>
      <c r="L30" s="42" t="n">
        <v>1256.0345</v>
      </c>
      <c r="M30" s="42" t="n">
        <v>1226.77500609</v>
      </c>
      <c r="N30" s="42" t="n">
        <v>1051.207994354</v>
      </c>
      <c r="O30" s="42" t="n">
        <v>1051.207994354</v>
      </c>
      <c r="P30" s="42" t="n">
        <v>1051.207994354</v>
      </c>
      <c r="Q30" s="42" t="n">
        <v>1051.207994354</v>
      </c>
      <c r="R30" s="42" t="n">
        <v>1004.767383419</v>
      </c>
      <c r="S30" s="42" t="n">
        <v>986.1877578249999</v>
      </c>
      <c r="T30" s="42" t="n">
        <v>986.1877578249999</v>
      </c>
      <c r="U30" s="42" t="n">
        <v>986.1877578249999</v>
      </c>
      <c r="V30" s="42" t="n">
        <v>1123.787621189</v>
      </c>
      <c r="W30" s="42" t="n">
        <v>1307.255514516</v>
      </c>
      <c r="X30" s="42" t="n">
        <v>1307.255514516</v>
      </c>
      <c r="Y30" s="42" t="n">
        <v>1307.255514516</v>
      </c>
      <c r="Z30" s="42" t="n">
        <v>1307.255514516</v>
      </c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</row>
    <row r="31"/>
    <row r="32">
      <c r="A32" s="1" t="inlineStr">
        <is>
          <t xml:space="preserve">Sell-through units </t>
        </is>
      </c>
      <c r="D32" s="24" t="inlineStr">
        <is>
          <t>#</t>
        </is>
      </c>
      <c r="E32" s="42" t="n">
        <v>34858</v>
      </c>
      <c r="F32" s="42" t="n">
        <v>37220</v>
      </c>
      <c r="G32" s="42" t="n">
        <v>39813</v>
      </c>
      <c r="H32" s="42" t="n">
        <v>35886</v>
      </c>
      <c r="I32" s="42" t="n">
        <v>32741</v>
      </c>
      <c r="J32" s="42" t="n">
        <v>36540</v>
      </c>
      <c r="K32" s="42" t="n">
        <v>37823</v>
      </c>
      <c r="L32" s="42" t="n">
        <v>41180</v>
      </c>
      <c r="M32" s="42" t="n">
        <v>38691</v>
      </c>
      <c r="N32" s="42" t="n">
        <v>38110</v>
      </c>
      <c r="O32" s="42" t="n">
        <v>37873</v>
      </c>
      <c r="P32" s="42" t="n">
        <v>35396</v>
      </c>
      <c r="Q32" s="42" t="n">
        <v>45167</v>
      </c>
      <c r="R32" s="42" t="n">
        <v>43794</v>
      </c>
      <c r="S32" s="42" t="n">
        <v>40363</v>
      </c>
      <c r="T32" s="42" t="n">
        <v>45034</v>
      </c>
      <c r="U32" s="42" t="n">
        <v>32833</v>
      </c>
      <c r="V32" s="42" t="n">
        <v>30711</v>
      </c>
      <c r="W32" s="42" t="n">
        <v>33746</v>
      </c>
      <c r="X32" s="42" t="n">
        <v>35310</v>
      </c>
      <c r="Y32" s="42" t="n">
        <v>40795</v>
      </c>
      <c r="Z32" s="42" t="n">
        <v>37738</v>
      </c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  <c r="AO32" s="42" t="n"/>
      <c r="AP32" s="42" t="n"/>
      <c r="AQ32" s="42" t="n"/>
      <c r="AR32" s="42" t="n"/>
      <c r="AS32" s="42" t="n"/>
      <c r="AT32" s="42" t="n"/>
      <c r="AU32" s="42" t="n"/>
      <c r="AV32" s="42" t="n"/>
      <c r="AW32" s="42" t="n"/>
      <c r="AX32" s="42" t="n"/>
      <c r="AY32" s="42" t="n"/>
      <c r="AZ32" s="42" t="n"/>
      <c r="BA32" s="42" t="n"/>
      <c r="BB32" s="42" t="n"/>
      <c r="BC32" s="42" t="n"/>
      <c r="BD32" s="42" t="n"/>
    </row>
    <row r="33" customFormat="1" s="4">
      <c r="A33" s="3" t="n"/>
      <c r="B33" s="4" t="inlineStr">
        <is>
          <t>% of Total - YTD</t>
        </is>
      </c>
      <c r="D33" s="33" t="inlineStr">
        <is>
          <t>%</t>
        </is>
      </c>
      <c r="E33" s="43">
        <f>IFERROR(SUM($E$32:E32)/SUM($E$4:E4),"")</f>
        <v/>
      </c>
      <c r="F33" s="43">
        <f>IFERROR(SUM($E$32:F32)/SUM($E$4:F4),"")</f>
        <v/>
      </c>
      <c r="G33" s="43">
        <f>IFERROR(SUM($E$32:G32)/SUM($E$4:G4),"")</f>
        <v/>
      </c>
      <c r="H33" s="43">
        <f>IFERROR(SUM($E$32:H32)/SUM($E$4:H4),"")</f>
        <v/>
      </c>
      <c r="I33" s="43">
        <f>IFERROR(SUM($E$32:I32)/SUM($E$4:I4),"")</f>
        <v/>
      </c>
      <c r="J33" s="43">
        <f>IFERROR(SUM($E$32:J32)/SUM($E$4:J4),"")</f>
        <v/>
      </c>
      <c r="K33" s="43">
        <f>IFERROR(SUM($E$32:K32)/SUM($E$4:K4),"")</f>
        <v/>
      </c>
      <c r="L33" s="43">
        <f>IFERROR(SUM($E$32:L32)/SUM($E$4:L4),"")</f>
        <v/>
      </c>
      <c r="M33" s="43">
        <f>IFERROR(SUM($E$32:M32)/SUM($E$4:M4),"")</f>
        <v/>
      </c>
      <c r="N33" s="43">
        <f>IFERROR(SUM($E$32:N32)/SUM($E$4:N4),"")</f>
        <v/>
      </c>
      <c r="O33" s="43">
        <f>IFERROR(SUM($E$32:O32)/SUM($E$4:O4),"")</f>
        <v/>
      </c>
      <c r="P33" s="43">
        <f>IFERROR(SUM($E$32:P32)/SUM($E$4:P4),"")</f>
        <v/>
      </c>
      <c r="Q33" s="43">
        <f>IFERROR(SUM($E$32:Q32)/SUM($E$4:Q4),"")</f>
        <v/>
      </c>
      <c r="R33" s="43">
        <f>IFERROR(SUM($E$32:R32)/SUM($E$4:R4),"")</f>
        <v/>
      </c>
      <c r="S33" s="43">
        <f>IFERROR(SUM($E$32:S32)/SUM($E$4:S4),"")</f>
        <v/>
      </c>
      <c r="T33" s="43">
        <f>IFERROR(SUM($E$32:T32)/SUM($E$4:T4),"")</f>
        <v/>
      </c>
      <c r="U33" s="43">
        <f>IFERROR(SUM($E$32:U32)/SUM($E$4:U4),"")</f>
        <v/>
      </c>
      <c r="V33" s="43">
        <f>IFERROR(SUM($E$32:V32)/SUM($E$4:V4),"")</f>
        <v/>
      </c>
      <c r="W33" s="43">
        <f>IFERROR(SUM($E$32:W32)/SUM($E$4:W4),"")</f>
        <v/>
      </c>
      <c r="X33" s="43">
        <f>IFERROR(SUM($E$32:X32)/SUM($E$4:X4),"")</f>
        <v/>
      </c>
      <c r="Y33" s="43">
        <f>IFERROR(SUM($E$32:Y32)/SUM($E$4:Y4),"")</f>
        <v/>
      </c>
      <c r="Z33" s="43">
        <f>IFERROR(SUM($E$32:Z32)/SUM($E$4:Z4),"")</f>
        <v/>
      </c>
      <c r="AA33" s="43" t="n"/>
      <c r="AB33" s="43" t="n"/>
      <c r="AC33" s="43" t="n"/>
      <c r="AD33" s="43" t="n"/>
      <c r="AE33" s="43" t="n"/>
      <c r="AF33" s="43" t="n"/>
      <c r="AG33" s="43" t="n"/>
      <c r="AH33" s="43" t="n"/>
      <c r="AI33" s="43" t="n"/>
      <c r="AJ33" s="43" t="n"/>
      <c r="AK33" s="43" t="n"/>
      <c r="AL33" s="43" t="n"/>
      <c r="AM33" s="43" t="n"/>
      <c r="AN33" s="43" t="n"/>
      <c r="AO33" s="43" t="n"/>
      <c r="AP33" s="43" t="n"/>
      <c r="AQ33" s="43" t="n"/>
      <c r="AR33" s="43" t="n"/>
      <c r="AS33" s="43" t="n"/>
      <c r="AT33" s="43" t="n"/>
      <c r="AU33" s="43" t="n"/>
      <c r="AV33" s="43" t="n"/>
      <c r="AW33" s="43" t="n"/>
      <c r="AX33" s="43" t="n"/>
      <c r="AY33" s="43" t="n"/>
      <c r="AZ33" s="43" t="n"/>
      <c r="BA33" s="43" t="n"/>
      <c r="BB33" s="43" t="n"/>
      <c r="BC33" s="43" t="n"/>
      <c r="BD33" s="43" t="n"/>
    </row>
    <row r="34" customFormat="1" s="16">
      <c r="A34" s="15" t="n"/>
      <c r="B34" s="16" t="inlineStr">
        <is>
          <t>% of Target</t>
        </is>
      </c>
      <c r="D34" s="17" t="inlineStr">
        <is>
          <t>%</t>
        </is>
      </c>
      <c r="E34" s="43">
        <f>IFERROR(E32/E35,"")</f>
        <v/>
      </c>
      <c r="F34" s="43">
        <f>IFERROR(F32/F35,"")</f>
        <v/>
      </c>
      <c r="G34" s="43">
        <f>IFERROR(G32/G35,"")</f>
        <v/>
      </c>
      <c r="H34" s="43">
        <f>IFERROR(H32/H35,"")</f>
        <v/>
      </c>
      <c r="I34" s="43">
        <f>IFERROR(I32/I35,"")</f>
        <v/>
      </c>
      <c r="J34" s="43">
        <f>IFERROR(J32/J35,"")</f>
        <v/>
      </c>
      <c r="K34" s="43">
        <f>IFERROR(K32/K35,"")</f>
        <v/>
      </c>
      <c r="L34" s="43">
        <f>IFERROR(L32/L35,"")</f>
        <v/>
      </c>
      <c r="M34" s="43">
        <f>IFERROR(M32/M35,"")</f>
        <v/>
      </c>
      <c r="N34" s="43">
        <f>IFERROR(N32/N35,"")</f>
        <v/>
      </c>
      <c r="O34" s="43">
        <f>IFERROR(O32/O35,"")</f>
        <v/>
      </c>
      <c r="P34" s="43">
        <f>IFERROR(P32/P35,"")</f>
        <v/>
      </c>
      <c r="Q34" s="43">
        <f>IFERROR(Q32/Q35,"")</f>
        <v/>
      </c>
      <c r="R34" s="43">
        <f>IFERROR(R32/R35,"")</f>
        <v/>
      </c>
      <c r="S34" s="43">
        <f>IFERROR(S32/S35,"")</f>
        <v/>
      </c>
      <c r="T34" s="43">
        <f>IFERROR(T32/T35,"")</f>
        <v/>
      </c>
      <c r="U34" s="43">
        <f>IFERROR(U32/U35,"")</f>
        <v/>
      </c>
      <c r="V34" s="43">
        <f>IFERROR(V32/V35,"")</f>
        <v/>
      </c>
      <c r="W34" s="43">
        <f>IFERROR(W32/W35,"")</f>
        <v/>
      </c>
      <c r="X34" s="43">
        <f>IFERROR(X32/X35,"")</f>
        <v/>
      </c>
      <c r="Y34" s="43">
        <f>IFERROR(Y32/Y35,"")</f>
        <v/>
      </c>
      <c r="Z34" s="43">
        <f>IFERROR(Z32/Z35,"")</f>
        <v/>
      </c>
      <c r="AA34" s="43" t="n"/>
      <c r="AB34" s="43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43" t="n"/>
      <c r="AM34" s="43" t="n"/>
      <c r="AN34" s="43" t="n"/>
      <c r="AO34" s="43" t="n"/>
      <c r="AP34" s="43" t="n"/>
      <c r="AQ34" s="43" t="n"/>
      <c r="AR34" s="43" t="n"/>
      <c r="AS34" s="43" t="n"/>
      <c r="AT34" s="43" t="n"/>
      <c r="AU34" s="43" t="n"/>
      <c r="AV34" s="43" t="n"/>
      <c r="AW34" s="43" t="n"/>
      <c r="AX34" s="43" t="n"/>
      <c r="AY34" s="43" t="n"/>
      <c r="AZ34" s="43" t="n"/>
      <c r="BA34" s="43" t="n"/>
      <c r="BB34" s="43" t="n"/>
      <c r="BC34" s="43" t="n"/>
      <c r="BD34" s="43" t="n"/>
    </row>
    <row r="35" customFormat="1" s="13">
      <c r="A35" s="12" t="n"/>
      <c r="B35" s="13" t="inlineStr">
        <is>
          <t>Target</t>
        </is>
      </c>
      <c r="D35" s="14" t="inlineStr">
        <is>
          <t>#</t>
        </is>
      </c>
      <c r="E35" s="42" t="n"/>
      <c r="F35" s="42" t="n">
        <v>20086</v>
      </c>
      <c r="G35" s="42" t="n">
        <v>20091</v>
      </c>
      <c r="H35" s="42" t="n">
        <v>20091</v>
      </c>
      <c r="I35" s="42" t="n">
        <v>20280</v>
      </c>
      <c r="J35" s="42" t="n">
        <v>22514</v>
      </c>
      <c r="K35" s="42" t="n">
        <v>22598</v>
      </c>
      <c r="L35" s="42" t="n">
        <v>22593</v>
      </c>
      <c r="M35" s="42" t="n">
        <v>22941</v>
      </c>
      <c r="N35" s="42" t="n">
        <v>18220</v>
      </c>
      <c r="O35" s="42" t="n">
        <v>18226</v>
      </c>
      <c r="P35" s="42" t="n">
        <v>18224</v>
      </c>
      <c r="Q35" s="42" t="n">
        <v>45832</v>
      </c>
      <c r="R35" s="42" t="n">
        <v>18227</v>
      </c>
      <c r="S35" s="42" t="n">
        <v>18185</v>
      </c>
      <c r="T35" s="42" t="n">
        <v>49571</v>
      </c>
      <c r="U35" s="42" t="n">
        <v>18812</v>
      </c>
      <c r="V35" s="42" t="n">
        <v>19241</v>
      </c>
      <c r="W35" s="42" t="n">
        <v>21500</v>
      </c>
      <c r="X35" s="42" t="n">
        <v>21067</v>
      </c>
      <c r="Y35" s="42" t="n">
        <v>42386</v>
      </c>
      <c r="Z35" s="42" t="n">
        <v>21298</v>
      </c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42" t="n"/>
      <c r="AV35" s="42" t="n"/>
      <c r="AW35" s="42" t="n"/>
      <c r="AX35" s="42" t="n"/>
      <c r="AY35" s="42" t="n"/>
      <c r="AZ35" s="42" t="n"/>
      <c r="BA35" s="42" t="n"/>
      <c r="BB35" s="42" t="n"/>
      <c r="BC35" s="42" t="n"/>
      <c r="BD35" s="42" t="n"/>
    </row>
    <row r="36">
      <c r="C36" s="11" t="inlineStr">
        <is>
          <t xml:space="preserve">Cam </t>
        </is>
      </c>
      <c r="D36" s="6" t="inlineStr">
        <is>
          <t>#</t>
        </is>
      </c>
      <c r="E36" s="42" t="n">
        <v>25147</v>
      </c>
      <c r="F36" s="42" t="n">
        <v>27642</v>
      </c>
      <c r="G36" s="42" t="n">
        <v>28704</v>
      </c>
      <c r="H36" s="42" t="n">
        <v>26213</v>
      </c>
      <c r="I36" s="42" t="n">
        <v>25390</v>
      </c>
      <c r="J36" s="42" t="n">
        <v>29406</v>
      </c>
      <c r="K36" s="42" t="n">
        <v>30384</v>
      </c>
      <c r="L36" s="42" t="n">
        <v>34306</v>
      </c>
      <c r="M36" s="42" t="n">
        <v>32680</v>
      </c>
      <c r="N36" s="42" t="n">
        <v>32474</v>
      </c>
      <c r="O36" s="42" t="n">
        <v>31668</v>
      </c>
      <c r="P36" s="42" t="n">
        <v>29566</v>
      </c>
      <c r="Q36" s="42" t="n">
        <v>39186</v>
      </c>
      <c r="R36" s="42" t="n">
        <v>37731</v>
      </c>
      <c r="S36" s="42" t="n">
        <v>33786</v>
      </c>
      <c r="T36" s="42" t="n">
        <v>38465</v>
      </c>
      <c r="U36" s="42" t="n">
        <v>28103</v>
      </c>
      <c r="V36" s="42" t="n">
        <v>26024</v>
      </c>
      <c r="W36" s="42" t="n">
        <v>27922</v>
      </c>
      <c r="X36" s="42" t="n">
        <v>29235</v>
      </c>
      <c r="Y36" s="42" t="n">
        <v>33991</v>
      </c>
      <c r="Z36" s="42" t="n">
        <v>31287</v>
      </c>
      <c r="AA36" s="42" t="n"/>
      <c r="AB36" s="42" t="n"/>
      <c r="AC36" s="42" t="n"/>
      <c r="AD36" s="42" t="n"/>
      <c r="AE36" s="42" t="n"/>
      <c r="AF36" s="42" t="n"/>
      <c r="AG36" s="42" t="n"/>
      <c r="AH36" s="42" t="n"/>
      <c r="AI36" s="42" t="n"/>
      <c r="AJ36" s="42" t="n"/>
      <c r="AK36" s="42" t="n"/>
      <c r="AL36" s="42" t="n"/>
      <c r="AM36" s="42" t="n"/>
      <c r="AN36" s="42" t="n"/>
      <c r="AO36" s="42" t="n"/>
      <c r="AP36" s="42" t="n"/>
      <c r="AQ36" s="42" t="n"/>
      <c r="AR36" s="42" t="n"/>
      <c r="AS36" s="42" t="n"/>
      <c r="AT36" s="42" t="n"/>
      <c r="AU36" s="42" t="n"/>
      <c r="AV36" s="42" t="n"/>
      <c r="AW36" s="42" t="n"/>
      <c r="AX36" s="42" t="n"/>
      <c r="AY36" s="42" t="n"/>
      <c r="AZ36" s="42" t="n"/>
      <c r="BA36" s="42" t="n"/>
      <c r="BB36" s="42" t="n"/>
      <c r="BC36" s="42" t="n"/>
      <c r="BD36" s="42" t="n"/>
    </row>
    <row r="37">
      <c r="C37" s="11" t="inlineStr">
        <is>
          <t>Non Cam</t>
        </is>
      </c>
      <c r="D37" s="6" t="inlineStr">
        <is>
          <t>#</t>
        </is>
      </c>
      <c r="E37" s="42" t="n">
        <v>9711</v>
      </c>
      <c r="F37" s="42" t="n">
        <v>9578</v>
      </c>
      <c r="G37" s="42" t="n">
        <v>11109</v>
      </c>
      <c r="H37" s="42" t="n">
        <v>9673</v>
      </c>
      <c r="I37" s="42" t="n">
        <v>7351</v>
      </c>
      <c r="J37" s="42" t="n">
        <v>7134</v>
      </c>
      <c r="K37" s="42" t="n">
        <v>7439</v>
      </c>
      <c r="L37" s="42" t="n">
        <v>6874</v>
      </c>
      <c r="M37" s="42" t="n">
        <v>6011</v>
      </c>
      <c r="N37" s="42" t="n">
        <v>5636</v>
      </c>
      <c r="O37" s="42" t="n">
        <v>6205</v>
      </c>
      <c r="P37" s="42" t="n">
        <v>5830</v>
      </c>
      <c r="Q37" s="42" t="n">
        <v>5981</v>
      </c>
      <c r="R37" s="42" t="n">
        <v>6063</v>
      </c>
      <c r="S37" s="42" t="n">
        <v>6577</v>
      </c>
      <c r="T37" s="42" t="n">
        <v>6569</v>
      </c>
      <c r="U37" s="42" t="n">
        <v>4730</v>
      </c>
      <c r="V37" s="42" t="n">
        <v>4687</v>
      </c>
      <c r="W37" s="42" t="n">
        <v>5824</v>
      </c>
      <c r="X37" s="42" t="n">
        <v>6075</v>
      </c>
      <c r="Y37" s="42" t="n">
        <v>6804</v>
      </c>
      <c r="Z37" s="42" t="n">
        <v>6451</v>
      </c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2" t="n"/>
      <c r="AV37" s="42" t="n"/>
      <c r="AW37" s="42" t="n"/>
      <c r="AX37" s="42" t="n"/>
      <c r="AY37" s="42" t="n"/>
      <c r="AZ37" s="42" t="n"/>
      <c r="BA37" s="42" t="n"/>
      <c r="BB37" s="42" t="n"/>
      <c r="BC37" s="42" t="n"/>
      <c r="BD37" s="42" t="n"/>
    </row>
    <row r="38">
      <c r="C38" s="6" t="n"/>
    </row>
    <row r="39">
      <c r="A39" s="1" t="inlineStr">
        <is>
          <t>New Customers (Ads attributed)</t>
        </is>
      </c>
      <c r="C39" s="6" t="n"/>
      <c r="D39" s="24" t="inlineStr">
        <is>
          <t># ppl</t>
        </is>
      </c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>
        <v>826</v>
      </c>
      <c r="R39" s="42" t="n">
        <v>1413</v>
      </c>
      <c r="S39" s="42" t="n">
        <v>1469</v>
      </c>
      <c r="T39" s="42" t="n">
        <v>1706</v>
      </c>
      <c r="U39" s="42" t="n">
        <v>1352</v>
      </c>
      <c r="V39" s="42" t="n">
        <v>1294</v>
      </c>
      <c r="W39" s="42" t="n">
        <v>1161</v>
      </c>
      <c r="X39" s="42" t="n">
        <v>1287</v>
      </c>
      <c r="Y39" s="42" t="n">
        <v>1614</v>
      </c>
      <c r="Z39" s="42" t="n">
        <v>1573</v>
      </c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42" t="n"/>
      <c r="AM39" s="42" t="n"/>
      <c r="AN39" s="42" t="n"/>
      <c r="AO39" s="42" t="n"/>
      <c r="AP39" s="42" t="n"/>
      <c r="AQ39" s="42" t="n"/>
      <c r="AR39" s="42" t="n"/>
      <c r="AS39" s="42" t="n"/>
      <c r="AT39" s="42" t="n"/>
      <c r="AU39" s="42" t="n"/>
      <c r="AV39" s="42" t="n"/>
      <c r="AW39" s="42" t="n"/>
      <c r="AX39" s="42" t="n"/>
      <c r="AY39" s="42" t="n"/>
      <c r="AZ39" s="42" t="n"/>
      <c r="BA39" s="42" t="n"/>
      <c r="BB39" s="42" t="n"/>
      <c r="BC39" s="42" t="n"/>
      <c r="BD39" s="42" t="n"/>
    </row>
    <row r="40">
      <c r="A40" s="1" t="n"/>
      <c r="B40" t="inlineStr">
        <is>
          <t>As % of sales units (ads attributed)</t>
        </is>
      </c>
      <c r="C40" s="6" t="n"/>
      <c r="D40" s="6" t="inlineStr">
        <is>
          <t>%</t>
        </is>
      </c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  <c r="AB40" s="43" t="n"/>
      <c r="AC40" s="43" t="n"/>
      <c r="AD40" s="43" t="n"/>
      <c r="AE40" s="43" t="n"/>
      <c r="AF40" s="43" t="n"/>
      <c r="AG40" s="43" t="n"/>
      <c r="AH40" s="43" t="n"/>
      <c r="AI40" s="43" t="n"/>
      <c r="AJ40" s="43" t="n"/>
      <c r="AK40" s="43" t="n"/>
      <c r="AL40" s="43" t="n"/>
      <c r="AM40" s="43" t="n"/>
      <c r="AN40" s="43" t="n"/>
      <c r="AO40" s="43" t="n"/>
      <c r="AP40" s="43" t="n"/>
      <c r="AQ40" s="43" t="n"/>
      <c r="AR40" s="43" t="n"/>
      <c r="AS40" s="43" t="n"/>
      <c r="AT40" s="43" t="n"/>
      <c r="AU40" s="43" t="n"/>
      <c r="AV40" s="43" t="n"/>
      <c r="AW40" s="43" t="n"/>
      <c r="AX40" s="43" t="n"/>
      <c r="AY40" s="43" t="n"/>
      <c r="AZ40" s="43" t="n"/>
      <c r="BA40" s="43" t="n"/>
      <c r="BB40" s="43" t="n"/>
      <c r="BC40" s="43" t="n"/>
      <c r="BD40" s="43" t="n"/>
    </row>
    <row r="41">
      <c r="B41" s="7" t="inlineStr">
        <is>
          <t>% of Target</t>
        </is>
      </c>
      <c r="C41" s="6" t="n"/>
      <c r="D41" s="17" t="inlineStr">
        <is>
          <t>%</t>
        </is>
      </c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/>
      <c r="AH41" s="43" t="n"/>
      <c r="AI41" s="43" t="n"/>
      <c r="AJ41" s="43" t="n"/>
      <c r="AK41" s="43" t="n"/>
      <c r="AL41" s="43" t="n"/>
      <c r="AM41" s="43" t="n"/>
      <c r="AN41" s="43" t="n"/>
      <c r="AO41" s="43" t="n"/>
      <c r="AP41" s="43" t="n"/>
      <c r="AQ41" s="43" t="n"/>
      <c r="AR41" s="43" t="n"/>
      <c r="AS41" s="43" t="n"/>
      <c r="AT41" s="43" t="n"/>
      <c r="AU41" s="43" t="n"/>
      <c r="AV41" s="43" t="n"/>
      <c r="AW41" s="43" t="n"/>
      <c r="AX41" s="43" t="n"/>
      <c r="AY41" s="43" t="n"/>
      <c r="AZ41" s="43" t="n"/>
      <c r="BA41" s="43" t="n"/>
      <c r="BB41" s="43" t="n"/>
      <c r="BC41" s="43" t="n"/>
      <c r="BD41" s="43" t="n"/>
    </row>
    <row r="42">
      <c r="B42" s="40" t="inlineStr">
        <is>
          <t>Target</t>
        </is>
      </c>
      <c r="C42" s="6" t="n"/>
      <c r="D42" s="14" t="inlineStr">
        <is>
          <t>#</t>
        </is>
      </c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</row>
    <row r="43"/>
    <row r="44" customFormat="1" s="1">
      <c r="A44" s="1" t="inlineStr">
        <is>
          <t xml:space="preserve">Promo </t>
        </is>
      </c>
      <c r="D44" s="24" t="inlineStr">
        <is>
          <t>$k</t>
        </is>
      </c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>
        <v>201.34681</v>
      </c>
      <c r="R44" s="44" t="n">
        <v>77.75161999999999</v>
      </c>
      <c r="S44" s="44" t="n">
        <v>123.677</v>
      </c>
      <c r="T44" s="44" t="n">
        <v>149.84</v>
      </c>
      <c r="U44" s="44" t="n">
        <v>11.15</v>
      </c>
      <c r="V44" s="44" t="n">
        <v>4.05</v>
      </c>
      <c r="W44" s="44" t="n">
        <v>11.05</v>
      </c>
      <c r="X44" s="44" t="n">
        <v>17.6</v>
      </c>
      <c r="Y44" s="44" t="n">
        <v>189.881</v>
      </c>
      <c r="Z44" s="44" t="n">
        <v>80.19499999999999</v>
      </c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</row>
    <row r="45" ht="15.75" customFormat="1" customHeight="1" s="1">
      <c r="B45" s="41" t="inlineStr">
        <is>
          <t>Finance Actuals (Monthly)</t>
        </is>
      </c>
      <c r="D45" s="32" t="inlineStr">
        <is>
          <t>$k</t>
        </is>
      </c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  <c r="AQ45" s="44" t="n"/>
      <c r="AR45" s="44" t="n"/>
      <c r="AS45" s="44" t="n"/>
      <c r="AT45" s="44" t="n"/>
      <c r="AU45" s="44" t="n"/>
      <c r="AV45" s="44" t="n"/>
      <c r="AW45" s="44" t="n"/>
      <c r="AX45" s="44" t="n"/>
      <c r="AY45" s="44" t="n"/>
      <c r="AZ45" s="44" t="n"/>
      <c r="BA45" s="44" t="n"/>
      <c r="BB45" s="44" t="n"/>
      <c r="BC45" s="44" t="n"/>
      <c r="BD45" s="44" t="n"/>
    </row>
    <row r="46" ht="15.75" customFormat="1" customHeight="1" s="40">
      <c r="B46" s="40" t="inlineStr">
        <is>
          <t>Budgeted (Monthly)</t>
        </is>
      </c>
      <c r="D46" s="10" t="inlineStr">
        <is>
          <t>$k</t>
        </is>
      </c>
      <c r="E46" s="44" t="n"/>
      <c r="F46" s="44" t="n"/>
      <c r="G46" s="44" t="n"/>
      <c r="H46" s="44" t="n">
        <v>0</v>
      </c>
      <c r="I46" s="44" t="n"/>
      <c r="J46" s="44" t="n"/>
      <c r="K46" s="44" t="n"/>
      <c r="L46" s="44" t="n">
        <v>0</v>
      </c>
      <c r="M46" s="44" t="n"/>
      <c r="N46" s="44" t="n"/>
      <c r="O46" s="44" t="n"/>
      <c r="P46" s="44" t="n"/>
      <c r="Q46" s="44" t="n">
        <v>301.141</v>
      </c>
      <c r="R46" s="44" t="n"/>
      <c r="S46" s="44" t="n"/>
      <c r="T46" s="44" t="n"/>
      <c r="U46" s="44" t="n">
        <v>266.459</v>
      </c>
      <c r="V46" s="44" t="n"/>
      <c r="W46" s="44" t="n"/>
      <c r="X46" s="44" t="n"/>
      <c r="Y46" s="44" t="n"/>
      <c r="Z46" s="44" t="n">
        <v>130.269</v>
      </c>
      <c r="AA46" s="44" t="n"/>
      <c r="AB46" s="44" t="n"/>
      <c r="AC46" s="44" t="n"/>
      <c r="AD46" s="44" t="n">
        <v>373.997</v>
      </c>
      <c r="AE46" s="44" t="n"/>
      <c r="AF46" s="44" t="n"/>
      <c r="AG46" s="44" t="n"/>
      <c r="AH46" s="44" t="n">
        <v>1931.059</v>
      </c>
      <c r="AI46" s="44" t="n"/>
      <c r="AJ46" s="44" t="n"/>
      <c r="AK46" s="44" t="n"/>
      <c r="AL46" s="44" t="n"/>
      <c r="AM46" s="44" t="n">
        <v>45.196</v>
      </c>
      <c r="AN46" s="44" t="n"/>
      <c r="AO46" s="44" t="n"/>
      <c r="AP46" s="44" t="n"/>
      <c r="AQ46" s="44" t="n">
        <v>105.737</v>
      </c>
      <c r="AR46" s="44" t="n"/>
      <c r="AS46" s="44" t="n"/>
      <c r="AT46" s="44" t="n"/>
      <c r="AU46" s="44" t="n">
        <v>609.049</v>
      </c>
      <c r="AV46" s="44" t="n"/>
      <c r="AW46" s="44" t="n"/>
      <c r="AX46" s="44" t="n"/>
      <c r="AY46" s="44" t="n"/>
      <c r="AZ46" s="44" t="n">
        <v>2587.696</v>
      </c>
      <c r="BA46" s="44" t="n"/>
      <c r="BB46" s="44" t="n"/>
      <c r="BC46" s="44" t="n"/>
      <c r="BD46" s="44" t="n">
        <v>2051.057</v>
      </c>
    </row>
    <row r="47">
      <c r="B47" t="inlineStr">
        <is>
          <t>As % of budget - this month</t>
        </is>
      </c>
      <c r="D47" s="6" t="inlineStr">
        <is>
          <t>%</t>
        </is>
      </c>
      <c r="E47" s="43">
        <f>IFERROR(E45/E46,"")</f>
        <v/>
      </c>
      <c r="F47" s="43">
        <f>IFERROR(F45/F46,"")</f>
        <v/>
      </c>
      <c r="G47" s="43">
        <f>IFERROR(G45/G46,"")</f>
        <v/>
      </c>
      <c r="H47" s="43">
        <f>IFERROR(H45/H46,"")</f>
        <v/>
      </c>
      <c r="I47" s="43">
        <f>IFERROR(I45/I46,"")</f>
        <v/>
      </c>
      <c r="J47" s="43">
        <f>IFERROR(J45/J46,"")</f>
        <v/>
      </c>
      <c r="K47" s="43">
        <f>IFERROR(K45/K46,"")</f>
        <v/>
      </c>
      <c r="L47" s="43">
        <f>IFERROR(L45/L46,"")</f>
        <v/>
      </c>
      <c r="M47" s="43">
        <f>IFERROR(M45/M46,"")</f>
        <v/>
      </c>
      <c r="N47" s="43">
        <f>IFERROR(N45/N46,"")</f>
        <v/>
      </c>
      <c r="O47" s="43">
        <f>IFERROR(O45/O46,"")</f>
        <v/>
      </c>
      <c r="P47" s="43">
        <f>IFERROR(P45/P46,"")</f>
        <v/>
      </c>
      <c r="Q47" s="43">
        <f>IFERROR(Q45/Q46,"")</f>
        <v/>
      </c>
      <c r="R47" s="43">
        <f>IFERROR(R45/R46,"")</f>
        <v/>
      </c>
      <c r="S47" s="43">
        <f>IFERROR(S45/S46,"")</f>
        <v/>
      </c>
      <c r="T47" s="43">
        <f>IFERROR(T45/T46,"")</f>
        <v/>
      </c>
      <c r="U47" s="43">
        <f>IFERROR(U45/U46,"")</f>
        <v/>
      </c>
      <c r="V47" s="43">
        <f>IFERROR(V45/V46,"")</f>
        <v/>
      </c>
      <c r="W47" s="43">
        <f>IFERROR(W45/W46,"")</f>
        <v/>
      </c>
      <c r="X47" s="43">
        <f>IFERROR(X45/X46,"")</f>
        <v/>
      </c>
      <c r="Y47" s="43">
        <f>IFERROR(Y45/Y46,"")</f>
        <v/>
      </c>
      <c r="Z47" s="43">
        <f>IFERROR(Z45/Z46,"")</f>
        <v/>
      </c>
      <c r="AA47" s="43">
        <f>IFERROR(AA45/AA46,"")</f>
        <v/>
      </c>
      <c r="AB47" s="43">
        <f>IFERROR(AB45/AB46,"")</f>
        <v/>
      </c>
      <c r="AC47" s="43">
        <f>IFERROR(AC45/AC46,"")</f>
        <v/>
      </c>
      <c r="AD47" s="43">
        <f>IFERROR(AD45/AD46,"")</f>
        <v/>
      </c>
      <c r="AE47" s="43">
        <f>IFERROR(AE45/AE46,"")</f>
        <v/>
      </c>
      <c r="AF47" s="43">
        <f>IFERROR(AF45/AF46,"")</f>
        <v/>
      </c>
      <c r="AG47" s="43">
        <f>IFERROR(AG45/AG46,"")</f>
        <v/>
      </c>
      <c r="AH47" s="43">
        <f>IFERROR(AH45/AH46,"")</f>
        <v/>
      </c>
      <c r="AI47" s="43">
        <f>IFERROR(AI45/AI46,"")</f>
        <v/>
      </c>
      <c r="AJ47" s="43">
        <f>IFERROR(AJ45/AJ46,"")</f>
        <v/>
      </c>
      <c r="AK47" s="43">
        <f>IFERROR(AK45/AK46,"")</f>
        <v/>
      </c>
      <c r="AL47" s="43">
        <f>IFERROR(AL45/AL46,"")</f>
        <v/>
      </c>
      <c r="AM47" s="43">
        <f>IFERROR(AM45/AM46,"")</f>
        <v/>
      </c>
      <c r="AN47" s="43">
        <f>IFERROR(AN45/AN46,"")</f>
        <v/>
      </c>
      <c r="AO47" s="43">
        <f>IFERROR(AO45/AO46,"")</f>
        <v/>
      </c>
      <c r="AP47" s="43">
        <f>IFERROR(AP45/AP46,"")</f>
        <v/>
      </c>
      <c r="AQ47" s="43">
        <f>IFERROR(AQ45/AQ46,"")</f>
        <v/>
      </c>
      <c r="AR47" s="43">
        <f>IFERROR(AR45/AR46,"")</f>
        <v/>
      </c>
      <c r="AS47" s="43">
        <f>IFERROR(AS45/AS46,"")</f>
        <v/>
      </c>
      <c r="AT47" s="43">
        <f>IFERROR(AT45/AT46,"")</f>
        <v/>
      </c>
      <c r="AU47" s="43">
        <f>IFERROR(AU45/AU46,"")</f>
        <v/>
      </c>
      <c r="AV47" s="43">
        <f>IFERROR(AV45/AV46,"")</f>
        <v/>
      </c>
      <c r="AW47" s="43">
        <f>IFERROR(AW45/AW46,"")</f>
        <v/>
      </c>
      <c r="AX47" s="43">
        <f>IFERROR(AX45/AX46,"")</f>
        <v/>
      </c>
      <c r="AY47" s="43">
        <f>IFERROR(AY45/AY46,"")</f>
        <v/>
      </c>
      <c r="AZ47" s="43">
        <f>IFERROR(AZ45/AZ46,"")</f>
        <v/>
      </c>
      <c r="BA47" s="43">
        <f>IFERROR(BA45/BA46,"")</f>
        <v/>
      </c>
      <c r="BB47" s="43">
        <f>IFERROR(BB45/BB46,"")</f>
        <v/>
      </c>
      <c r="BC47" s="43">
        <f>IFERROR(BC45/BC46,"")</f>
        <v/>
      </c>
      <c r="BD47" s="43">
        <f>IFERROR(BD45/BD46,"")</f>
        <v/>
      </c>
    </row>
    <row r="48">
      <c r="B48" t="inlineStr">
        <is>
          <t>As % of budget - YTD</t>
        </is>
      </c>
      <c r="D48" s="6" t="inlineStr">
        <is>
          <t>%</t>
        </is>
      </c>
      <c r="E48" s="43">
        <f>IFERROR(SUM($E$45:E45)/SUM($E$46:E46),"")</f>
        <v/>
      </c>
      <c r="F48" s="43">
        <f>IFERROR(SUM($E$45:F45)/SUM($E$46:F46),"")</f>
        <v/>
      </c>
      <c r="G48" s="43">
        <f>IFERROR(SUM($E$45:G45)/SUM($E$46:G46),"")</f>
        <v/>
      </c>
      <c r="H48" s="43">
        <f>IFERROR(SUM($E$45:H45)/SUM($E$46:H46),"")</f>
        <v/>
      </c>
      <c r="I48" s="43">
        <f>IFERROR(SUM($E$45:I45)/SUM($E$46:I46),"")</f>
        <v/>
      </c>
      <c r="J48" s="43">
        <f>IFERROR(SUM($E$45:J45)/SUM($E$46:J46),"")</f>
        <v/>
      </c>
      <c r="K48" s="43">
        <f>IFERROR(SUM($E$45:K45)/SUM($E$46:K46),"")</f>
        <v/>
      </c>
      <c r="L48" s="43">
        <f>IFERROR(SUM($E$45:L45)/SUM($E$46:L46),"")</f>
        <v/>
      </c>
      <c r="M48" s="43">
        <f>IFERROR(SUM($E$45:M45)/SUM($E$46:M46),"")</f>
        <v/>
      </c>
      <c r="N48" s="43">
        <f>IFERROR(SUM($E$45:N45)/SUM($E$46:N46),"")</f>
        <v/>
      </c>
      <c r="O48" s="43">
        <f>IFERROR(SUM($E$45:O45)/SUM($E$46:O46),"")</f>
        <v/>
      </c>
      <c r="P48" s="43">
        <f>IFERROR(SUM($E$45:P45)/SUM($E$46:P46),"")</f>
        <v/>
      </c>
      <c r="Q48" s="43">
        <f>IFERROR(SUM($E$45:Q45)/SUM($E$46:Q46),"")</f>
        <v/>
      </c>
      <c r="R48" s="43">
        <f>IFERROR(SUM($E$45:R45)/SUM($E$46:R46),"")</f>
        <v/>
      </c>
      <c r="S48" s="43">
        <f>IFERROR(SUM($E$45:S45)/SUM($E$46:S46),"")</f>
        <v/>
      </c>
      <c r="T48" s="43">
        <f>IFERROR(SUM($E$45:T45)/SUM($E$46:T46),"")</f>
        <v/>
      </c>
      <c r="U48" s="43">
        <f>IFERROR(SUM($E$45:U45)/SUM($E$46:U46),"")</f>
        <v/>
      </c>
      <c r="V48" s="43">
        <f>IFERROR(SUM($E$45:V45)/SUM($E$46:V46),"")</f>
        <v/>
      </c>
      <c r="W48" s="43">
        <f>IFERROR(SUM($E$45:W45)/SUM($E$46:W46),"")</f>
        <v/>
      </c>
      <c r="X48" s="43">
        <f>IFERROR(SUM($E$45:X45)/SUM($E$46:X46),"")</f>
        <v/>
      </c>
      <c r="Y48" s="43">
        <f>IFERROR(SUM($E$45:Y45)/SUM($E$46:Y46),"")</f>
        <v/>
      </c>
      <c r="Z48" s="43">
        <f>IFERROR(SUM($E$45:Z45)/SUM($E$46:Z46),"")</f>
        <v/>
      </c>
      <c r="AA48" s="43">
        <f>IFERROR(SUM($E$45:AA45)/SUM($E$46:AA46),"")</f>
        <v/>
      </c>
      <c r="AB48" s="43">
        <f>IFERROR(SUM($E$45:AB45)/SUM($E$46:AB46),"")</f>
        <v/>
      </c>
      <c r="AC48" s="43">
        <f>IFERROR(SUM($E$45:AC45)/SUM($E$46:AC46),"")</f>
        <v/>
      </c>
      <c r="AD48" s="43">
        <f>IFERROR(SUM($E$45:AD45)/SUM($E$46:AD46),"")</f>
        <v/>
      </c>
      <c r="AE48" s="43">
        <f>IFERROR(SUM($E$45:AE45)/SUM($E$46:AE46),"")</f>
        <v/>
      </c>
      <c r="AF48" s="43">
        <f>IFERROR(SUM($E$45:AF45)/SUM($E$46:AF46),"")</f>
        <v/>
      </c>
      <c r="AG48" s="43">
        <f>IFERROR(SUM($E$45:AG45)/SUM($E$46:AG46),"")</f>
        <v/>
      </c>
      <c r="AH48" s="43">
        <f>IFERROR(SUM($E$45:AH45)/SUM($E$46:AH46),"")</f>
        <v/>
      </c>
      <c r="AI48" s="43">
        <f>IFERROR(SUM($E$45:AI45)/SUM($E$46:AI46),"")</f>
        <v/>
      </c>
      <c r="AJ48" s="43">
        <f>IFERROR(SUM($E$45:AJ45)/SUM($E$46:AJ46),"")</f>
        <v/>
      </c>
      <c r="AK48" s="43">
        <f>IFERROR(SUM($E$45:AK45)/SUM($E$46:AK46),"")</f>
        <v/>
      </c>
      <c r="AL48" s="43">
        <f>IFERROR(SUM($E$45:AL45)/SUM($E$46:AL46),"")</f>
        <v/>
      </c>
      <c r="AM48" s="43">
        <f>IFERROR(SUM($E$45:AM45)/SUM($E$46:AM46),"")</f>
        <v/>
      </c>
      <c r="AN48" s="43">
        <f>IFERROR(SUM($E$45:AN45)/SUM($E$46:AN46),"")</f>
        <v/>
      </c>
      <c r="AO48" s="43">
        <f>IFERROR(SUM($E$45:AO45)/SUM($E$46:AO46),"")</f>
        <v/>
      </c>
      <c r="AP48" s="43">
        <f>IFERROR(SUM($E$45:AP45)/SUM($E$46:AP46),"")</f>
        <v/>
      </c>
      <c r="AQ48" s="43">
        <f>IFERROR(SUM($E$45:AQ45)/SUM($E$46:AQ46),"")</f>
        <v/>
      </c>
      <c r="AR48" s="43">
        <f>IFERROR(SUM($E$45:AR45)/SUM($E$46:AR46),"")</f>
        <v/>
      </c>
      <c r="AS48" s="43">
        <f>IFERROR(SUM($E$45:AS45)/SUM($E$46:AS46),"")</f>
        <v/>
      </c>
      <c r="AT48" s="43">
        <f>IFERROR(SUM($E$45:AT45)/SUM($E$46:AT46),"")</f>
        <v/>
      </c>
      <c r="AU48" s="43">
        <f>IFERROR(SUM($E$45:AU45)/SUM($E$46:AU46),"")</f>
        <v/>
      </c>
      <c r="AV48" s="43">
        <f>IFERROR(SUM($E$45:AV45)/SUM($E$46:AV46),"")</f>
        <v/>
      </c>
      <c r="AW48" s="43">
        <f>IFERROR(SUM($E$45:AW45)/SUM($E$46:AW46),"")</f>
        <v/>
      </c>
      <c r="AX48" s="43">
        <f>IFERROR(SUM($E$45:AX45)/SUM($E$46:AX46),"")</f>
        <v/>
      </c>
      <c r="AY48" s="43">
        <f>IFERROR(SUM($E$45:AY45)/SUM($E$46:AY46),"")</f>
        <v/>
      </c>
      <c r="AZ48" s="43">
        <f>IFERROR(SUM($E$45:AZ45)/SUM($E$46:AZ46),"")</f>
        <v/>
      </c>
      <c r="BA48" s="43">
        <f>IFERROR(SUM($E$45:BA45)/SUM($E$46:BA46),"")</f>
        <v/>
      </c>
      <c r="BB48" s="43">
        <f>IFERROR(SUM($E$45:BB45)/SUM($E$46:BB46),"")</f>
        <v/>
      </c>
      <c r="BC48" s="43">
        <f>IFERROR(SUM($E$45:BC45)/SUM($E$46:BC46),"")</f>
        <v/>
      </c>
      <c r="BD48" s="43">
        <f>IFERROR(SUM($E$45:BD45)/SUM($E$46:BD46),"")</f>
        <v/>
      </c>
    </row>
    <row r="49"/>
    <row r="50">
      <c r="A50" s="1" t="inlineStr">
        <is>
          <t>Ads - On-site</t>
        </is>
      </c>
      <c r="B50" s="1" t="n"/>
      <c r="C50" s="1" t="n"/>
      <c r="D50" s="24" t="inlineStr">
        <is>
          <t>$k</t>
        </is>
      </c>
      <c r="E50" s="44" t="n"/>
      <c r="F50" s="44" t="n"/>
      <c r="G50" s="44" t="n"/>
      <c r="H50" s="44" t="n"/>
      <c r="I50" s="44" t="n"/>
      <c r="J50" s="44" t="n">
        <v>43.9118</v>
      </c>
      <c r="K50" s="44" t="n">
        <v>51.72735</v>
      </c>
      <c r="L50" s="44" t="n">
        <v>51.55761</v>
      </c>
      <c r="M50" s="44" t="n">
        <v>48.37319</v>
      </c>
      <c r="N50" s="44" t="n">
        <v>45.75354</v>
      </c>
      <c r="O50" s="44" t="n">
        <v>44.56591</v>
      </c>
      <c r="P50" s="44" t="n">
        <v>43.45617</v>
      </c>
      <c r="Q50" s="44" t="n">
        <v>51.82136</v>
      </c>
      <c r="R50" s="44" t="n">
        <v>43.78395</v>
      </c>
      <c r="S50" s="44" t="n">
        <v>44.39185</v>
      </c>
      <c r="T50" s="44" t="n">
        <v>51.95358</v>
      </c>
      <c r="U50" s="44" t="n">
        <v>43.527</v>
      </c>
      <c r="V50" s="44" t="n">
        <v>44.14662000000001</v>
      </c>
      <c r="W50" s="44" t="n">
        <v>41.57694</v>
      </c>
      <c r="X50" s="44" t="n">
        <v>41.89388</v>
      </c>
      <c r="Y50" s="44" t="n">
        <v>46.87757</v>
      </c>
      <c r="Z50" s="44" t="n">
        <v>47.55178</v>
      </c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  <c r="AQ50" s="44" t="n"/>
      <c r="AR50" s="44" t="n"/>
      <c r="AS50" s="44" t="n"/>
      <c r="AT50" s="44" t="n"/>
      <c r="AU50" s="44" t="n"/>
      <c r="AV50" s="44" t="n"/>
      <c r="AW50" s="44" t="n"/>
      <c r="AX50" s="44" t="n"/>
      <c r="AY50" s="44" t="n"/>
      <c r="AZ50" s="44" t="n"/>
      <c r="BA50" s="44" t="n"/>
      <c r="BB50" s="44" t="n"/>
      <c r="BC50" s="44" t="n"/>
      <c r="BD50" s="44" t="n"/>
    </row>
    <row r="51" ht="15.75" customHeight="1">
      <c r="A51" s="1" t="n"/>
      <c r="B51" s="41" t="inlineStr">
        <is>
          <t>Finance Actuals (Monthly)</t>
        </is>
      </c>
      <c r="C51" s="1" t="n"/>
      <c r="D51" s="32" t="inlineStr">
        <is>
          <t>$k</t>
        </is>
      </c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  <c r="AQ51" s="44" t="n"/>
      <c r="AR51" s="44" t="n"/>
      <c r="AS51" s="44" t="n"/>
      <c r="AT51" s="44" t="n"/>
      <c r="AU51" s="44" t="n"/>
      <c r="AV51" s="44" t="n"/>
      <c r="AW51" s="44" t="n"/>
      <c r="AX51" s="44" t="n"/>
      <c r="AY51" s="44" t="n"/>
      <c r="AZ51" s="44" t="n"/>
      <c r="BA51" s="44" t="n"/>
      <c r="BB51" s="44" t="n"/>
      <c r="BC51" s="44" t="n"/>
      <c r="BD51" s="44" t="n"/>
    </row>
    <row r="52" ht="15.75" customHeight="1">
      <c r="B52" s="40" t="inlineStr">
        <is>
          <t>Budgeted (Monthly) - On-site</t>
        </is>
      </c>
      <c r="D52" s="10" t="inlineStr">
        <is>
          <t>$k</t>
        </is>
      </c>
      <c r="E52" s="44" t="n"/>
      <c r="F52" s="44" t="n"/>
      <c r="G52" s="44" t="n"/>
      <c r="H52" s="44" t="n">
        <v>164.137</v>
      </c>
      <c r="I52" s="44" t="n"/>
      <c r="J52" s="44" t="n"/>
      <c r="K52" s="44" t="n"/>
      <c r="L52" s="44" t="n">
        <v>131.311</v>
      </c>
      <c r="M52" s="44" t="n"/>
      <c r="N52" s="44" t="n"/>
      <c r="O52" s="44" t="n"/>
      <c r="P52" s="44" t="n"/>
      <c r="Q52" s="44" t="n">
        <v>145.379</v>
      </c>
      <c r="R52" s="44" t="n"/>
      <c r="S52" s="44" t="n"/>
      <c r="T52" s="44" t="n"/>
      <c r="U52" s="44" t="n">
        <v>140.688</v>
      </c>
      <c r="V52" s="44" t="n"/>
      <c r="W52" s="44" t="n"/>
      <c r="X52" s="44" t="n"/>
      <c r="Y52" s="44" t="n"/>
      <c r="Z52" s="44" t="n">
        <v>150.039</v>
      </c>
      <c r="AA52" s="44" t="n"/>
      <c r="AB52" s="44" t="n"/>
      <c r="AC52" s="44" t="n"/>
      <c r="AD52" s="44" t="n">
        <v>145.509</v>
      </c>
      <c r="AE52" s="44" t="n"/>
      <c r="AF52" s="44" t="n"/>
      <c r="AG52" s="44" t="n"/>
      <c r="AH52" s="44" t="n">
        <v>150.36</v>
      </c>
      <c r="AI52" s="44" t="n"/>
      <c r="AJ52" s="44" t="n"/>
      <c r="AK52" s="44" t="n"/>
      <c r="AL52" s="44" t="n"/>
      <c r="AM52" s="44" t="n">
        <v>151.359</v>
      </c>
      <c r="AN52" s="44" t="n"/>
      <c r="AO52" s="44" t="n"/>
      <c r="AP52" s="44" t="n"/>
      <c r="AQ52" s="44" t="n">
        <v>160.507</v>
      </c>
      <c r="AR52" s="44" t="n"/>
      <c r="AS52" s="44" t="n"/>
      <c r="AT52" s="44" t="n"/>
      <c r="AU52" s="44" t="n">
        <v>165.857</v>
      </c>
      <c r="AV52" s="44" t="n"/>
      <c r="AW52" s="44" t="n"/>
      <c r="AX52" s="44" t="n"/>
      <c r="AY52" s="44" t="n"/>
      <c r="AZ52" s="44" t="n">
        <v>160.507</v>
      </c>
      <c r="BA52" s="44" t="n"/>
      <c r="BB52" s="44" t="n"/>
      <c r="BC52" s="44" t="n"/>
      <c r="BD52" s="44" t="n">
        <v>139.107</v>
      </c>
    </row>
    <row r="53">
      <c r="B53" t="inlineStr">
        <is>
          <t>As % of budget - this month</t>
        </is>
      </c>
      <c r="D53" s="6" t="inlineStr">
        <is>
          <t>%</t>
        </is>
      </c>
      <c r="E53" s="43">
        <f>IFERROR(E51/E52,"")</f>
        <v/>
      </c>
      <c r="F53" s="43">
        <f>IFERROR(F51/F52,"")</f>
        <v/>
      </c>
      <c r="G53" s="43">
        <f>IFERROR(G51/G52,"")</f>
        <v/>
      </c>
      <c r="H53" s="43">
        <f>IFERROR(H51/H52,"")</f>
        <v/>
      </c>
      <c r="I53" s="43">
        <f>IFERROR(I51/I52,"")</f>
        <v/>
      </c>
      <c r="J53" s="43">
        <f>IFERROR(J51/J52,"")</f>
        <v/>
      </c>
      <c r="K53" s="43">
        <f>IFERROR(K51/K52,"")</f>
        <v/>
      </c>
      <c r="L53" s="43">
        <f>IFERROR(L51/L52,"")</f>
        <v/>
      </c>
      <c r="M53" s="43">
        <f>IFERROR(M51/M52,"")</f>
        <v/>
      </c>
      <c r="N53" s="43">
        <f>IFERROR(N51/N52,"")</f>
        <v/>
      </c>
      <c r="O53" s="43">
        <f>IFERROR(O51/O52,"")</f>
        <v/>
      </c>
      <c r="P53" s="43">
        <f>IFERROR(P51/P52,"")</f>
        <v/>
      </c>
      <c r="Q53" s="43">
        <f>IFERROR(Q51/Q52,"")</f>
        <v/>
      </c>
      <c r="R53" s="43">
        <f>IFERROR(R51/R52,"")</f>
        <v/>
      </c>
      <c r="S53" s="43">
        <f>IFERROR(S51/S52,"")</f>
        <v/>
      </c>
      <c r="T53" s="43">
        <f>IFERROR(T51/T52,"")</f>
        <v/>
      </c>
      <c r="U53" s="43">
        <f>IFERROR(U51/U52,"")</f>
        <v/>
      </c>
      <c r="V53" s="43">
        <f>IFERROR(V51/V52,"")</f>
        <v/>
      </c>
      <c r="W53" s="43">
        <f>IFERROR(W51/W52,"")</f>
        <v/>
      </c>
      <c r="X53" s="43">
        <f>IFERROR(X51/X52,"")</f>
        <v/>
      </c>
      <c r="Y53" s="43">
        <f>IFERROR(Y51/Y52,"")</f>
        <v/>
      </c>
      <c r="Z53" s="43">
        <f>IFERROR(Z51/Z52,"")</f>
        <v/>
      </c>
      <c r="AA53" s="43">
        <f>IFERROR(AA51/AA52,"")</f>
        <v/>
      </c>
      <c r="AB53" s="43">
        <f>IFERROR(AB51/AB52,"")</f>
        <v/>
      </c>
      <c r="AC53" s="43">
        <f>IFERROR(AC51/AC52,"")</f>
        <v/>
      </c>
      <c r="AD53" s="43">
        <f>IFERROR(AD51/AD52,"")</f>
        <v/>
      </c>
      <c r="AE53" s="43">
        <f>IFERROR(AE51/AE52,"")</f>
        <v/>
      </c>
      <c r="AF53" s="43">
        <f>IFERROR(AF51/AF52,"")</f>
        <v/>
      </c>
      <c r="AG53" s="43">
        <f>IFERROR(AG51/AG52,"")</f>
        <v/>
      </c>
      <c r="AH53" s="43">
        <f>IFERROR(AH51/AH52,"")</f>
        <v/>
      </c>
      <c r="AI53" s="43">
        <f>IFERROR(AI51/AI52,"")</f>
        <v/>
      </c>
      <c r="AJ53" s="43">
        <f>IFERROR(AJ51/AJ52,"")</f>
        <v/>
      </c>
      <c r="AK53" s="43">
        <f>IFERROR(AK51/AK52,"")</f>
        <v/>
      </c>
      <c r="AL53" s="43">
        <f>IFERROR(AL51/AL52,"")</f>
        <v/>
      </c>
      <c r="AM53" s="43">
        <f>IFERROR(AM51/AM52,"")</f>
        <v/>
      </c>
      <c r="AN53" s="43">
        <f>IFERROR(AN51/AN52,"")</f>
        <v/>
      </c>
      <c r="AO53" s="43">
        <f>IFERROR(AO51/AO52,"")</f>
        <v/>
      </c>
      <c r="AP53" s="43">
        <f>IFERROR(AP51/AP52,"")</f>
        <v/>
      </c>
      <c r="AQ53" s="43">
        <f>IFERROR(AQ51/AQ52,"")</f>
        <v/>
      </c>
      <c r="AR53" s="43">
        <f>IFERROR(AR51/AR52,"")</f>
        <v/>
      </c>
      <c r="AS53" s="43">
        <f>IFERROR(AS51/AS52,"")</f>
        <v/>
      </c>
      <c r="AT53" s="43">
        <f>IFERROR(AT51/AT52,"")</f>
        <v/>
      </c>
      <c r="AU53" s="43">
        <f>IFERROR(AU51/AU52,"")</f>
        <v/>
      </c>
      <c r="AV53" s="43">
        <f>IFERROR(AV51/AV52,"")</f>
        <v/>
      </c>
      <c r="AW53" s="43">
        <f>IFERROR(AW51/AW52,"")</f>
        <v/>
      </c>
      <c r="AX53" s="43">
        <f>IFERROR(AX51/AX52,"")</f>
        <v/>
      </c>
      <c r="AY53" s="43">
        <f>IFERROR(AY51/AY52,"")</f>
        <v/>
      </c>
      <c r="AZ53" s="43">
        <f>IFERROR(AZ51/AZ52,"")</f>
        <v/>
      </c>
      <c r="BA53" s="43">
        <f>IFERROR(BA51/BA52,"")</f>
        <v/>
      </c>
      <c r="BB53" s="43">
        <f>IFERROR(BB51/BB52,"")</f>
        <v/>
      </c>
      <c r="BC53" s="43">
        <f>IFERROR(BC51/BC52,"")</f>
        <v/>
      </c>
      <c r="BD53" s="43">
        <f>IFERROR(BD51/BD52,"")</f>
        <v/>
      </c>
    </row>
    <row r="54">
      <c r="B54" t="inlineStr">
        <is>
          <t>As % of budget - YTD</t>
        </is>
      </c>
      <c r="D54" s="6" t="inlineStr">
        <is>
          <t>%</t>
        </is>
      </c>
      <c r="E54" s="43">
        <f>IFERROR(SUM($E$51:E51)/SUM($E$52:E52),"")</f>
        <v/>
      </c>
      <c r="F54" s="43">
        <f>IFERROR(SUM($E$51:F51)/SUM($E$52:F52),"")</f>
        <v/>
      </c>
      <c r="G54" s="43">
        <f>IFERROR(SUM($E$51:G51)/SUM($E$52:G52),"")</f>
        <v/>
      </c>
      <c r="H54" s="43">
        <f>IFERROR(SUM($E$51:H51)/SUM($E$52:H52),"")</f>
        <v/>
      </c>
      <c r="I54" s="43">
        <f>IFERROR(SUM($E$51:I51)/SUM($E$52:I52),"")</f>
        <v/>
      </c>
      <c r="J54" s="43">
        <f>IFERROR(SUM($E$51:J51)/SUM($E$52:J52),"")</f>
        <v/>
      </c>
      <c r="K54" s="43">
        <f>IFERROR(SUM($E$51:K51)/SUM($E$52:K52),"")</f>
        <v/>
      </c>
      <c r="L54" s="43">
        <f>IFERROR(SUM($E$51:L51)/SUM($E$52:L52),"")</f>
        <v/>
      </c>
      <c r="M54" s="43">
        <f>IFERROR(SUM($E$51:M51)/SUM($E$52:M52),"")</f>
        <v/>
      </c>
      <c r="N54" s="43">
        <f>IFERROR(SUM($E$51:N51)/SUM($E$52:N52),"")</f>
        <v/>
      </c>
      <c r="O54" s="43">
        <f>IFERROR(SUM($E$51:O51)/SUM($E$52:O52),"")</f>
        <v/>
      </c>
      <c r="P54" s="43">
        <f>IFERROR(SUM($E$51:P51)/SUM($E$52:P52),"")</f>
        <v/>
      </c>
      <c r="Q54" s="43">
        <f>IFERROR(SUM($E$51:Q51)/SUM($E$52:Q52),"")</f>
        <v/>
      </c>
      <c r="R54" s="43">
        <f>IFERROR(SUM($E$51:R51)/SUM($E$52:R52),"")</f>
        <v/>
      </c>
      <c r="S54" s="43">
        <f>IFERROR(SUM($E$51:S51)/SUM($E$52:S52),"")</f>
        <v/>
      </c>
      <c r="T54" s="43">
        <f>IFERROR(SUM($E$51:T51)/SUM($E$52:T52),"")</f>
        <v/>
      </c>
      <c r="U54" s="43">
        <f>IFERROR(SUM($E$51:U51)/SUM($E$52:U52),"")</f>
        <v/>
      </c>
      <c r="V54" s="43">
        <f>IFERROR(SUM($E$51:V51)/SUM($E$52:V52),"")</f>
        <v/>
      </c>
      <c r="W54" s="43">
        <f>IFERROR(SUM($E$51:W51)/SUM($E$52:W52),"")</f>
        <v/>
      </c>
      <c r="X54" s="43">
        <f>IFERROR(SUM($E$51:X51)/SUM($E$52:X52),"")</f>
        <v/>
      </c>
      <c r="Y54" s="43">
        <f>IFERROR(SUM($E$51:Y51)/SUM($E$52:Y52),"")</f>
        <v/>
      </c>
      <c r="Z54" s="43">
        <f>IFERROR(SUM($E$51:Z51)/SUM($E$52:Z52),"")</f>
        <v/>
      </c>
      <c r="AA54" s="43">
        <f>IFERROR(SUM($E$51:AA51)/SUM($E$52:AA52),"")</f>
        <v/>
      </c>
      <c r="AB54" s="43">
        <f>IFERROR(SUM($E$51:AB51)/SUM($E$52:AB52),"")</f>
        <v/>
      </c>
      <c r="AC54" s="43">
        <f>IFERROR(SUM($E$51:AC51)/SUM($E$52:AC52),"")</f>
        <v/>
      </c>
      <c r="AD54" s="43">
        <f>IFERROR(SUM($E$51:AD51)/SUM($E$52:AD52),"")</f>
        <v/>
      </c>
      <c r="AE54" s="43">
        <f>IFERROR(SUM($E$51:AE51)/SUM($E$52:AE52),"")</f>
        <v/>
      </c>
      <c r="AF54" s="43">
        <f>IFERROR(SUM($E$51:AF51)/SUM($E$52:AF52),"")</f>
        <v/>
      </c>
      <c r="AG54" s="43">
        <f>IFERROR(SUM($E$51:AG51)/SUM($E$52:AG52),"")</f>
        <v/>
      </c>
      <c r="AH54" s="43">
        <f>IFERROR(SUM($E$51:AH51)/SUM($E$52:AH52),"")</f>
        <v/>
      </c>
      <c r="AI54" s="43">
        <f>IFERROR(SUM($E$51:AI51)/SUM($E$52:AI52),"")</f>
        <v/>
      </c>
      <c r="AJ54" s="43">
        <f>IFERROR(SUM($E$51:AJ51)/SUM($E$52:AJ52),"")</f>
        <v/>
      </c>
      <c r="AK54" s="43">
        <f>IFERROR(SUM($E$51:AK51)/SUM($E$52:AK52),"")</f>
        <v/>
      </c>
      <c r="AL54" s="43">
        <f>IFERROR(SUM($E$51:AL51)/SUM($E$52:AL52),"")</f>
        <v/>
      </c>
      <c r="AM54" s="43">
        <f>IFERROR(SUM($E$51:AM51)/SUM($E$52:AM52),"")</f>
        <v/>
      </c>
      <c r="AN54" s="43">
        <f>IFERROR(SUM($E$51:AN51)/SUM($E$52:AN52),"")</f>
        <v/>
      </c>
      <c r="AO54" s="43">
        <f>IFERROR(SUM($E$51:AO51)/SUM($E$52:AO52),"")</f>
        <v/>
      </c>
      <c r="AP54" s="43">
        <f>IFERROR(SUM($E$51:AP51)/SUM($E$52:AP52),"")</f>
        <v/>
      </c>
      <c r="AQ54" s="43">
        <f>IFERROR(SUM($E$51:AQ51)/SUM($E$52:AQ52),"")</f>
        <v/>
      </c>
      <c r="AR54" s="43">
        <f>IFERROR(SUM($E$51:AR51)/SUM($E$52:AR52),"")</f>
        <v/>
      </c>
      <c r="AS54" s="43">
        <f>IFERROR(SUM($E$51:AS51)/SUM($E$52:AS52),"")</f>
        <v/>
      </c>
      <c r="AT54" s="43">
        <f>IFERROR(SUM($E$51:AT51)/SUM($E$52:AT52),"")</f>
        <v/>
      </c>
      <c r="AU54" s="43">
        <f>IFERROR(SUM($E$51:AU51)/SUM($E$52:AU52),"")</f>
        <v/>
      </c>
      <c r="AV54" s="43">
        <f>IFERROR(SUM($E$51:AV51)/SUM($E$52:AV52),"")</f>
        <v/>
      </c>
      <c r="AW54" s="43">
        <f>IFERROR(SUM($E$51:AW51)/SUM($E$52:AW52),"")</f>
        <v/>
      </c>
      <c r="AX54" s="43">
        <f>IFERROR(SUM($E$51:AX51)/SUM($E$52:AX52),"")</f>
        <v/>
      </c>
      <c r="AY54" s="43">
        <f>IFERROR(SUM($E$51:AY51)/SUM($E$52:AY52),"")</f>
        <v/>
      </c>
      <c r="AZ54" s="43">
        <f>IFERROR(SUM($E$51:AZ51)/SUM($E$52:AZ52),"")</f>
        <v/>
      </c>
      <c r="BA54" s="43">
        <f>IFERROR(SUM($E$51:BA51)/SUM($E$52:BA52),"")</f>
        <v/>
      </c>
      <c r="BB54" s="43">
        <f>IFERROR(SUM($E$51:BB51)/SUM($E$52:BB52),"")</f>
        <v/>
      </c>
      <c r="BC54" s="43">
        <f>IFERROR(SUM($E$51:BC51)/SUM($E$52:BC52),"")</f>
        <v/>
      </c>
      <c r="BD54" s="43">
        <f>IFERROR(SUM($E$51:BD51)/SUM($E$52:BD52),"")</f>
        <v/>
      </c>
    </row>
    <row r="55"/>
    <row r="56">
      <c r="A56" s="1" t="inlineStr">
        <is>
          <t>Ads - DSP</t>
        </is>
      </c>
      <c r="B56" s="1" t="n"/>
      <c r="C56" s="1" t="n"/>
      <c r="D56" s="24" t="inlineStr">
        <is>
          <t>$k</t>
        </is>
      </c>
      <c r="E56" s="44" t="n">
        <v>3.54796</v>
      </c>
      <c r="F56" s="44" t="n">
        <v>5.75428</v>
      </c>
      <c r="G56" s="44" t="n">
        <v>4.30798</v>
      </c>
      <c r="H56" s="44" t="n">
        <v>5.47452</v>
      </c>
      <c r="I56" s="44" t="n">
        <v>6.75321</v>
      </c>
      <c r="J56" s="44" t="n">
        <v>8.345030000000001</v>
      </c>
      <c r="K56" s="44" t="n">
        <v>7.8492</v>
      </c>
      <c r="L56" s="44" t="n">
        <v>7.36939</v>
      </c>
      <c r="M56" s="44" t="n">
        <v>6.31522</v>
      </c>
      <c r="N56" s="44" t="n">
        <v>7.600890000000001</v>
      </c>
      <c r="O56" s="44" t="n">
        <v>7.82422</v>
      </c>
      <c r="P56" s="44" t="n">
        <v>7.56384</v>
      </c>
      <c r="Q56" s="44" t="n">
        <v>8.79857</v>
      </c>
      <c r="R56" s="44" t="n">
        <v>8.025600000000001</v>
      </c>
      <c r="S56" s="44" t="n">
        <v>9.043340000000001</v>
      </c>
      <c r="T56" s="44" t="n">
        <v>8.501959999999999</v>
      </c>
      <c r="U56" s="44" t="n">
        <v>7.87561</v>
      </c>
      <c r="V56" s="44" t="n">
        <v>6.81076</v>
      </c>
      <c r="W56" s="44" t="n">
        <v>8.074020000000001</v>
      </c>
      <c r="X56" s="44" t="n">
        <v>8.19957</v>
      </c>
      <c r="Y56" s="44" t="n">
        <v>8.184749999999999</v>
      </c>
      <c r="Z56" s="44" t="n">
        <v>7.65325</v>
      </c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  <c r="AQ56" s="44" t="n"/>
      <c r="AR56" s="44" t="n"/>
      <c r="AS56" s="44" t="n"/>
      <c r="AT56" s="44" t="n"/>
      <c r="AU56" s="44" t="n"/>
      <c r="AV56" s="44" t="n"/>
      <c r="AW56" s="44" t="n"/>
      <c r="AX56" s="44" t="n"/>
      <c r="AY56" s="44" t="n"/>
      <c r="AZ56" s="44" t="n"/>
      <c r="BA56" s="44" t="n"/>
      <c r="BB56" s="44" t="n"/>
      <c r="BC56" s="44" t="n"/>
      <c r="BD56" s="44" t="n"/>
    </row>
    <row r="57" ht="15.75" customHeight="1">
      <c r="A57" s="1" t="n"/>
      <c r="B57" s="41" t="inlineStr">
        <is>
          <t>Finance Actuals (Monthly)</t>
        </is>
      </c>
      <c r="C57" s="1" t="n"/>
      <c r="D57" s="32" t="inlineStr">
        <is>
          <t>$k</t>
        </is>
      </c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  <c r="AQ57" s="44" t="n"/>
      <c r="AR57" s="44" t="n"/>
      <c r="AS57" s="44" t="n"/>
      <c r="AT57" s="44" t="n"/>
      <c r="AU57" s="44" t="n"/>
      <c r="AV57" s="44" t="n"/>
      <c r="AW57" s="44" t="n"/>
      <c r="AX57" s="44" t="n"/>
      <c r="AY57" s="44" t="n"/>
      <c r="AZ57" s="44" t="n"/>
      <c r="BA57" s="44" t="n"/>
      <c r="BB57" s="44" t="n"/>
      <c r="BC57" s="44" t="n"/>
      <c r="BD57" s="44" t="n"/>
    </row>
    <row r="58" ht="15.75" customHeight="1">
      <c r="B58" s="40" t="inlineStr">
        <is>
          <t>Budgeted (Monthly) - DSP</t>
        </is>
      </c>
      <c r="D58" s="10" t="inlineStr">
        <is>
          <t>$k</t>
        </is>
      </c>
      <c r="E58" s="44" t="n"/>
      <c r="F58" s="44" t="n"/>
      <c r="G58" s="44" t="n"/>
      <c r="H58" s="44" t="n">
        <v>25</v>
      </c>
      <c r="I58" s="44" t="n"/>
      <c r="J58" s="44" t="n"/>
      <c r="K58" s="44" t="n"/>
      <c r="L58" s="44" t="n">
        <v>30</v>
      </c>
      <c r="M58" s="44" t="n"/>
      <c r="N58" s="44" t="n"/>
      <c r="O58" s="44" t="n"/>
      <c r="P58" s="44" t="n"/>
      <c r="Q58" s="44" t="n">
        <v>35</v>
      </c>
      <c r="R58" s="44" t="n"/>
      <c r="S58" s="44" t="n"/>
      <c r="T58" s="44" t="n"/>
      <c r="U58" s="44" t="n">
        <v>25</v>
      </c>
      <c r="V58" s="44" t="n"/>
      <c r="W58" s="44" t="n"/>
      <c r="X58" s="44" t="n"/>
      <c r="Y58" s="44" t="n"/>
      <c r="Z58" s="44" t="n">
        <v>25</v>
      </c>
      <c r="AA58" s="44" t="n"/>
      <c r="AB58" s="44" t="n"/>
      <c r="AC58" s="44" t="n"/>
      <c r="AD58" s="44" t="n">
        <v>25</v>
      </c>
      <c r="AE58" s="44" t="n"/>
      <c r="AF58" s="44" t="n"/>
      <c r="AG58" s="44" t="n"/>
      <c r="AH58" s="44" t="n">
        <v>45</v>
      </c>
      <c r="AI58" s="44" t="n"/>
      <c r="AJ58" s="44" t="n"/>
      <c r="AK58" s="44" t="n"/>
      <c r="AL58" s="44" t="n"/>
      <c r="AM58" s="44" t="n">
        <v>25</v>
      </c>
      <c r="AN58" s="44" t="n"/>
      <c r="AO58" s="44" t="n"/>
      <c r="AP58" s="44" t="n"/>
      <c r="AQ58" s="44" t="n">
        <v>25</v>
      </c>
      <c r="AR58" s="44" t="n"/>
      <c r="AS58" s="44" t="n"/>
      <c r="AT58" s="44" t="n"/>
      <c r="AU58" s="44" t="n">
        <v>35</v>
      </c>
      <c r="AV58" s="44" t="n"/>
      <c r="AW58" s="44" t="n"/>
      <c r="AX58" s="44" t="n"/>
      <c r="AY58" s="44" t="n"/>
      <c r="AZ58" s="44" t="n">
        <v>45</v>
      </c>
      <c r="BA58" s="44" t="n"/>
      <c r="BB58" s="44" t="n"/>
      <c r="BC58" s="44" t="n"/>
      <c r="BD58" s="44" t="n">
        <v>30</v>
      </c>
    </row>
    <row r="59">
      <c r="B59" t="inlineStr">
        <is>
          <t>As % of budget - this month</t>
        </is>
      </c>
      <c r="D59" s="6" t="inlineStr">
        <is>
          <t>%</t>
        </is>
      </c>
      <c r="E59" s="43">
        <f>IFERROR(E57/E58,"")</f>
        <v/>
      </c>
      <c r="F59" s="43">
        <f>IFERROR(F57/F58,"")</f>
        <v/>
      </c>
      <c r="G59" s="43">
        <f>IFERROR(G57/G58,"")</f>
        <v/>
      </c>
      <c r="H59" s="43">
        <f>IFERROR(H57/H58,"")</f>
        <v/>
      </c>
      <c r="I59" s="43">
        <f>IFERROR(I57/I58,"")</f>
        <v/>
      </c>
      <c r="J59" s="43">
        <f>IFERROR(J57/J58,"")</f>
        <v/>
      </c>
      <c r="K59" s="43">
        <f>IFERROR(K57/K58,"")</f>
        <v/>
      </c>
      <c r="L59" s="43">
        <f>IFERROR(L57/L58,"")</f>
        <v/>
      </c>
      <c r="M59" s="43">
        <f>IFERROR(M57/M58,"")</f>
        <v/>
      </c>
      <c r="N59" s="43">
        <f>IFERROR(N57/N58,"")</f>
        <v/>
      </c>
      <c r="O59" s="43">
        <f>IFERROR(O57/O58,"")</f>
        <v/>
      </c>
      <c r="P59" s="43">
        <f>IFERROR(P57/P58,"")</f>
        <v/>
      </c>
      <c r="Q59" s="43">
        <f>IFERROR(Q57/Q58,"")</f>
        <v/>
      </c>
      <c r="R59" s="43">
        <f>IFERROR(R57/R58,"")</f>
        <v/>
      </c>
      <c r="S59" s="43">
        <f>IFERROR(S57/S58,"")</f>
        <v/>
      </c>
      <c r="T59" s="43">
        <f>IFERROR(T57/T58,"")</f>
        <v/>
      </c>
      <c r="U59" s="43">
        <f>IFERROR(U57/U58,"")</f>
        <v/>
      </c>
      <c r="V59" s="43">
        <f>IFERROR(V57/V58,"")</f>
        <v/>
      </c>
      <c r="W59" s="43">
        <f>IFERROR(W57/W58,"")</f>
        <v/>
      </c>
      <c r="X59" s="43">
        <f>IFERROR(X57/X58,"")</f>
        <v/>
      </c>
      <c r="Y59" s="43">
        <f>IFERROR(Y57/Y58,"")</f>
        <v/>
      </c>
      <c r="Z59" s="43">
        <f>IFERROR(Z57/Z58,"")</f>
        <v/>
      </c>
      <c r="AA59" s="43">
        <f>IFERROR(AA57/AA58,"")</f>
        <v/>
      </c>
      <c r="AB59" s="43">
        <f>IFERROR(AB57/AB58,"")</f>
        <v/>
      </c>
      <c r="AC59" s="43">
        <f>IFERROR(AC57/AC58,"")</f>
        <v/>
      </c>
      <c r="AD59" s="43">
        <f>IFERROR(AD57/AD58,"")</f>
        <v/>
      </c>
      <c r="AE59" s="43">
        <f>IFERROR(AE57/AE58,"")</f>
        <v/>
      </c>
      <c r="AF59" s="43">
        <f>IFERROR(AF57/AF58,"")</f>
        <v/>
      </c>
      <c r="AG59" s="43">
        <f>IFERROR(AG57/AG58,"")</f>
        <v/>
      </c>
      <c r="AH59" s="43">
        <f>IFERROR(AH57/AH58,"")</f>
        <v/>
      </c>
      <c r="AI59" s="43">
        <f>IFERROR(AI57/AI58,"")</f>
        <v/>
      </c>
      <c r="AJ59" s="43">
        <f>IFERROR(AJ57/AJ58,"")</f>
        <v/>
      </c>
      <c r="AK59" s="43">
        <f>IFERROR(AK57/AK58,"")</f>
        <v/>
      </c>
      <c r="AL59" s="43">
        <f>IFERROR(AL57/AL58,"")</f>
        <v/>
      </c>
      <c r="AM59" s="43">
        <f>IFERROR(AM57/AM58,"")</f>
        <v/>
      </c>
      <c r="AN59" s="43">
        <f>IFERROR(AN57/AN58,"")</f>
        <v/>
      </c>
      <c r="AO59" s="43">
        <f>IFERROR(AO57/AO58,"")</f>
        <v/>
      </c>
      <c r="AP59" s="43">
        <f>IFERROR(AP57/AP58,"")</f>
        <v/>
      </c>
      <c r="AQ59" s="43">
        <f>IFERROR(AQ57/AQ58,"")</f>
        <v/>
      </c>
      <c r="AR59" s="43">
        <f>IFERROR(AR57/AR58,"")</f>
        <v/>
      </c>
      <c r="AS59" s="43">
        <f>IFERROR(AS57/AS58,"")</f>
        <v/>
      </c>
      <c r="AT59" s="43">
        <f>IFERROR(AT57/AT58,"")</f>
        <v/>
      </c>
      <c r="AU59" s="43">
        <f>IFERROR(AU57/AU58,"")</f>
        <v/>
      </c>
      <c r="AV59" s="43">
        <f>IFERROR(AV57/AV58,"")</f>
        <v/>
      </c>
      <c r="AW59" s="43">
        <f>IFERROR(AW57/AW58,"")</f>
        <v/>
      </c>
      <c r="AX59" s="43">
        <f>IFERROR(AX57/AX58,"")</f>
        <v/>
      </c>
      <c r="AY59" s="43">
        <f>IFERROR(AY57/AY58,"")</f>
        <v/>
      </c>
      <c r="AZ59" s="43">
        <f>IFERROR(AZ57/AZ58,"")</f>
        <v/>
      </c>
      <c r="BA59" s="43">
        <f>IFERROR(BA57/BA58,"")</f>
        <v/>
      </c>
      <c r="BB59" s="43">
        <f>IFERROR(BB57/BB58,"")</f>
        <v/>
      </c>
      <c r="BC59" s="43">
        <f>IFERROR(BC57/BC58,"")</f>
        <v/>
      </c>
      <c r="BD59" s="43">
        <f>IFERROR(BD57/BD58,"")</f>
        <v/>
      </c>
    </row>
    <row r="60">
      <c r="B60" t="inlineStr">
        <is>
          <t>As % of budget - YTD</t>
        </is>
      </c>
      <c r="D60" s="6" t="inlineStr">
        <is>
          <t>%</t>
        </is>
      </c>
      <c r="E60" s="43">
        <f>IFERROR(SUM($E$57:E57)/SUM($E$58:E58),"")</f>
        <v/>
      </c>
      <c r="F60" s="43">
        <f>IFERROR(SUM($E$57:F57)/SUM($E$58:F58),"")</f>
        <v/>
      </c>
      <c r="G60" s="43">
        <f>IFERROR(SUM($E$57:G57)/SUM($E$58:G58),"")</f>
        <v/>
      </c>
      <c r="H60" s="43">
        <f>IFERROR(SUM($E$57:H57)/SUM($E$58:H58),"")</f>
        <v/>
      </c>
      <c r="I60" s="43">
        <f>IFERROR(SUM($E$57:I57)/SUM($E$58:I58),"")</f>
        <v/>
      </c>
      <c r="J60" s="43">
        <f>IFERROR(SUM($E$57:J57)/SUM($E$58:J58),"")</f>
        <v/>
      </c>
      <c r="K60" s="43">
        <f>IFERROR(SUM($E$57:K57)/SUM($E$58:K58),"")</f>
        <v/>
      </c>
      <c r="L60" s="43">
        <f>IFERROR(SUM($E$57:L57)/SUM($E$58:L58),"")</f>
        <v/>
      </c>
      <c r="M60" s="43">
        <f>IFERROR(SUM($E$57:M57)/SUM($E$58:M58),"")</f>
        <v/>
      </c>
      <c r="N60" s="43">
        <f>IFERROR(SUM($E$57:N57)/SUM($E$58:N58),"")</f>
        <v/>
      </c>
      <c r="O60" s="43">
        <f>IFERROR(SUM($E$57:O57)/SUM($E$58:O58),"")</f>
        <v/>
      </c>
      <c r="P60" s="43">
        <f>IFERROR(SUM($E$57:P57)/SUM($E$58:P58),"")</f>
        <v/>
      </c>
      <c r="Q60" s="43">
        <f>IFERROR(SUM($E$57:Q57)/SUM($E$58:Q58),"")</f>
        <v/>
      </c>
      <c r="R60" s="43">
        <f>IFERROR(SUM($E$57:R57)/SUM($E$58:R58),"")</f>
        <v/>
      </c>
      <c r="S60" s="43">
        <f>IFERROR(SUM($E$57:S57)/SUM($E$58:S58),"")</f>
        <v/>
      </c>
      <c r="T60" s="43">
        <f>IFERROR(SUM($E$57:T57)/SUM($E$58:T58),"")</f>
        <v/>
      </c>
      <c r="U60" s="43">
        <f>IFERROR(SUM($E$57:U57)/SUM($E$58:U58),"")</f>
        <v/>
      </c>
      <c r="V60" s="43">
        <f>IFERROR(SUM($E$57:V57)/SUM($E$58:V58),"")</f>
        <v/>
      </c>
      <c r="W60" s="43">
        <f>IFERROR(SUM($E$57:W57)/SUM($E$58:W58),"")</f>
        <v/>
      </c>
      <c r="X60" s="43">
        <f>IFERROR(SUM($E$57:X57)/SUM($E$58:X58),"")</f>
        <v/>
      </c>
      <c r="Y60" s="43">
        <f>IFERROR(SUM($E$57:Y57)/SUM($E$58:Y58),"")</f>
        <v/>
      </c>
      <c r="Z60" s="43">
        <f>IFERROR(SUM($E$57:Z57)/SUM($E$58:Z58),"")</f>
        <v/>
      </c>
      <c r="AA60" s="43">
        <f>IFERROR(SUM($E$57:AA57)/SUM($E$58:AA58),"")</f>
        <v/>
      </c>
      <c r="AB60" s="43">
        <f>IFERROR(SUM($E$57:AB57)/SUM($E$58:AB58),"")</f>
        <v/>
      </c>
      <c r="AC60" s="43">
        <f>IFERROR(SUM($E$57:AC57)/SUM($E$58:AC58),"")</f>
        <v/>
      </c>
      <c r="AD60" s="43">
        <f>IFERROR(SUM($E$57:AD57)/SUM($E$58:AD58),"")</f>
        <v/>
      </c>
      <c r="AE60" s="43">
        <f>IFERROR(SUM($E$57:AE57)/SUM($E$58:AE58),"")</f>
        <v/>
      </c>
      <c r="AF60" s="43">
        <f>IFERROR(SUM($E$57:AF57)/SUM($E$58:AF58),"")</f>
        <v/>
      </c>
      <c r="AG60" s="43">
        <f>IFERROR(SUM($E$57:AG57)/SUM($E$58:AG58),"")</f>
        <v/>
      </c>
      <c r="AH60" s="43">
        <f>IFERROR(SUM($E$57:AH57)/SUM($E$58:AH58),"")</f>
        <v/>
      </c>
      <c r="AI60" s="43">
        <f>IFERROR(SUM($E$57:AI57)/SUM($E$58:AI58),"")</f>
        <v/>
      </c>
      <c r="AJ60" s="43">
        <f>IFERROR(SUM($E$57:AJ57)/SUM($E$58:AJ58),"")</f>
        <v/>
      </c>
      <c r="AK60" s="43">
        <f>IFERROR(SUM($E$57:AK57)/SUM($E$58:AK58),"")</f>
        <v/>
      </c>
      <c r="AL60" s="43">
        <f>IFERROR(SUM($E$57:AL57)/SUM($E$58:AL58),"")</f>
        <v/>
      </c>
      <c r="AM60" s="43">
        <f>IFERROR(SUM($E$57:AM57)/SUM($E$58:AM58),"")</f>
        <v/>
      </c>
      <c r="AN60" s="43">
        <f>IFERROR(SUM($E$57:AN57)/SUM($E$58:AN58),"")</f>
        <v/>
      </c>
      <c r="AO60" s="43">
        <f>IFERROR(SUM($E$57:AO57)/SUM($E$58:AO58),"")</f>
        <v/>
      </c>
      <c r="AP60" s="43">
        <f>IFERROR(SUM($E$57:AP57)/SUM($E$58:AP58),"")</f>
        <v/>
      </c>
      <c r="AQ60" s="43">
        <f>IFERROR(SUM($E$57:AQ57)/SUM($E$58:AQ58),"")</f>
        <v/>
      </c>
      <c r="AR60" s="43">
        <f>IFERROR(SUM($E$57:AR57)/SUM($E$58:AR58),"")</f>
        <v/>
      </c>
      <c r="AS60" s="43">
        <f>IFERROR(SUM($E$57:AS57)/SUM($E$58:AS58),"")</f>
        <v/>
      </c>
      <c r="AT60" s="43">
        <f>IFERROR(SUM($E$57:AT57)/SUM($E$58:AT58),"")</f>
        <v/>
      </c>
      <c r="AU60" s="43">
        <f>IFERROR(SUM($E$57:AU57)/SUM($E$58:AU58),"")</f>
        <v/>
      </c>
      <c r="AV60" s="43">
        <f>IFERROR(SUM($E$57:AV57)/SUM($E$58:AV58),"")</f>
        <v/>
      </c>
      <c r="AW60" s="43">
        <f>IFERROR(SUM($E$57:AW57)/SUM($E$58:AW58),"")</f>
        <v/>
      </c>
      <c r="AX60" s="43">
        <f>IFERROR(SUM($E$57:AX57)/SUM($E$58:AX58),"")</f>
        <v/>
      </c>
      <c r="AY60" s="43">
        <f>IFERROR(SUM($E$57:AY57)/SUM($E$58:AY58),"")</f>
        <v/>
      </c>
      <c r="AZ60" s="43">
        <f>IFERROR(SUM($E$57:AZ57)/SUM($E$58:AZ58),"")</f>
        <v/>
      </c>
      <c r="BA60" s="43">
        <f>IFERROR(SUM($E$57:BA57)/SUM($E$58:BA58),"")</f>
        <v/>
      </c>
      <c r="BB60" s="43">
        <f>IFERROR(SUM($E$57:BB57)/SUM($E$58:BB58),"")</f>
        <v/>
      </c>
      <c r="BC60" s="43">
        <f>IFERROR(SUM($E$57:BC57)/SUM($E$58:BC58),"")</f>
        <v/>
      </c>
      <c r="BD60" s="43">
        <f>IFERROR(SUM($E$57:BD57)/SUM($E$58:BD58),"")</f>
        <v/>
      </c>
    </row>
    <row r="61"/>
    <row r="62" customFormat="1" s="1">
      <c r="A62" s="1" t="inlineStr">
        <is>
          <t>Ads (On-site + DSP)</t>
        </is>
      </c>
      <c r="D62" s="24" t="inlineStr">
        <is>
          <t>$k</t>
        </is>
      </c>
      <c r="E62" s="44">
        <f>E50+E56</f>
        <v/>
      </c>
      <c r="F62" s="44">
        <f>F50+F56</f>
        <v/>
      </c>
      <c r="G62" s="44">
        <f>G50+G56</f>
        <v/>
      </c>
      <c r="H62" s="44">
        <f>H50+H56</f>
        <v/>
      </c>
      <c r="I62" s="44">
        <f>I50+I56</f>
        <v/>
      </c>
      <c r="J62" s="44">
        <f>J50+J56</f>
        <v/>
      </c>
      <c r="K62" s="44">
        <f>K50+K56</f>
        <v/>
      </c>
      <c r="L62" s="44">
        <f>L50+L56</f>
        <v/>
      </c>
      <c r="M62" s="44">
        <f>M50+M56</f>
        <v/>
      </c>
      <c r="N62" s="44">
        <f>N50+N56</f>
        <v/>
      </c>
      <c r="O62" s="44">
        <f>O50+O56</f>
        <v/>
      </c>
      <c r="P62" s="44">
        <f>P50+P56</f>
        <v/>
      </c>
      <c r="Q62" s="44">
        <f>Q50+Q56</f>
        <v/>
      </c>
      <c r="R62" s="44">
        <f>R50+R56</f>
        <v/>
      </c>
      <c r="S62" s="44">
        <f>S50+S56</f>
        <v/>
      </c>
      <c r="T62" s="44">
        <f>T50+T56</f>
        <v/>
      </c>
      <c r="U62" s="44">
        <f>U50+U56</f>
        <v/>
      </c>
      <c r="V62" s="44">
        <f>V50+V56</f>
        <v/>
      </c>
      <c r="W62" s="44">
        <f>W50+W56</f>
        <v/>
      </c>
      <c r="X62" s="44">
        <f>X50+X56</f>
        <v/>
      </c>
      <c r="Y62" s="44">
        <f>Y50+Y56</f>
        <v/>
      </c>
      <c r="Z62" s="44">
        <f>Z50+Z56</f>
        <v/>
      </c>
      <c r="AA62" s="44" t="n"/>
      <c r="AB62" s="44" t="n"/>
      <c r="AC62" s="44" t="n"/>
      <c r="AD62" s="44" t="n"/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  <c r="AQ62" s="44" t="n"/>
      <c r="AR62" s="44" t="n"/>
      <c r="AS62" s="44" t="n"/>
      <c r="AT62" s="44" t="n"/>
      <c r="AU62" s="44" t="n"/>
      <c r="AV62" s="44" t="n"/>
      <c r="AW62" s="44" t="n"/>
      <c r="AX62" s="44" t="n"/>
      <c r="AY62" s="44" t="n"/>
      <c r="AZ62" s="44" t="n"/>
      <c r="BA62" s="44" t="n"/>
      <c r="BB62" s="44" t="n"/>
      <c r="BC62" s="44" t="n"/>
      <c r="BD62" s="44" t="n"/>
    </row>
    <row r="63" ht="15.75" customFormat="1" customHeight="1" s="1">
      <c r="B63" s="41" t="inlineStr">
        <is>
          <t>Finance Actuals (Monthly)</t>
        </is>
      </c>
      <c r="D63" s="32" t="inlineStr">
        <is>
          <t>$k</t>
        </is>
      </c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  <c r="AQ63" s="44" t="n"/>
      <c r="AR63" s="44" t="n"/>
      <c r="AS63" s="44" t="n"/>
      <c r="AT63" s="44" t="n"/>
      <c r="AU63" s="44" t="n"/>
      <c r="AV63" s="44" t="n"/>
      <c r="AW63" s="44" t="n"/>
      <c r="AX63" s="44" t="n"/>
      <c r="AY63" s="44" t="n"/>
      <c r="AZ63" s="44" t="n"/>
      <c r="BA63" s="44" t="n"/>
      <c r="BB63" s="44" t="n"/>
      <c r="BC63" s="44" t="n"/>
      <c r="BD63" s="44" t="n"/>
    </row>
    <row r="64" ht="15.75" customHeight="1">
      <c r="B64" s="40" t="inlineStr">
        <is>
          <t>Budgeted (Monthly)</t>
        </is>
      </c>
      <c r="D64" s="10" t="inlineStr">
        <is>
          <t>$k</t>
        </is>
      </c>
      <c r="E64" s="44" t="n"/>
      <c r="F64" s="44" t="n"/>
      <c r="G64" s="44" t="n"/>
      <c r="H64" s="44" t="n">
        <v>189.137</v>
      </c>
      <c r="I64" s="44" t="n"/>
      <c r="J64" s="44" t="n"/>
      <c r="K64" s="44" t="n"/>
      <c r="L64" s="44" t="n">
        <v>161.311</v>
      </c>
      <c r="M64" s="44" t="n"/>
      <c r="N64" s="44" t="n"/>
      <c r="O64" s="44" t="n"/>
      <c r="P64" s="44" t="n"/>
      <c r="Q64" s="44" t="n">
        <v>180.379</v>
      </c>
      <c r="R64" s="44" t="n"/>
      <c r="S64" s="44" t="n"/>
      <c r="T64" s="44" t="n"/>
      <c r="U64" s="44" t="n">
        <v>165.688</v>
      </c>
      <c r="V64" s="44" t="n"/>
      <c r="W64" s="44" t="n"/>
      <c r="X64" s="44" t="n"/>
      <c r="Y64" s="44" t="n"/>
      <c r="Z64" s="44" t="n">
        <v>175.039</v>
      </c>
      <c r="AA64" s="44" t="n"/>
      <c r="AB64" s="44" t="n"/>
      <c r="AC64" s="44" t="n"/>
      <c r="AD64" s="44" t="n">
        <v>170.509</v>
      </c>
      <c r="AE64" s="44" t="n"/>
      <c r="AF64" s="44" t="n"/>
      <c r="AG64" s="44" t="n"/>
      <c r="AH64" s="44" t="n">
        <v>195.36</v>
      </c>
      <c r="AI64" s="44" t="n"/>
      <c r="AJ64" s="44" t="n"/>
      <c r="AK64" s="44" t="n"/>
      <c r="AL64" s="44" t="n"/>
      <c r="AM64" s="44" t="n">
        <v>176.359</v>
      </c>
      <c r="AN64" s="44" t="n"/>
      <c r="AO64" s="44" t="n"/>
      <c r="AP64" s="44" t="n"/>
      <c r="AQ64" s="44" t="n">
        <v>185.507</v>
      </c>
      <c r="AR64" s="44" t="n"/>
      <c r="AS64" s="44" t="n"/>
      <c r="AT64" s="44" t="n"/>
      <c r="AU64" s="44" t="n">
        <v>200.857</v>
      </c>
      <c r="AV64" s="44" t="n"/>
      <c r="AW64" s="44" t="n"/>
      <c r="AX64" s="44" t="n"/>
      <c r="AY64" s="44" t="n"/>
      <c r="AZ64" s="44" t="n">
        <v>205.507</v>
      </c>
      <c r="BA64" s="44" t="n"/>
      <c r="BB64" s="44" t="n"/>
      <c r="BC64" s="44" t="n"/>
      <c r="BD64" s="44" t="n">
        <v>169.107</v>
      </c>
    </row>
    <row r="65">
      <c r="B65" t="inlineStr">
        <is>
          <t>As % of budget - this month</t>
        </is>
      </c>
      <c r="D65" s="6" t="inlineStr">
        <is>
          <t>%</t>
        </is>
      </c>
      <c r="E65" s="43">
        <f>IFERROR(E63/E64,"")</f>
        <v/>
      </c>
      <c r="F65" s="43">
        <f>IFERROR(F63/F64,"")</f>
        <v/>
      </c>
      <c r="G65" s="43">
        <f>IFERROR(G63/G64,"")</f>
        <v/>
      </c>
      <c r="H65" s="43">
        <f>IFERROR(H63/H64,"")</f>
        <v/>
      </c>
      <c r="I65" s="43">
        <f>IFERROR(I63/I64,"")</f>
        <v/>
      </c>
      <c r="J65" s="43">
        <f>IFERROR(J63/J64,"")</f>
        <v/>
      </c>
      <c r="K65" s="43">
        <f>IFERROR(K63/K64,"")</f>
        <v/>
      </c>
      <c r="L65" s="43">
        <f>IFERROR(L63/L64,"")</f>
        <v/>
      </c>
      <c r="M65" s="43">
        <f>IFERROR(M63/M64,"")</f>
        <v/>
      </c>
      <c r="N65" s="43">
        <f>IFERROR(N63/N64,"")</f>
        <v/>
      </c>
      <c r="O65" s="43">
        <f>IFERROR(O63/O64,"")</f>
        <v/>
      </c>
      <c r="P65" s="43">
        <f>IFERROR(P63/P64,"")</f>
        <v/>
      </c>
      <c r="Q65" s="43">
        <f>IFERROR(Q63/Q64,"")</f>
        <v/>
      </c>
      <c r="R65" s="43">
        <f>IFERROR(R63/R64,"")</f>
        <v/>
      </c>
      <c r="S65" s="43">
        <f>IFERROR(S63/S64,"")</f>
        <v/>
      </c>
      <c r="T65" s="43">
        <f>IFERROR(T63/T64,"")</f>
        <v/>
      </c>
      <c r="U65" s="43">
        <f>IFERROR(U63/U64,"")</f>
        <v/>
      </c>
      <c r="V65" s="43">
        <f>IFERROR(V63/V64,"")</f>
        <v/>
      </c>
      <c r="W65" s="43">
        <f>IFERROR(W63/W64,"")</f>
        <v/>
      </c>
      <c r="X65" s="43">
        <f>IFERROR(X63/X64,"")</f>
        <v/>
      </c>
      <c r="Y65" s="43">
        <f>IFERROR(Y63/Y64,"")</f>
        <v/>
      </c>
      <c r="Z65" s="43">
        <f>IFERROR(Z63/Z64,"")</f>
        <v/>
      </c>
      <c r="AA65" s="43">
        <f>IFERROR(AA63/AA64,"")</f>
        <v/>
      </c>
      <c r="AB65" s="43">
        <f>IFERROR(AB63/AB64,"")</f>
        <v/>
      </c>
      <c r="AC65" s="43">
        <f>IFERROR(AC63/AC64,"")</f>
        <v/>
      </c>
      <c r="AD65" s="43">
        <f>IFERROR(AD63/AD64,"")</f>
        <v/>
      </c>
      <c r="AE65" s="43">
        <f>IFERROR(AE63/AE64,"")</f>
        <v/>
      </c>
      <c r="AF65" s="43">
        <f>IFERROR(AF63/AF64,"")</f>
        <v/>
      </c>
      <c r="AG65" s="43">
        <f>IFERROR(AG63/AG64,"")</f>
        <v/>
      </c>
      <c r="AH65" s="43">
        <f>IFERROR(AH63/AH64,"")</f>
        <v/>
      </c>
      <c r="AI65" s="43">
        <f>IFERROR(AI63/AI64,"")</f>
        <v/>
      </c>
      <c r="AJ65" s="43">
        <f>IFERROR(AJ63/AJ64,"")</f>
        <v/>
      </c>
      <c r="AK65" s="43">
        <f>IFERROR(AK63/AK64,"")</f>
        <v/>
      </c>
      <c r="AL65" s="43">
        <f>IFERROR(AL63/AL64,"")</f>
        <v/>
      </c>
      <c r="AM65" s="43">
        <f>IFERROR(AM63/AM64,"")</f>
        <v/>
      </c>
      <c r="AN65" s="43">
        <f>IFERROR(AN63/AN64,"")</f>
        <v/>
      </c>
      <c r="AO65" s="43">
        <f>IFERROR(AO63/AO64,"")</f>
        <v/>
      </c>
      <c r="AP65" s="43">
        <f>IFERROR(AP63/AP64,"")</f>
        <v/>
      </c>
      <c r="AQ65" s="43">
        <f>IFERROR(AQ63/AQ64,"")</f>
        <v/>
      </c>
      <c r="AR65" s="43">
        <f>IFERROR(AR63/AR64,"")</f>
        <v/>
      </c>
      <c r="AS65" s="43">
        <f>IFERROR(AS63/AS64,"")</f>
        <v/>
      </c>
      <c r="AT65" s="43">
        <f>IFERROR(AT63/AT64,"")</f>
        <v/>
      </c>
      <c r="AU65" s="43">
        <f>IFERROR(AU63/AU64,"")</f>
        <v/>
      </c>
      <c r="AV65" s="43">
        <f>IFERROR(AV63/AV64,"")</f>
        <v/>
      </c>
      <c r="AW65" s="43">
        <f>IFERROR(AW63/AW64,"")</f>
        <v/>
      </c>
      <c r="AX65" s="43">
        <f>IFERROR(AX63/AX64,"")</f>
        <v/>
      </c>
      <c r="AY65" s="43">
        <f>IFERROR(AY63/AY64,"")</f>
        <v/>
      </c>
      <c r="AZ65" s="43">
        <f>IFERROR(AZ63/AZ64,"")</f>
        <v/>
      </c>
      <c r="BA65" s="43">
        <f>IFERROR(BA63/BA64,"")</f>
        <v/>
      </c>
      <c r="BB65" s="43">
        <f>IFERROR(BB63/BB64,"")</f>
        <v/>
      </c>
      <c r="BC65" s="43">
        <f>IFERROR(BC63/BC64,"")</f>
        <v/>
      </c>
      <c r="BD65" s="43">
        <f>IFERROR(BD63/BD64,"")</f>
        <v/>
      </c>
    </row>
    <row r="66">
      <c r="B66" t="inlineStr">
        <is>
          <t>As % of budget - YTD</t>
        </is>
      </c>
      <c r="D66" s="6" t="inlineStr">
        <is>
          <t>%</t>
        </is>
      </c>
      <c r="E66" s="43">
        <f>IFERROR(SUM($E$63:E63)/SUM($E$64:E64),"")</f>
        <v/>
      </c>
      <c r="F66" s="43">
        <f>IFERROR(SUM($E$63:F63)/SUM($E$64:F64),"")</f>
        <v/>
      </c>
      <c r="G66" s="43">
        <f>IFERROR(SUM($E$63:G63)/SUM($E$64:G64),"")</f>
        <v/>
      </c>
      <c r="H66" s="43">
        <f>IFERROR(SUM($E$63:H63)/SUM($E$64:H64),"")</f>
        <v/>
      </c>
      <c r="I66" s="43">
        <f>IFERROR(SUM($E$63:I63)/SUM($E$64:I64),"")</f>
        <v/>
      </c>
      <c r="J66" s="43">
        <f>IFERROR(SUM($E$63:J63)/SUM($E$64:J64),"")</f>
        <v/>
      </c>
      <c r="K66" s="43">
        <f>IFERROR(SUM($E$63:K63)/SUM($E$64:K64),"")</f>
        <v/>
      </c>
      <c r="L66" s="43">
        <f>IFERROR(SUM($E$63:L63)/SUM($E$64:L64),"")</f>
        <v/>
      </c>
      <c r="M66" s="43">
        <f>IFERROR(SUM($E$63:M63)/SUM($E$64:M64),"")</f>
        <v/>
      </c>
      <c r="N66" s="43">
        <f>IFERROR(SUM($E$63:N63)/SUM($E$64:N64),"")</f>
        <v/>
      </c>
      <c r="O66" s="43">
        <f>IFERROR(SUM($E$63:O63)/SUM($E$64:O64),"")</f>
        <v/>
      </c>
      <c r="P66" s="43">
        <f>IFERROR(SUM($E$63:P63)/SUM($E$64:P64),"")</f>
        <v/>
      </c>
      <c r="Q66" s="43">
        <f>IFERROR(SUM($E$63:Q63)/SUM($E$64:Q64),"")</f>
        <v/>
      </c>
      <c r="R66" s="43">
        <f>IFERROR(SUM($E$63:R63)/SUM($E$64:R64),"")</f>
        <v/>
      </c>
      <c r="S66" s="43">
        <f>IFERROR(SUM($E$63:S63)/SUM($E$64:S64),"")</f>
        <v/>
      </c>
      <c r="T66" s="43">
        <f>IFERROR(SUM($E$63:T63)/SUM($E$64:T64),"")</f>
        <v/>
      </c>
      <c r="U66" s="43">
        <f>IFERROR(SUM($E$63:U63)/SUM($E$64:U64),"")</f>
        <v/>
      </c>
      <c r="V66" s="43">
        <f>IFERROR(SUM($E$63:V63)/SUM($E$64:V64),"")</f>
        <v/>
      </c>
      <c r="W66" s="43">
        <f>IFERROR(SUM($E$63:W63)/SUM($E$64:W64),"")</f>
        <v/>
      </c>
      <c r="X66" s="43">
        <f>IFERROR(SUM($E$63:X63)/SUM($E$64:X64),"")</f>
        <v/>
      </c>
      <c r="Y66" s="43">
        <f>IFERROR(SUM($E$63:Y63)/SUM($E$64:Y64),"")</f>
        <v/>
      </c>
      <c r="Z66" s="43">
        <f>IFERROR(SUM($E$63:Z63)/SUM($E$64:Z64),"")</f>
        <v/>
      </c>
      <c r="AA66" s="43">
        <f>IFERROR(SUM($E$63:AA63)/SUM($E$64:AA64),"")</f>
        <v/>
      </c>
      <c r="AB66" s="43">
        <f>IFERROR(SUM($E$63:AB63)/SUM($E$64:AB64),"")</f>
        <v/>
      </c>
      <c r="AC66" s="43">
        <f>IFERROR(SUM($E$63:AC63)/SUM($E$64:AC64),"")</f>
        <v/>
      </c>
      <c r="AD66" s="43">
        <f>IFERROR(SUM($E$63:AD63)/SUM($E$64:AD64),"")</f>
        <v/>
      </c>
      <c r="AE66" s="43">
        <f>IFERROR(SUM($E$63:AE63)/SUM($E$64:AE64),"")</f>
        <v/>
      </c>
      <c r="AF66" s="43">
        <f>IFERROR(SUM($E$63:AF63)/SUM($E$64:AF64),"")</f>
        <v/>
      </c>
      <c r="AG66" s="43">
        <f>IFERROR(SUM($E$63:AG63)/SUM($E$64:AG64),"")</f>
        <v/>
      </c>
      <c r="AH66" s="43">
        <f>IFERROR(SUM($E$63:AH63)/SUM($E$64:AH64),"")</f>
        <v/>
      </c>
      <c r="AI66" s="43">
        <f>IFERROR(SUM($E$63:AI63)/SUM($E$64:AI64),"")</f>
        <v/>
      </c>
      <c r="AJ66" s="43">
        <f>IFERROR(SUM($E$63:AJ63)/SUM($E$64:AJ64),"")</f>
        <v/>
      </c>
      <c r="AK66" s="43">
        <f>IFERROR(SUM($E$63:AK63)/SUM($E$64:AK64),"")</f>
        <v/>
      </c>
      <c r="AL66" s="43">
        <f>IFERROR(SUM($E$63:AL63)/SUM($E$64:AL64),"")</f>
        <v/>
      </c>
      <c r="AM66" s="43">
        <f>IFERROR(SUM($E$63:AM63)/SUM($E$64:AM64),"")</f>
        <v/>
      </c>
      <c r="AN66" s="43">
        <f>IFERROR(SUM($E$63:AN63)/SUM($E$64:AN64),"")</f>
        <v/>
      </c>
      <c r="AO66" s="43">
        <f>IFERROR(SUM($E$63:AO63)/SUM($E$64:AO64),"")</f>
        <v/>
      </c>
      <c r="AP66" s="43">
        <f>IFERROR(SUM($E$63:AP63)/SUM($E$64:AP64),"")</f>
        <v/>
      </c>
      <c r="AQ66" s="43">
        <f>IFERROR(SUM($E$63:AQ63)/SUM($E$64:AQ64),"")</f>
        <v/>
      </c>
      <c r="AR66" s="43">
        <f>IFERROR(SUM($E$63:AR63)/SUM($E$64:AR64),"")</f>
        <v/>
      </c>
      <c r="AS66" s="43">
        <f>IFERROR(SUM($E$63:AS63)/SUM($E$64:AS64),"")</f>
        <v/>
      </c>
      <c r="AT66" s="43">
        <f>IFERROR(SUM($E$63:AT63)/SUM($E$64:AT64),"")</f>
        <v/>
      </c>
      <c r="AU66" s="43">
        <f>IFERROR(SUM($E$63:AU63)/SUM($E$64:AU64),"")</f>
        <v/>
      </c>
      <c r="AV66" s="43">
        <f>IFERROR(SUM($E$63:AV63)/SUM($E$64:AV64),"")</f>
        <v/>
      </c>
      <c r="AW66" s="43">
        <f>IFERROR(SUM($E$63:AW63)/SUM($E$64:AW64),"")</f>
        <v/>
      </c>
      <c r="AX66" s="43">
        <f>IFERROR(SUM($E$63:AX63)/SUM($E$64:AX64),"")</f>
        <v/>
      </c>
      <c r="AY66" s="43">
        <f>IFERROR(SUM($E$63:AY63)/SUM($E$64:AY64),"")</f>
        <v/>
      </c>
      <c r="AZ66" s="43">
        <f>IFERROR(SUM($E$63:AZ63)/SUM($E$64:AZ64),"")</f>
        <v/>
      </c>
      <c r="BA66" s="43">
        <f>IFERROR(SUM($E$63:BA63)/SUM($E$64:BA64),"")</f>
        <v/>
      </c>
      <c r="BB66" s="43">
        <f>IFERROR(SUM($E$63:BB63)/SUM($E$64:BB64),"")</f>
        <v/>
      </c>
      <c r="BC66" s="43">
        <f>IFERROR(SUM($E$63:BC63)/SUM($E$64:BC64),"")</f>
        <v/>
      </c>
      <c r="BD66" s="43">
        <f>IFERROR(SUM($E$63:BD63)/SUM($E$64:BD64),"")</f>
        <v/>
      </c>
    </row>
    <row r="67"/>
    <row r="68" ht="15.75" customFormat="1" customHeight="1" s="1">
      <c r="A68" s="1" t="inlineStr">
        <is>
          <t>Other Marketing</t>
        </is>
      </c>
      <c r="D68" s="24" t="inlineStr">
        <is>
          <t>$k</t>
        </is>
      </c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  <c r="AQ68" s="44" t="n"/>
      <c r="AR68" s="44" t="n"/>
      <c r="AS68" s="44" t="n"/>
      <c r="AT68" s="44" t="n"/>
      <c r="AU68" s="44" t="n"/>
      <c r="AV68" s="44" t="n"/>
      <c r="AW68" s="44" t="n"/>
      <c r="AX68" s="44" t="n"/>
      <c r="AY68" s="44" t="n"/>
      <c r="AZ68" s="44" t="n"/>
      <c r="BA68" s="44" t="n"/>
      <c r="BB68" s="44" t="n"/>
      <c r="BC68" s="44" t="n"/>
      <c r="BD68" s="44" t="n"/>
    </row>
    <row r="69" ht="15.75" customFormat="1" customHeight="1" s="1">
      <c r="B69" s="41" t="inlineStr">
        <is>
          <t>Finance Actuals (Monthly)</t>
        </is>
      </c>
      <c r="D69" s="32" t="inlineStr">
        <is>
          <t>$k</t>
        </is>
      </c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  <c r="AQ69" s="44" t="n"/>
      <c r="AR69" s="44" t="n"/>
      <c r="AS69" s="44" t="n"/>
      <c r="AT69" s="44" t="n"/>
      <c r="AU69" s="44" t="n"/>
      <c r="AV69" s="44" t="n"/>
      <c r="AW69" s="44" t="n"/>
      <c r="AX69" s="44" t="n"/>
      <c r="AY69" s="44" t="n"/>
      <c r="AZ69" s="44" t="n"/>
      <c r="BA69" s="44" t="n"/>
      <c r="BB69" s="44" t="n"/>
      <c r="BC69" s="44" t="n"/>
      <c r="BD69" s="44" t="n"/>
    </row>
    <row r="70" ht="15.75" customHeight="1">
      <c r="B70" s="40" t="inlineStr">
        <is>
          <t>Budgeted (Monthly)</t>
        </is>
      </c>
      <c r="D70" s="10" t="inlineStr">
        <is>
          <t>$k</t>
        </is>
      </c>
      <c r="E70" s="44" t="n"/>
      <c r="F70" s="44" t="n"/>
      <c r="G70" s="44" t="n"/>
      <c r="H70" s="44" t="n">
        <v>134.6666666666667</v>
      </c>
      <c r="I70" s="44" t="n"/>
      <c r="J70" s="44" t="n"/>
      <c r="K70" s="44" t="n"/>
      <c r="L70" s="44" t="n">
        <v>136.8306666666666</v>
      </c>
      <c r="M70" s="44" t="n"/>
      <c r="N70" s="44" t="n"/>
      <c r="O70" s="44" t="n"/>
      <c r="P70" s="44" t="n"/>
      <c r="Q70" s="44" t="n">
        <v>145.3910666666667</v>
      </c>
      <c r="R70" s="44" t="n"/>
      <c r="S70" s="44" t="n"/>
      <c r="T70" s="44" t="n"/>
      <c r="U70" s="44" t="n">
        <v>386.3749954442227</v>
      </c>
      <c r="V70" s="44" t="n"/>
      <c r="W70" s="44" t="n"/>
      <c r="X70" s="44" t="n"/>
      <c r="Y70" s="44" t="n"/>
      <c r="Z70" s="44" t="n">
        <v>451.8363175846494</v>
      </c>
      <c r="AA70" s="44" t="n"/>
      <c r="AB70" s="44" t="n"/>
      <c r="AC70" s="44" t="n"/>
      <c r="AD70" s="44" t="n">
        <v>670.9684360018671</v>
      </c>
      <c r="AE70" s="44" t="n"/>
      <c r="AF70" s="44" t="n"/>
      <c r="AG70" s="44" t="n"/>
      <c r="AH70" s="44" t="n">
        <v>439.2315547016007</v>
      </c>
      <c r="AI70" s="44" t="n"/>
      <c r="AJ70" s="44" t="n"/>
      <c r="AK70" s="44" t="n"/>
      <c r="AL70" s="44" t="n"/>
      <c r="AM70" s="44" t="n">
        <v>405.1148399665695</v>
      </c>
      <c r="AN70" s="44" t="n"/>
      <c r="AO70" s="44" t="n"/>
      <c r="AP70" s="44" t="n"/>
      <c r="AQ70" s="44" t="n">
        <v>513.3497009324537</v>
      </c>
      <c r="AR70" s="44" t="n"/>
      <c r="AS70" s="44" t="n"/>
      <c r="AT70" s="44" t="n"/>
      <c r="AU70" s="44" t="n">
        <v>874.4344272178362</v>
      </c>
      <c r="AV70" s="44" t="n"/>
      <c r="AW70" s="44" t="n"/>
      <c r="AX70" s="44" t="n"/>
      <c r="AY70" s="44" t="n"/>
      <c r="AZ70" s="44" t="n">
        <v>809.7074178543893</v>
      </c>
      <c r="BA70" s="44" t="n"/>
      <c r="BB70" s="44" t="n"/>
      <c r="BC70" s="44" t="n"/>
      <c r="BD70" s="44" t="n">
        <v>467.9585176357235</v>
      </c>
    </row>
    <row r="71">
      <c r="B71" t="inlineStr">
        <is>
          <t>As % of budget - this month</t>
        </is>
      </c>
      <c r="D71" s="6" t="inlineStr">
        <is>
          <t>%</t>
        </is>
      </c>
      <c r="E71" s="43">
        <f>IFERROR(E69/E70,"")</f>
        <v/>
      </c>
      <c r="F71" s="43">
        <f>IFERROR(F69/F70,"")</f>
        <v/>
      </c>
      <c r="G71" s="43">
        <f>IFERROR(G69/G70,"")</f>
        <v/>
      </c>
      <c r="H71" s="43">
        <f>IFERROR(H69/H70,"")</f>
        <v/>
      </c>
      <c r="I71" s="43">
        <f>IFERROR(I69/I70,"")</f>
        <v/>
      </c>
      <c r="J71" s="43">
        <f>IFERROR(J69/J70,"")</f>
        <v/>
      </c>
      <c r="K71" s="43">
        <f>IFERROR(K69/K70,"")</f>
        <v/>
      </c>
      <c r="L71" s="43">
        <f>IFERROR(L69/L70,"")</f>
        <v/>
      </c>
      <c r="M71" s="43">
        <f>IFERROR(M69/M70,"")</f>
        <v/>
      </c>
      <c r="N71" s="43">
        <f>IFERROR(N69/N70,"")</f>
        <v/>
      </c>
      <c r="O71" s="43">
        <f>IFERROR(O69/O70,"")</f>
        <v/>
      </c>
      <c r="P71" s="43">
        <f>IFERROR(P69/P70,"")</f>
        <v/>
      </c>
      <c r="Q71" s="43">
        <f>IFERROR(Q69/Q70,"")</f>
        <v/>
      </c>
      <c r="R71" s="43">
        <f>IFERROR(R69/R70,"")</f>
        <v/>
      </c>
      <c r="S71" s="43">
        <f>IFERROR(S69/S70,"")</f>
        <v/>
      </c>
      <c r="T71" s="43">
        <f>IFERROR(T69/T70,"")</f>
        <v/>
      </c>
      <c r="U71" s="43">
        <f>IFERROR(U69/U70,"")</f>
        <v/>
      </c>
      <c r="V71" s="43">
        <f>IFERROR(V69/V70,"")</f>
        <v/>
      </c>
      <c r="W71" s="43">
        <f>IFERROR(W69/W70,"")</f>
        <v/>
      </c>
      <c r="X71" s="43">
        <f>IFERROR(X69/X70,"")</f>
        <v/>
      </c>
      <c r="Y71" s="43">
        <f>IFERROR(Y69/Y70,"")</f>
        <v/>
      </c>
      <c r="Z71" s="43">
        <f>IFERROR(Z69/Z70,"")</f>
        <v/>
      </c>
      <c r="AA71" s="43">
        <f>IFERROR(AA69/AA70,"")</f>
        <v/>
      </c>
      <c r="AB71" s="43">
        <f>IFERROR(AB69/AB70,"")</f>
        <v/>
      </c>
      <c r="AC71" s="43">
        <f>IFERROR(AC69/AC70,"")</f>
        <v/>
      </c>
      <c r="AD71" s="43">
        <f>IFERROR(AD69/AD70,"")</f>
        <v/>
      </c>
      <c r="AE71" s="43">
        <f>IFERROR(AE69/AE70,"")</f>
        <v/>
      </c>
      <c r="AF71" s="43">
        <f>IFERROR(AF69/AF70,"")</f>
        <v/>
      </c>
      <c r="AG71" s="43">
        <f>IFERROR(AG69/AG70,"")</f>
        <v/>
      </c>
      <c r="AH71" s="43">
        <f>IFERROR(AH69/AH70,"")</f>
        <v/>
      </c>
      <c r="AI71" s="43">
        <f>IFERROR(AI69/AI70,"")</f>
        <v/>
      </c>
      <c r="AJ71" s="43">
        <f>IFERROR(AJ69/AJ70,"")</f>
        <v/>
      </c>
      <c r="AK71" s="43">
        <f>IFERROR(AK69/AK70,"")</f>
        <v/>
      </c>
      <c r="AL71" s="43">
        <f>IFERROR(AL69/AL70,"")</f>
        <v/>
      </c>
      <c r="AM71" s="43">
        <f>IFERROR(AM69/AM70,"")</f>
        <v/>
      </c>
      <c r="AN71" s="43">
        <f>IFERROR(AN69/AN70,"")</f>
        <v/>
      </c>
      <c r="AO71" s="43">
        <f>IFERROR(AO69/AO70,"")</f>
        <v/>
      </c>
      <c r="AP71" s="43">
        <f>IFERROR(AP69/AP70,"")</f>
        <v/>
      </c>
      <c r="AQ71" s="43">
        <f>IFERROR(AQ69/AQ70,"")</f>
        <v/>
      </c>
      <c r="AR71" s="43">
        <f>IFERROR(AR69/AR70,"")</f>
        <v/>
      </c>
      <c r="AS71" s="43">
        <f>IFERROR(AS69/AS70,"")</f>
        <v/>
      </c>
      <c r="AT71" s="43">
        <f>IFERROR(AT69/AT70,"")</f>
        <v/>
      </c>
      <c r="AU71" s="43">
        <f>IFERROR(AU69/AU70,"")</f>
        <v/>
      </c>
      <c r="AV71" s="43">
        <f>IFERROR(AV69/AV70,"")</f>
        <v/>
      </c>
      <c r="AW71" s="43">
        <f>IFERROR(AW69/AW70,"")</f>
        <v/>
      </c>
      <c r="AX71" s="43">
        <f>IFERROR(AX69/AX70,"")</f>
        <v/>
      </c>
      <c r="AY71" s="43">
        <f>IFERROR(AY69/AY70,"")</f>
        <v/>
      </c>
      <c r="AZ71" s="43">
        <f>IFERROR(AZ69/AZ70,"")</f>
        <v/>
      </c>
      <c r="BA71" s="43">
        <f>IFERROR(BA69/BA70,"")</f>
        <v/>
      </c>
      <c r="BB71" s="43">
        <f>IFERROR(BB69/BB70,"")</f>
        <v/>
      </c>
      <c r="BC71" s="43">
        <f>IFERROR(BC69/BC70,"")</f>
        <v/>
      </c>
      <c r="BD71" s="43">
        <f>IFERROR(BD69/BD70,"")</f>
        <v/>
      </c>
    </row>
    <row r="72">
      <c r="B72" t="inlineStr">
        <is>
          <t>As % of budget - YTD</t>
        </is>
      </c>
      <c r="D72" s="6" t="inlineStr">
        <is>
          <t>%</t>
        </is>
      </c>
      <c r="E72" s="43">
        <f>IFERROR(SUM($E$69:E69)/SUM($E$70:E70),"")</f>
        <v/>
      </c>
      <c r="F72" s="43">
        <f>IFERROR(SUM($E$69:F69)/SUM($E$70:F70),"")</f>
        <v/>
      </c>
      <c r="G72" s="43">
        <f>IFERROR(SUM($E$69:G69)/SUM($E$70:G70),"")</f>
        <v/>
      </c>
      <c r="H72" s="43">
        <f>IFERROR(SUM($E$69:H69)/SUM($E$70:H70),"")</f>
        <v/>
      </c>
      <c r="I72" s="43">
        <f>IFERROR(SUM($E$69:I69)/SUM($E$70:I70),"")</f>
        <v/>
      </c>
      <c r="J72" s="43">
        <f>IFERROR(SUM($E$69:J69)/SUM($E$70:J70),"")</f>
        <v/>
      </c>
      <c r="K72" s="43">
        <f>IFERROR(SUM($E$69:K69)/SUM($E$70:K70),"")</f>
        <v/>
      </c>
      <c r="L72" s="43">
        <f>IFERROR(SUM($E$69:L69)/SUM($E$70:L70),"")</f>
        <v/>
      </c>
      <c r="M72" s="43">
        <f>IFERROR(SUM($E$69:M69)/SUM($E$70:M70),"")</f>
        <v/>
      </c>
      <c r="N72" s="43">
        <f>IFERROR(SUM($E$69:N69)/SUM($E$70:N70),"")</f>
        <v/>
      </c>
      <c r="O72" s="43">
        <f>IFERROR(SUM($E$69:O69)/SUM($E$70:O70),"")</f>
        <v/>
      </c>
      <c r="P72" s="43">
        <f>IFERROR(SUM($E$69:P69)/SUM($E$70:P70),"")</f>
        <v/>
      </c>
      <c r="Q72" s="43">
        <f>IFERROR(SUM($E$69:Q69)/SUM($E$70:Q70),"")</f>
        <v/>
      </c>
      <c r="R72" s="43">
        <f>IFERROR(SUM($E$69:R69)/SUM($E$70:R70),"")</f>
        <v/>
      </c>
      <c r="S72" s="43">
        <f>IFERROR(SUM($E$69:S69)/SUM($E$70:S70),"")</f>
        <v/>
      </c>
      <c r="T72" s="43">
        <f>IFERROR(SUM($E$69:T69)/SUM($E$70:T70),"")</f>
        <v/>
      </c>
      <c r="U72" s="43">
        <f>IFERROR(SUM($E$69:U69)/SUM($E$70:U70),"")</f>
        <v/>
      </c>
      <c r="V72" s="43">
        <f>IFERROR(SUM($E$69:V69)/SUM($E$70:V70),"")</f>
        <v/>
      </c>
      <c r="W72" s="43">
        <f>IFERROR(SUM($E$69:W69)/SUM($E$70:W70),"")</f>
        <v/>
      </c>
      <c r="X72" s="43">
        <f>IFERROR(SUM($E$69:X69)/SUM($E$70:X70),"")</f>
        <v/>
      </c>
      <c r="Y72" s="43">
        <f>IFERROR(SUM($E$69:Y69)/SUM($E$70:Y70),"")</f>
        <v/>
      </c>
      <c r="Z72" s="43">
        <f>IFERROR(SUM($E$69:Z69)/SUM($E$70:Z70),"")</f>
        <v/>
      </c>
      <c r="AA72" s="43">
        <f>IFERROR(SUM($E$69:AA69)/SUM($E$70:AA70),"")</f>
        <v/>
      </c>
      <c r="AB72" s="43">
        <f>IFERROR(SUM($E$69:AB69)/SUM($E$70:AB70),"")</f>
        <v/>
      </c>
      <c r="AC72" s="43">
        <f>IFERROR(SUM($E$69:AC69)/SUM($E$70:AC70),"")</f>
        <v/>
      </c>
      <c r="AD72" s="43">
        <f>IFERROR(SUM($E$69:AD69)/SUM($E$70:AD70),"")</f>
        <v/>
      </c>
      <c r="AE72" s="43">
        <f>IFERROR(SUM($E$69:AE69)/SUM($E$70:AE70),"")</f>
        <v/>
      </c>
      <c r="AF72" s="43">
        <f>IFERROR(SUM($E$69:AF69)/SUM($E$70:AF70),"")</f>
        <v/>
      </c>
      <c r="AG72" s="43">
        <f>IFERROR(SUM($E$69:AG69)/SUM($E$70:AG70),"")</f>
        <v/>
      </c>
      <c r="AH72" s="43">
        <f>IFERROR(SUM($E$69:AH69)/SUM($E$70:AH70),"")</f>
        <v/>
      </c>
      <c r="AI72" s="43">
        <f>IFERROR(SUM($E$69:AI69)/SUM($E$70:AI70),"")</f>
        <v/>
      </c>
      <c r="AJ72" s="43">
        <f>IFERROR(SUM($E$69:AJ69)/SUM($E$70:AJ70),"")</f>
        <v/>
      </c>
      <c r="AK72" s="43">
        <f>IFERROR(SUM($E$69:AK69)/SUM($E$70:AK70),"")</f>
        <v/>
      </c>
      <c r="AL72" s="43">
        <f>IFERROR(SUM($E$69:AL69)/SUM($E$70:AL70),"")</f>
        <v/>
      </c>
      <c r="AM72" s="43">
        <f>IFERROR(SUM($E$69:AM69)/SUM($E$70:AM70),"")</f>
        <v/>
      </c>
      <c r="AN72" s="43">
        <f>IFERROR(SUM($E$69:AN69)/SUM($E$70:AN70),"")</f>
        <v/>
      </c>
      <c r="AO72" s="43">
        <f>IFERROR(SUM($E$69:AO69)/SUM($E$70:AO70),"")</f>
        <v/>
      </c>
      <c r="AP72" s="43">
        <f>IFERROR(SUM($E$69:AP69)/SUM($E$70:AP70),"")</f>
        <v/>
      </c>
      <c r="AQ72" s="43">
        <f>IFERROR(SUM($E$69:AQ69)/SUM($E$70:AQ70),"")</f>
        <v/>
      </c>
      <c r="AR72" s="43">
        <f>IFERROR(SUM($E$69:AR69)/SUM($E$70:AR70),"")</f>
        <v/>
      </c>
      <c r="AS72" s="43">
        <f>IFERROR(SUM($E$69:AS69)/SUM($E$70:AS70),"")</f>
        <v/>
      </c>
      <c r="AT72" s="43">
        <f>IFERROR(SUM($E$69:AT69)/SUM($E$70:AT70),"")</f>
        <v/>
      </c>
      <c r="AU72" s="43">
        <f>IFERROR(SUM($E$69:AU69)/SUM($E$70:AU70),"")</f>
        <v/>
      </c>
      <c r="AV72" s="43">
        <f>IFERROR(SUM($E$69:AV69)/SUM($E$70:AV70),"")</f>
        <v/>
      </c>
      <c r="AW72" s="43">
        <f>IFERROR(SUM($E$69:AW69)/SUM($E$70:AW70),"")</f>
        <v/>
      </c>
      <c r="AX72" s="43">
        <f>IFERROR(SUM($E$69:AX69)/SUM($E$70:AX70),"")</f>
        <v/>
      </c>
      <c r="AY72" s="43">
        <f>IFERROR(SUM($E$69:AY69)/SUM($E$70:AY70),"")</f>
        <v/>
      </c>
      <c r="AZ72" s="43">
        <f>IFERROR(SUM($E$69:AZ69)/SUM($E$70:AZ70),"")</f>
        <v/>
      </c>
      <c r="BA72" s="43">
        <f>IFERROR(SUM($E$69:BA69)/SUM($E$70:BA70),"")</f>
        <v/>
      </c>
      <c r="BB72" s="43">
        <f>IFERROR(SUM($E$69:BB69)/SUM($E$70:BB70),"")</f>
        <v/>
      </c>
      <c r="BC72" s="43">
        <f>IFERROR(SUM($E$69:BC69)/SUM($E$70:BC70),"")</f>
        <v/>
      </c>
      <c r="BD72" s="43">
        <f>IFERROR(SUM($E$69:BD69)/SUM($E$70:BD70),"")</f>
        <v/>
      </c>
    </row>
    <row r="73"/>
    <row r="74"/>
    <row r="75" customFormat="1" s="26">
      <c r="A75" s="25" t="inlineStr">
        <is>
          <t>Walmart (1P+3P)</t>
        </is>
      </c>
      <c r="D75" s="27" t="n"/>
    </row>
    <row r="76">
      <c r="A76" s="1" t="inlineStr">
        <is>
          <t>Sell-in value</t>
        </is>
      </c>
      <c r="D76" s="24" t="inlineStr">
        <is>
          <t>$k</t>
        </is>
      </c>
      <c r="E76" s="42" t="n">
        <v>243.74</v>
      </c>
      <c r="F76" s="42" t="n">
        <v>33.165</v>
      </c>
      <c r="G76" s="42" t="n">
        <v>31.698</v>
      </c>
      <c r="H76" s="42" t="n">
        <v>48.813</v>
      </c>
      <c r="I76" s="42" t="n">
        <v>160.658</v>
      </c>
      <c r="J76" s="42" t="n">
        <v>79.217</v>
      </c>
      <c r="K76" s="42" t="n">
        <v>46.368</v>
      </c>
      <c r="L76" s="42" t="n">
        <v>66.126</v>
      </c>
      <c r="M76" s="42" t="n">
        <v>178.761</v>
      </c>
      <c r="N76" s="42" t="n">
        <v>108.011</v>
      </c>
      <c r="O76" s="42" t="n">
        <v>97.503</v>
      </c>
      <c r="P76" s="42" t="n">
        <v>109.854</v>
      </c>
      <c r="Q76" s="42" t="n">
        <v>148.71</v>
      </c>
      <c r="R76" s="42" t="n">
        <v>74.373</v>
      </c>
      <c r="S76" s="42" t="n">
        <v>200.686</v>
      </c>
      <c r="T76" s="42" t="n">
        <v>269.422</v>
      </c>
      <c r="U76" s="42" t="n">
        <v>985.244</v>
      </c>
      <c r="V76" s="42" t="n">
        <v>1503.894</v>
      </c>
      <c r="W76" s="42" t="n">
        <v>487.053</v>
      </c>
      <c r="X76" s="42" t="n">
        <v>133.984</v>
      </c>
      <c r="Y76" s="42" t="n">
        <v>141.157</v>
      </c>
      <c r="Z76" s="42" t="n">
        <v>183.899</v>
      </c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</row>
    <row r="77" customFormat="1" s="4">
      <c r="A77" s="3" t="n"/>
      <c r="B77" s="4" t="inlineStr">
        <is>
          <t>% of Total - YTD</t>
        </is>
      </c>
      <c r="D77" s="33" t="inlineStr">
        <is>
          <t>%</t>
        </is>
      </c>
      <c r="E77" s="43">
        <f>IFERROR(SUM($E$76:E76)/SUM($E$3:E3),"")</f>
        <v/>
      </c>
      <c r="F77" s="43">
        <f>IFERROR(SUM($E$76:F76)/SUM($E$3:F3),"")</f>
        <v/>
      </c>
      <c r="G77" s="43">
        <f>IFERROR(SUM($E$76:G76)/SUM($E$3:G3),"")</f>
        <v/>
      </c>
      <c r="H77" s="43">
        <f>IFERROR(SUM($E$76:H76)/SUM($E$3:H3),"")</f>
        <v/>
      </c>
      <c r="I77" s="43">
        <f>IFERROR(SUM($E$76:I76)/SUM($E$3:I3),"")</f>
        <v/>
      </c>
      <c r="J77" s="43">
        <f>IFERROR(SUM($E$76:J76)/SUM($E$3:J3),"")</f>
        <v/>
      </c>
      <c r="K77" s="43">
        <f>IFERROR(SUM($E$76:K76)/SUM($E$3:K3),"")</f>
        <v/>
      </c>
      <c r="L77" s="43">
        <f>IFERROR(SUM($E$76:L76)/SUM($E$3:L3),"")</f>
        <v/>
      </c>
      <c r="M77" s="43">
        <f>IFERROR(SUM($E$76:M76)/SUM($E$3:M3),"")</f>
        <v/>
      </c>
      <c r="N77" s="43">
        <f>IFERROR(SUM($E$76:N76)/SUM($E$3:N3),"")</f>
        <v/>
      </c>
      <c r="O77" s="43">
        <f>IFERROR(SUM($E$76:O76)/SUM($E$3:O3),"")</f>
        <v/>
      </c>
      <c r="P77" s="43">
        <f>IFERROR(SUM($E$76:P76)/SUM($E$3:P3),"")</f>
        <v/>
      </c>
      <c r="Q77" s="43">
        <f>IFERROR(SUM($E$76:Q76)/SUM($E$3:Q3),"")</f>
        <v/>
      </c>
      <c r="R77" s="43">
        <f>IFERROR(SUM($E$76:R76)/SUM($E$3:R3),"")</f>
        <v/>
      </c>
      <c r="S77" s="43">
        <f>IFERROR(SUM($E$76:S76)/SUM($E$3:S3),"")</f>
        <v/>
      </c>
      <c r="T77" s="43">
        <f>IFERROR(SUM($E$76:T76)/SUM($E$3:T3),"")</f>
        <v/>
      </c>
      <c r="U77" s="43">
        <f>IFERROR(SUM($E$76:U76)/SUM($E$3:U3),"")</f>
        <v/>
      </c>
      <c r="V77" s="43">
        <f>IFERROR(SUM($E$76:V76)/SUM($E$3:V3),"")</f>
        <v/>
      </c>
      <c r="W77" s="43">
        <f>IFERROR(SUM($E$76:W76)/SUM($E$3:W3),"")</f>
        <v/>
      </c>
      <c r="X77" s="43">
        <f>IFERROR(SUM($E$76:X76)/SUM($E$3:X3),"")</f>
        <v/>
      </c>
      <c r="Y77" s="43">
        <f>IFERROR(SUM($E$76:Y76)/SUM($E$3:Y3),"")</f>
        <v/>
      </c>
      <c r="Z77" s="43">
        <f>IFERROR(SUM($E$76:Z76)/SUM($E$3:Z3),"")</f>
        <v/>
      </c>
      <c r="AA77" s="43" t="n"/>
      <c r="AB77" s="43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  <c r="AL77" s="43" t="n"/>
      <c r="AM77" s="43" t="n"/>
      <c r="AN77" s="43" t="n"/>
      <c r="AO77" s="43" t="n"/>
      <c r="AP77" s="43" t="n"/>
      <c r="AQ77" s="43" t="n"/>
      <c r="AR77" s="43" t="n"/>
      <c r="AS77" s="43" t="n"/>
      <c r="AT77" s="43" t="n"/>
      <c r="AU77" s="43" t="n"/>
      <c r="AV77" s="43" t="n"/>
      <c r="AW77" s="43" t="n"/>
      <c r="AX77" s="43" t="n"/>
      <c r="AY77" s="43" t="n"/>
      <c r="AZ77" s="43" t="n"/>
      <c r="BA77" s="43" t="n"/>
      <c r="BB77" s="43" t="n"/>
      <c r="BC77" s="43" t="n"/>
      <c r="BD77" s="43" t="n"/>
    </row>
    <row r="78" customFormat="1" s="7">
      <c r="B78" s="7" t="inlineStr">
        <is>
          <t>% of Target</t>
        </is>
      </c>
      <c r="D78" s="8" t="inlineStr">
        <is>
          <t>%</t>
        </is>
      </c>
      <c r="E78" s="43">
        <f>IFERROR(E76/E79,"")</f>
        <v/>
      </c>
      <c r="F78" s="43">
        <f>IFERROR(F76/F79,"")</f>
        <v/>
      </c>
      <c r="G78" s="43">
        <f>IFERROR(G76/G79,"")</f>
        <v/>
      </c>
      <c r="H78" s="43">
        <f>IFERROR(H76/H79,"")</f>
        <v/>
      </c>
      <c r="I78" s="43">
        <f>IFERROR(I76/I79,"")</f>
        <v/>
      </c>
      <c r="J78" s="43">
        <f>IFERROR(J76/J79,"")</f>
        <v/>
      </c>
      <c r="K78" s="43">
        <f>IFERROR(K76/K79,"")</f>
        <v/>
      </c>
      <c r="L78" s="43">
        <f>IFERROR(L76/L79,"")</f>
        <v/>
      </c>
      <c r="M78" s="43">
        <f>IFERROR(M76/M79,"")</f>
        <v/>
      </c>
      <c r="N78" s="43">
        <f>IFERROR(N76/N79,"")</f>
        <v/>
      </c>
      <c r="O78" s="43">
        <f>IFERROR(O76/O79,"")</f>
        <v/>
      </c>
      <c r="P78" s="43">
        <f>IFERROR(P76/P79,"")</f>
        <v/>
      </c>
      <c r="Q78" s="43">
        <f>IFERROR(Q76/Q79,"")</f>
        <v/>
      </c>
      <c r="R78" s="43">
        <f>IFERROR(R76/R79,"")</f>
        <v/>
      </c>
      <c r="S78" s="43">
        <f>IFERROR(S76/S79,"")</f>
        <v/>
      </c>
      <c r="T78" s="43">
        <f>IFERROR(T76/T79,"")</f>
        <v/>
      </c>
      <c r="U78" s="43">
        <f>IFERROR(U76/U79,"")</f>
        <v/>
      </c>
      <c r="V78" s="43">
        <f>IFERROR(V76/V79,"")</f>
        <v/>
      </c>
      <c r="W78" s="43">
        <f>IFERROR(W76/W79,"")</f>
        <v/>
      </c>
      <c r="X78" s="43">
        <f>IFERROR(X76/X79,"")</f>
        <v/>
      </c>
      <c r="Y78" s="43">
        <f>IFERROR(Y76/Y79,"")</f>
        <v/>
      </c>
      <c r="Z78" s="43">
        <f>IFERROR(Z76/Z79,"")</f>
        <v/>
      </c>
      <c r="AA78" s="43" t="n"/>
      <c r="AB78" s="43" t="n"/>
      <c r="AC78" s="43" t="n"/>
      <c r="AD78" s="43" t="n"/>
      <c r="AE78" s="43" t="n"/>
      <c r="AF78" s="43" t="n"/>
      <c r="AG78" s="43" t="n"/>
      <c r="AH78" s="43" t="n"/>
      <c r="AI78" s="43" t="n"/>
      <c r="AJ78" s="43" t="n"/>
      <c r="AK78" s="43" t="n"/>
      <c r="AL78" s="43" t="n"/>
      <c r="AM78" s="43" t="n"/>
      <c r="AN78" s="43" t="n"/>
      <c r="AO78" s="43" t="n"/>
      <c r="AP78" s="43" t="n"/>
      <c r="AQ78" s="43" t="n"/>
      <c r="AR78" s="43" t="n"/>
      <c r="AS78" s="43" t="n"/>
      <c r="AT78" s="43" t="n"/>
      <c r="AU78" s="43" t="n"/>
      <c r="AV78" s="43" t="n"/>
      <c r="AW78" s="43" t="n"/>
      <c r="AX78" s="43" t="n"/>
      <c r="AY78" s="43" t="n"/>
      <c r="AZ78" s="43" t="n"/>
      <c r="BA78" s="43" t="n"/>
      <c r="BB78" s="43" t="n"/>
      <c r="BC78" s="43" t="n"/>
      <c r="BD78" s="43" t="n"/>
    </row>
    <row r="79" customFormat="1" s="40">
      <c r="B79" s="40" t="inlineStr">
        <is>
          <t>Target</t>
        </is>
      </c>
      <c r="D79" s="10" t="inlineStr">
        <is>
          <t>$k</t>
        </is>
      </c>
      <c r="E79" s="42" t="n">
        <v>84.40602473600001</v>
      </c>
      <c r="F79" s="42" t="n">
        <v>147.710543288</v>
      </c>
      <c r="G79" s="42" t="n">
        <v>147.710543288</v>
      </c>
      <c r="H79" s="42" t="n">
        <v>147.710543288</v>
      </c>
      <c r="I79" s="42" t="n">
        <v>151.501587962</v>
      </c>
      <c r="J79" s="42" t="n">
        <v>174.24925</v>
      </c>
      <c r="K79" s="42" t="n">
        <v>174.24925</v>
      </c>
      <c r="L79" s="42" t="n">
        <v>174.24925</v>
      </c>
      <c r="M79" s="42" t="n">
        <v>202.553270168</v>
      </c>
      <c r="N79" s="42" t="n">
        <v>372.375997182</v>
      </c>
      <c r="O79" s="42" t="n">
        <v>372.375997182</v>
      </c>
      <c r="P79" s="42" t="n">
        <v>372.375997182</v>
      </c>
      <c r="Q79" s="42" t="n">
        <v>372.375997182</v>
      </c>
      <c r="R79" s="42" t="n">
        <v>229.260554453</v>
      </c>
      <c r="S79" s="42" t="n">
        <v>172.013787599</v>
      </c>
      <c r="T79" s="42" t="n">
        <v>172.013787599</v>
      </c>
      <c r="U79" s="42" t="n">
        <v>172.013787599</v>
      </c>
      <c r="V79" s="42" t="n">
        <v>260.847291523</v>
      </c>
      <c r="W79" s="42" t="n">
        <v>379.292209156</v>
      </c>
      <c r="X79" s="42" t="n">
        <v>379.292209156</v>
      </c>
      <c r="Y79" s="42" t="n">
        <v>379.292209156</v>
      </c>
      <c r="Z79" s="42" t="n">
        <v>379.292209156</v>
      </c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</row>
    <row r="80"/>
    <row r="81">
      <c r="A81" s="1" t="inlineStr">
        <is>
          <t xml:space="preserve">Sell-through units </t>
        </is>
      </c>
      <c r="D81" s="24" t="inlineStr">
        <is>
          <t>#</t>
        </is>
      </c>
      <c r="E81" s="42" t="n">
        <v>72</v>
      </c>
      <c r="F81" s="42" t="n">
        <v>50</v>
      </c>
      <c r="G81" s="42" t="n">
        <v>30</v>
      </c>
      <c r="H81" s="42" t="n">
        <v>31</v>
      </c>
      <c r="I81" s="42" t="n">
        <v>48</v>
      </c>
      <c r="J81" s="42" t="n">
        <v>59</v>
      </c>
      <c r="K81" s="42" t="n">
        <v>60</v>
      </c>
      <c r="L81" s="42" t="n">
        <v>48</v>
      </c>
      <c r="M81" s="42" t="n">
        <v>82</v>
      </c>
      <c r="N81" s="42" t="n">
        <v>84</v>
      </c>
      <c r="O81" s="42" t="n">
        <v>37</v>
      </c>
      <c r="P81" s="42" t="n">
        <v>48</v>
      </c>
      <c r="Q81" s="42" t="n">
        <v>46</v>
      </c>
      <c r="R81" s="42" t="n">
        <v>32</v>
      </c>
      <c r="S81" s="42" t="n">
        <v>70</v>
      </c>
      <c r="T81" s="42" t="n">
        <v>101</v>
      </c>
      <c r="U81" s="42" t="n">
        <v>2358</v>
      </c>
      <c r="V81" s="42" t="n">
        <v>4028</v>
      </c>
      <c r="W81" s="42" t="n">
        <v>4631</v>
      </c>
      <c r="X81" s="42" t="n">
        <v>5353</v>
      </c>
      <c r="Y81" s="42" t="n">
        <v>6143</v>
      </c>
      <c r="Z81" s="42" t="n">
        <v>6225</v>
      </c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</row>
    <row r="82" customFormat="1" s="4">
      <c r="A82" s="3" t="n"/>
      <c r="B82" s="4" t="inlineStr">
        <is>
          <t>% of Total - YTD</t>
        </is>
      </c>
      <c r="D82" s="33" t="inlineStr">
        <is>
          <t>%</t>
        </is>
      </c>
      <c r="E82" s="43">
        <f>IFERROR(SUM($E$81:E81)/SUM($E$4:E4),"")</f>
        <v/>
      </c>
      <c r="F82" s="43">
        <f>IFERROR(SUM($E$81:F81)/SUM($E$4:F4),"")</f>
        <v/>
      </c>
      <c r="G82" s="43">
        <f>IFERROR(SUM($E$81:G81)/SUM($E$4:G4),"")</f>
        <v/>
      </c>
      <c r="H82" s="43">
        <f>IFERROR(SUM($E$81:H81)/SUM($E$4:H4),"")</f>
        <v/>
      </c>
      <c r="I82" s="43">
        <f>IFERROR(SUM($E$81:I81)/SUM($E$4:I4),"")</f>
        <v/>
      </c>
      <c r="J82" s="43">
        <f>IFERROR(SUM($E$81:J81)/SUM($E$4:J4),"")</f>
        <v/>
      </c>
      <c r="K82" s="43">
        <f>IFERROR(SUM($E$81:K81)/SUM($E$4:K4),"")</f>
        <v/>
      </c>
      <c r="L82" s="43">
        <f>IFERROR(SUM($E$81:L81)/SUM($E$4:L4),"")</f>
        <v/>
      </c>
      <c r="M82" s="43">
        <f>IFERROR(SUM($E$81:M81)/SUM($E$4:M4),"")</f>
        <v/>
      </c>
      <c r="N82" s="43">
        <f>IFERROR(SUM($E$81:N81)/SUM($E$4:N4),"")</f>
        <v/>
      </c>
      <c r="O82" s="43">
        <f>IFERROR(SUM($E$81:O81)/SUM($E$4:O4),"")</f>
        <v/>
      </c>
      <c r="P82" s="43">
        <f>IFERROR(SUM($E$81:P81)/SUM($E$4:P4),"")</f>
        <v/>
      </c>
      <c r="Q82" s="43">
        <f>IFERROR(SUM($E$81:Q81)/SUM($E$4:Q4),"")</f>
        <v/>
      </c>
      <c r="R82" s="43">
        <f>IFERROR(SUM($E$81:R81)/SUM($E$4:R4),"")</f>
        <v/>
      </c>
      <c r="S82" s="43">
        <f>IFERROR(SUM($E$81:S81)/SUM($E$4:S4),"")</f>
        <v/>
      </c>
      <c r="T82" s="43">
        <f>IFERROR(SUM($E$81:T81)/SUM($E$4:T4),"")</f>
        <v/>
      </c>
      <c r="U82" s="43">
        <f>IFERROR(SUM($E$81:U81)/SUM($E$4:U4),"")</f>
        <v/>
      </c>
      <c r="V82" s="43">
        <f>IFERROR(SUM($E$81:V81)/SUM($E$4:V4),"")</f>
        <v/>
      </c>
      <c r="W82" s="43">
        <f>IFERROR(SUM($E$81:W81)/SUM($E$4:W4),"")</f>
        <v/>
      </c>
      <c r="X82" s="43">
        <f>IFERROR(SUM($E$81:X81)/SUM($E$4:X4),"")</f>
        <v/>
      </c>
      <c r="Y82" s="43">
        <f>IFERROR(SUM($E$81:Y81)/SUM($E$4:Y4),"")</f>
        <v/>
      </c>
      <c r="Z82" s="43">
        <f>IFERROR(SUM($E$81:Z81)/SUM($E$4:Z4),"")</f>
        <v/>
      </c>
      <c r="AA82" s="43" t="n"/>
      <c r="AB82" s="43" t="n"/>
      <c r="AC82" s="43" t="n"/>
      <c r="AD82" s="43" t="n"/>
      <c r="AE82" s="43" t="n"/>
      <c r="AF82" s="43" t="n"/>
      <c r="AG82" s="43" t="n"/>
      <c r="AH82" s="43" t="n"/>
      <c r="AI82" s="43" t="n"/>
      <c r="AJ82" s="43" t="n"/>
      <c r="AK82" s="43" t="n"/>
      <c r="AL82" s="43" t="n"/>
      <c r="AM82" s="43" t="n"/>
      <c r="AN82" s="43" t="n"/>
      <c r="AO82" s="43" t="n"/>
      <c r="AP82" s="43" t="n"/>
      <c r="AQ82" s="43" t="n"/>
      <c r="AR82" s="43" t="n"/>
      <c r="AS82" s="43" t="n"/>
      <c r="AT82" s="43" t="n"/>
      <c r="AU82" s="43" t="n"/>
      <c r="AV82" s="43" t="n"/>
      <c r="AW82" s="43" t="n"/>
      <c r="AX82" s="43" t="n"/>
      <c r="AY82" s="43" t="n"/>
      <c r="AZ82" s="43" t="n"/>
      <c r="BA82" s="43" t="n"/>
      <c r="BB82" s="43" t="n"/>
      <c r="BC82" s="43" t="n"/>
      <c r="BD82" s="43" t="n"/>
    </row>
    <row r="83" customFormat="1" s="16">
      <c r="A83" s="15" t="n"/>
      <c r="B83" s="16" t="inlineStr">
        <is>
          <t>% of Target</t>
        </is>
      </c>
      <c r="D83" s="17" t="inlineStr">
        <is>
          <t>%</t>
        </is>
      </c>
      <c r="E83" s="43">
        <f>IFERROR(E81/E84,"")</f>
        <v/>
      </c>
      <c r="F83" s="43">
        <f>IFERROR(F81/F84,"")</f>
        <v/>
      </c>
      <c r="G83" s="43">
        <f>IFERROR(G81/G84,"")</f>
        <v/>
      </c>
      <c r="H83" s="43">
        <f>IFERROR(H81/H84,"")</f>
        <v/>
      </c>
      <c r="I83" s="43">
        <f>IFERROR(I81/I84,"")</f>
        <v/>
      </c>
      <c r="J83" s="43">
        <f>IFERROR(J81/J84,"")</f>
        <v/>
      </c>
      <c r="K83" s="43">
        <f>IFERROR(K81/K84,"")</f>
        <v/>
      </c>
      <c r="L83" s="43">
        <f>IFERROR(L81/L84,"")</f>
        <v/>
      </c>
      <c r="M83" s="43">
        <f>IFERROR(M81/M84,"")</f>
        <v/>
      </c>
      <c r="N83" s="43">
        <f>IFERROR(N81/N84,"")</f>
        <v/>
      </c>
      <c r="O83" s="43">
        <f>IFERROR(O81/O84,"")</f>
        <v/>
      </c>
      <c r="P83" s="43">
        <f>IFERROR(P81/P84,"")</f>
        <v/>
      </c>
      <c r="Q83" s="43">
        <f>IFERROR(Q81/Q84,"")</f>
        <v/>
      </c>
      <c r="R83" s="43">
        <f>IFERROR(R81/R84,"")</f>
        <v/>
      </c>
      <c r="S83" s="43">
        <f>IFERROR(S81/S84,"")</f>
        <v/>
      </c>
      <c r="T83" s="43">
        <f>IFERROR(T81/T84,"")</f>
        <v/>
      </c>
      <c r="U83" s="43">
        <f>IFERROR(U81/U84,"")</f>
        <v/>
      </c>
      <c r="V83" s="43">
        <f>IFERROR(V81/V84,"")</f>
        <v/>
      </c>
      <c r="W83" s="43">
        <f>IFERROR(W81/W84,"")</f>
        <v/>
      </c>
      <c r="X83" s="43">
        <f>IFERROR(X81/X84,"")</f>
        <v/>
      </c>
      <c r="Y83" s="43">
        <f>IFERROR(Y81/Y84,"")</f>
        <v/>
      </c>
      <c r="Z83" s="43">
        <f>IFERROR(Z81/Z84,"")</f>
        <v/>
      </c>
      <c r="AA83" s="43" t="n"/>
      <c r="AB83" s="43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  <c r="AL83" s="43" t="n"/>
      <c r="AM83" s="43" t="n"/>
      <c r="AN83" s="43" t="n"/>
      <c r="AO83" s="43" t="n"/>
      <c r="AP83" s="43" t="n"/>
      <c r="AQ83" s="43" t="n"/>
      <c r="AR83" s="43" t="n"/>
      <c r="AS83" s="43" t="n"/>
      <c r="AT83" s="43" t="n"/>
      <c r="AU83" s="43" t="n"/>
      <c r="AV83" s="43" t="n"/>
      <c r="AW83" s="43" t="n"/>
      <c r="AX83" s="43" t="n"/>
      <c r="AY83" s="43" t="n"/>
      <c r="AZ83" s="43" t="n"/>
      <c r="BA83" s="43" t="n"/>
      <c r="BB83" s="43" t="n"/>
      <c r="BC83" s="43" t="n"/>
      <c r="BD83" s="43" t="n"/>
    </row>
    <row r="84" customFormat="1" s="13">
      <c r="A84" s="12" t="n"/>
      <c r="B84" s="13" t="inlineStr">
        <is>
          <t>Target</t>
        </is>
      </c>
      <c r="D84" s="14" t="inlineStr">
        <is>
          <t>#</t>
        </is>
      </c>
      <c r="E84" s="42" t="n"/>
      <c r="F84" s="42" t="n">
        <v>4012</v>
      </c>
      <c r="G84" s="42" t="n">
        <v>4012</v>
      </c>
      <c r="H84" s="42" t="n">
        <v>4012</v>
      </c>
      <c r="I84" s="42" t="n">
        <v>4012</v>
      </c>
      <c r="J84" s="42" t="n">
        <v>4769</v>
      </c>
      <c r="K84" s="42" t="n">
        <v>4769</v>
      </c>
      <c r="L84" s="42" t="n">
        <v>4769</v>
      </c>
      <c r="M84" s="42" t="n">
        <v>4769</v>
      </c>
      <c r="N84" s="42" t="n">
        <v>8678</v>
      </c>
      <c r="O84" s="42" t="n">
        <v>8672</v>
      </c>
      <c r="P84" s="42" t="n">
        <v>8672</v>
      </c>
      <c r="Q84" s="42" t="n">
        <v>8672</v>
      </c>
      <c r="R84" s="42" t="n">
        <v>8672</v>
      </c>
      <c r="S84" s="42" t="n">
        <v>820</v>
      </c>
      <c r="T84" s="42" t="n">
        <v>4389</v>
      </c>
      <c r="U84" s="42" t="n">
        <v>4389</v>
      </c>
      <c r="V84" s="42" t="n">
        <v>5963</v>
      </c>
      <c r="W84" s="42" t="n">
        <v>11686</v>
      </c>
      <c r="X84" s="42" t="n">
        <v>9896</v>
      </c>
      <c r="Y84" s="42" t="n">
        <v>9896</v>
      </c>
      <c r="Z84" s="42" t="n">
        <v>9896</v>
      </c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</row>
    <row r="85">
      <c r="C85" s="11" t="inlineStr">
        <is>
          <t xml:space="preserve">Cam </t>
        </is>
      </c>
      <c r="D85" s="6" t="inlineStr">
        <is>
          <t>#</t>
        </is>
      </c>
      <c r="E85" s="42" t="n">
        <v>11</v>
      </c>
      <c r="F85" s="42" t="n">
        <v>5</v>
      </c>
      <c r="G85" s="42" t="n">
        <v>0</v>
      </c>
      <c r="H85" s="42" t="n">
        <v>1</v>
      </c>
      <c r="I85" s="42" t="n">
        <v>22</v>
      </c>
      <c r="J85" s="42" t="n">
        <v>13</v>
      </c>
      <c r="K85" s="42" t="n">
        <v>9</v>
      </c>
      <c r="L85" s="42" t="n">
        <v>6</v>
      </c>
      <c r="M85" s="42" t="n">
        <v>11</v>
      </c>
      <c r="N85" s="42" t="n">
        <v>12</v>
      </c>
      <c r="O85" s="42" t="n">
        <v>2</v>
      </c>
      <c r="P85" s="42" t="n">
        <v>0</v>
      </c>
      <c r="Q85" s="42" t="n">
        <v>1</v>
      </c>
      <c r="R85" s="42" t="n">
        <v>6</v>
      </c>
      <c r="S85" s="42" t="n">
        <v>32</v>
      </c>
      <c r="T85" s="42" t="n">
        <v>69</v>
      </c>
      <c r="U85" s="42" t="n">
        <v>2221</v>
      </c>
      <c r="V85" s="42" t="n">
        <v>3866</v>
      </c>
      <c r="W85" s="42" t="n">
        <v>4411</v>
      </c>
      <c r="X85" s="42" t="n">
        <v>5071</v>
      </c>
      <c r="Y85" s="42" t="n">
        <v>5922</v>
      </c>
      <c r="Z85" s="42" t="n">
        <v>5942</v>
      </c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</row>
    <row r="86">
      <c r="C86" s="11" t="inlineStr">
        <is>
          <t>Non Cam</t>
        </is>
      </c>
      <c r="D86" s="6" t="inlineStr">
        <is>
          <t>#</t>
        </is>
      </c>
      <c r="E86" s="42" t="n">
        <v>61</v>
      </c>
      <c r="F86" s="42" t="n">
        <v>45</v>
      </c>
      <c r="G86" s="42" t="n">
        <v>30</v>
      </c>
      <c r="H86" s="42" t="n">
        <v>30</v>
      </c>
      <c r="I86" s="42" t="n">
        <v>26</v>
      </c>
      <c r="J86" s="42" t="n">
        <v>46</v>
      </c>
      <c r="K86" s="42" t="n">
        <v>51</v>
      </c>
      <c r="L86" s="42" t="n">
        <v>42</v>
      </c>
      <c r="M86" s="42" t="n">
        <v>71</v>
      </c>
      <c r="N86" s="42" t="n">
        <v>72</v>
      </c>
      <c r="O86" s="42" t="n">
        <v>35</v>
      </c>
      <c r="P86" s="42" t="n">
        <v>48</v>
      </c>
      <c r="Q86" s="42" t="n">
        <v>45</v>
      </c>
      <c r="R86" s="42" t="n">
        <v>26</v>
      </c>
      <c r="S86" s="42" t="n">
        <v>38</v>
      </c>
      <c r="T86" s="42" t="n">
        <v>32</v>
      </c>
      <c r="U86" s="42" t="n">
        <v>137</v>
      </c>
      <c r="V86" s="42" t="n">
        <v>162</v>
      </c>
      <c r="W86" s="42" t="n">
        <v>220</v>
      </c>
      <c r="X86" s="42" t="n">
        <v>282</v>
      </c>
      <c r="Y86" s="42" t="n">
        <v>221</v>
      </c>
      <c r="Z86" s="42" t="n">
        <v>283</v>
      </c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</row>
    <row r="87">
      <c r="C87" s="6" t="n"/>
    </row>
    <row r="88" customFormat="1" s="1">
      <c r="A88" s="1" t="inlineStr">
        <is>
          <t xml:space="preserve">Promo </t>
        </is>
      </c>
      <c r="D88" s="24" t="inlineStr">
        <is>
          <t>$k</t>
        </is>
      </c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>
        <v>0</v>
      </c>
      <c r="S88" s="44" t="n">
        <v>0.08114</v>
      </c>
      <c r="T88" s="44" t="n">
        <v>0.16343</v>
      </c>
      <c r="U88" s="44" t="n"/>
      <c r="V88" s="44" t="n"/>
      <c r="W88" s="44" t="n"/>
      <c r="X88" s="44" t="n"/>
      <c r="Y88" s="44" t="n">
        <v>7.059819999999999</v>
      </c>
      <c r="Z88" s="44" t="n">
        <v>1.14629</v>
      </c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  <c r="AQ88" s="44" t="n"/>
      <c r="AR88" s="44" t="n"/>
      <c r="AS88" s="44" t="n"/>
      <c r="AT88" s="44" t="n"/>
      <c r="AU88" s="44" t="n"/>
      <c r="AV88" s="44" t="n"/>
      <c r="AW88" s="44" t="n"/>
      <c r="AX88" s="44" t="n"/>
      <c r="AY88" s="44" t="n"/>
      <c r="AZ88" s="44" t="n"/>
      <c r="BA88" s="44" t="n"/>
      <c r="BB88" s="44" t="n"/>
      <c r="BC88" s="44" t="n"/>
      <c r="BD88" s="44" t="n"/>
    </row>
    <row r="89" ht="15.75" customFormat="1" customHeight="1" s="1">
      <c r="B89" s="41" t="inlineStr">
        <is>
          <t>Finance Actuals (Monthly)</t>
        </is>
      </c>
      <c r="D89" s="32" t="inlineStr">
        <is>
          <t>$k</t>
        </is>
      </c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  <c r="AE89" s="44" t="n"/>
      <c r="AF89" s="44" t="n"/>
      <c r="AG89" s="44" t="n"/>
      <c r="AH89" s="44" t="n"/>
      <c r="AI89" s="44" t="n"/>
      <c r="AJ89" s="44" t="n"/>
      <c r="AK89" s="44" t="n"/>
      <c r="AL89" s="44" t="n"/>
      <c r="AM89" s="44" t="n"/>
      <c r="AN89" s="44" t="n"/>
      <c r="AO89" s="44" t="n"/>
      <c r="AP89" s="44" t="n"/>
      <c r="AQ89" s="44" t="n"/>
      <c r="AR89" s="44" t="n"/>
      <c r="AS89" s="44" t="n"/>
      <c r="AT89" s="44" t="n"/>
      <c r="AU89" s="44" t="n"/>
      <c r="AV89" s="44" t="n"/>
      <c r="AW89" s="44" t="n"/>
      <c r="AX89" s="44" t="n"/>
      <c r="AY89" s="44" t="n"/>
      <c r="AZ89" s="44" t="n"/>
      <c r="BA89" s="44" t="n"/>
      <c r="BB89" s="44" t="n"/>
      <c r="BC89" s="44" t="n"/>
      <c r="BD89" s="44" t="n"/>
    </row>
    <row r="90" customFormat="1" s="40">
      <c r="B90" s="40" t="inlineStr">
        <is>
          <t>Budgeted (Monthly)</t>
        </is>
      </c>
      <c r="D90" s="10" t="inlineStr">
        <is>
          <t>$k</t>
        </is>
      </c>
      <c r="E90" s="44" t="n"/>
      <c r="F90" s="44" t="n"/>
      <c r="G90" s="44" t="n"/>
      <c r="H90" s="44" t="n">
        <v>0</v>
      </c>
      <c r="I90" s="44" t="n"/>
      <c r="J90" s="44" t="n"/>
      <c r="K90" s="44" t="n"/>
      <c r="L90" s="44" t="n">
        <v>0</v>
      </c>
      <c r="M90" s="44" t="n"/>
      <c r="N90" s="44" t="n"/>
      <c r="O90" s="44" t="n"/>
      <c r="P90" s="44" t="n"/>
      <c r="Q90" s="44" t="n">
        <v>51.8</v>
      </c>
      <c r="R90" s="44" t="n"/>
      <c r="S90" s="44" t="n"/>
      <c r="T90" s="44" t="n"/>
      <c r="U90" s="44" t="n">
        <v>74.8</v>
      </c>
      <c r="V90" s="44" t="n"/>
      <c r="W90" s="44" t="n"/>
      <c r="X90" s="44" t="n"/>
      <c r="Y90" s="44" t="n"/>
      <c r="Z90" s="44" t="n">
        <v>73.7</v>
      </c>
      <c r="AA90" s="44" t="n"/>
      <c r="AB90" s="44" t="n"/>
      <c r="AC90" s="44" t="n"/>
      <c r="AD90" s="44" t="n">
        <v>84.23999999999999</v>
      </c>
      <c r="AE90" s="44" t="n"/>
      <c r="AF90" s="44" t="n"/>
      <c r="AG90" s="44" t="n"/>
      <c r="AH90" s="44" t="n">
        <v>110.16</v>
      </c>
      <c r="AI90" s="44" t="n"/>
      <c r="AJ90" s="44" t="n"/>
      <c r="AK90" s="44" t="n"/>
      <c r="AL90" s="44" t="n"/>
      <c r="AM90" s="44" t="n">
        <v>10.31428571428571</v>
      </c>
      <c r="AN90" s="44" t="n"/>
      <c r="AO90" s="44" t="n"/>
      <c r="AP90" s="44" t="n"/>
      <c r="AQ90" s="44" t="n">
        <v>61.88571428571429</v>
      </c>
      <c r="AR90" s="44" t="n"/>
      <c r="AS90" s="44" t="n"/>
      <c r="AT90" s="44" t="n"/>
      <c r="AU90" s="44" t="n">
        <v>107.2</v>
      </c>
      <c r="AV90" s="44" t="n"/>
      <c r="AW90" s="44" t="n"/>
      <c r="AX90" s="44" t="n"/>
      <c r="AY90" s="44" t="n"/>
      <c r="AZ90" s="44" t="n">
        <v>518.3200000000001</v>
      </c>
      <c r="BA90" s="44" t="n"/>
      <c r="BB90" s="44" t="n"/>
      <c r="BC90" s="44" t="n"/>
      <c r="BD90" s="44" t="n">
        <v>129.58</v>
      </c>
    </row>
    <row r="91">
      <c r="B91" t="inlineStr">
        <is>
          <t>As % of budget - this month</t>
        </is>
      </c>
      <c r="D91" s="6" t="inlineStr">
        <is>
          <t>%</t>
        </is>
      </c>
      <c r="E91" s="43">
        <f>IFERROR(E89/E90,"")</f>
        <v/>
      </c>
      <c r="F91" s="43">
        <f>IFERROR(F89/F90,"")</f>
        <v/>
      </c>
      <c r="G91" s="43">
        <f>IFERROR(G89/G90,"")</f>
        <v/>
      </c>
      <c r="H91" s="43">
        <f>IFERROR(H89/H90,"")</f>
        <v/>
      </c>
      <c r="I91" s="43">
        <f>IFERROR(I89/I90,"")</f>
        <v/>
      </c>
      <c r="J91" s="43">
        <f>IFERROR(J89/J90,"")</f>
        <v/>
      </c>
      <c r="K91" s="43">
        <f>IFERROR(K89/K90,"")</f>
        <v/>
      </c>
      <c r="L91" s="43">
        <f>IFERROR(L89/L90,"")</f>
        <v/>
      </c>
      <c r="M91" s="43">
        <f>IFERROR(M89/M90,"")</f>
        <v/>
      </c>
      <c r="N91" s="43">
        <f>IFERROR(N89/N90,"")</f>
        <v/>
      </c>
      <c r="O91" s="43">
        <f>IFERROR(O89/O90,"")</f>
        <v/>
      </c>
      <c r="P91" s="43">
        <f>IFERROR(P89/P90,"")</f>
        <v/>
      </c>
      <c r="Q91" s="43">
        <f>IFERROR(Q89/Q90,"")</f>
        <v/>
      </c>
      <c r="R91" s="43">
        <f>IFERROR(R89/R90,"")</f>
        <v/>
      </c>
      <c r="S91" s="43">
        <f>IFERROR(S89/S90,"")</f>
        <v/>
      </c>
      <c r="T91" s="43">
        <f>IFERROR(T89/T90,"")</f>
        <v/>
      </c>
      <c r="U91" s="43">
        <f>IFERROR(U89/U90,"")</f>
        <v/>
      </c>
      <c r="V91" s="43">
        <f>IFERROR(V89/V90,"")</f>
        <v/>
      </c>
      <c r="W91" s="43">
        <f>IFERROR(W89/W90,"")</f>
        <v/>
      </c>
      <c r="X91" s="43">
        <f>IFERROR(X89/X90,"")</f>
        <v/>
      </c>
      <c r="Y91" s="43">
        <f>IFERROR(Y89/Y90,"")</f>
        <v/>
      </c>
      <c r="Z91" s="43">
        <f>IFERROR(Z89/Z90,"")</f>
        <v/>
      </c>
      <c r="AA91" s="43">
        <f>IFERROR(AA89/AA90,"")</f>
        <v/>
      </c>
      <c r="AB91" s="43">
        <f>IFERROR(AB89/AB90,"")</f>
        <v/>
      </c>
      <c r="AC91" s="43">
        <f>IFERROR(AC89/AC90,"")</f>
        <v/>
      </c>
      <c r="AD91" s="43">
        <f>IFERROR(AD89/AD90,"")</f>
        <v/>
      </c>
      <c r="AE91" s="43">
        <f>IFERROR(AE89/AE90,"")</f>
        <v/>
      </c>
      <c r="AF91" s="43">
        <f>IFERROR(AF89/AF90,"")</f>
        <v/>
      </c>
      <c r="AG91" s="43">
        <f>IFERROR(AG89/AG90,"")</f>
        <v/>
      </c>
      <c r="AH91" s="43">
        <f>IFERROR(AH89/AH90,"")</f>
        <v/>
      </c>
      <c r="AI91" s="43">
        <f>IFERROR(AI89/AI90,"")</f>
        <v/>
      </c>
      <c r="AJ91" s="43">
        <f>IFERROR(AJ89/AJ90,"")</f>
        <v/>
      </c>
      <c r="AK91" s="43">
        <f>IFERROR(AK89/AK90,"")</f>
        <v/>
      </c>
      <c r="AL91" s="43">
        <f>IFERROR(AL89/AL90,"")</f>
        <v/>
      </c>
      <c r="AM91" s="43">
        <f>IFERROR(AM89/AM90,"")</f>
        <v/>
      </c>
      <c r="AN91" s="43">
        <f>IFERROR(AN89/AN90,"")</f>
        <v/>
      </c>
      <c r="AO91" s="43">
        <f>IFERROR(AO89/AO90,"")</f>
        <v/>
      </c>
      <c r="AP91" s="43">
        <f>IFERROR(AP89/AP90,"")</f>
        <v/>
      </c>
      <c r="AQ91" s="43">
        <f>IFERROR(AQ89/AQ90,"")</f>
        <v/>
      </c>
      <c r="AR91" s="43">
        <f>IFERROR(AR89/AR90,"")</f>
        <v/>
      </c>
      <c r="AS91" s="43">
        <f>IFERROR(AS89/AS90,"")</f>
        <v/>
      </c>
      <c r="AT91" s="43">
        <f>IFERROR(AT89/AT90,"")</f>
        <v/>
      </c>
      <c r="AU91" s="43">
        <f>IFERROR(AU89/AU90,"")</f>
        <v/>
      </c>
      <c r="AV91" s="43">
        <f>IFERROR(AV89/AV90,"")</f>
        <v/>
      </c>
      <c r="AW91" s="43">
        <f>IFERROR(AW89/AW90,"")</f>
        <v/>
      </c>
      <c r="AX91" s="43">
        <f>IFERROR(AX89/AX90,"")</f>
        <v/>
      </c>
      <c r="AY91" s="43">
        <f>IFERROR(AY89/AY90,"")</f>
        <v/>
      </c>
      <c r="AZ91" s="43">
        <f>IFERROR(AZ89/AZ90,"")</f>
        <v/>
      </c>
      <c r="BA91" s="43">
        <f>IFERROR(BA89/BA90,"")</f>
        <v/>
      </c>
      <c r="BB91" s="43">
        <f>IFERROR(BB89/BB90,"")</f>
        <v/>
      </c>
      <c r="BC91" s="43">
        <f>IFERROR(BC89/BC90,"")</f>
        <v/>
      </c>
      <c r="BD91" s="43">
        <f>IFERROR(BD89/BD90,"")</f>
        <v/>
      </c>
    </row>
    <row r="92">
      <c r="B92" t="inlineStr">
        <is>
          <t>As % of budget - YTD</t>
        </is>
      </c>
      <c r="D92" s="6" t="inlineStr">
        <is>
          <t>%</t>
        </is>
      </c>
      <c r="E92" s="43">
        <f>IFERROR(SUM($E$89:E89)/SUM($E$90:E90),"")</f>
        <v/>
      </c>
      <c r="F92" s="43">
        <f>IFERROR(SUM($E$89:F89)/SUM($E$90:F90),"")</f>
        <v/>
      </c>
      <c r="G92" s="43">
        <f>IFERROR(SUM($E$89:G89)/SUM($E$90:G90),"")</f>
        <v/>
      </c>
      <c r="H92" s="43">
        <f>IFERROR(SUM($E$89:H89)/SUM($E$90:H90),"")</f>
        <v/>
      </c>
      <c r="I92" s="43">
        <f>IFERROR(SUM($E$89:I89)/SUM($E$90:I90),"")</f>
        <v/>
      </c>
      <c r="J92" s="43">
        <f>IFERROR(SUM($E$89:J89)/SUM($E$90:J90),"")</f>
        <v/>
      </c>
      <c r="K92" s="43">
        <f>IFERROR(SUM($E$89:K89)/SUM($E$90:K90),"")</f>
        <v/>
      </c>
      <c r="L92" s="43">
        <f>IFERROR(SUM($E$89:L89)/SUM($E$90:L90),"")</f>
        <v/>
      </c>
      <c r="M92" s="43">
        <f>IFERROR(SUM($E$89:M89)/SUM($E$90:M90),"")</f>
        <v/>
      </c>
      <c r="N92" s="43">
        <f>IFERROR(SUM($E$89:N89)/SUM($E$90:N90),"")</f>
        <v/>
      </c>
      <c r="O92" s="43">
        <f>IFERROR(SUM($E$89:O89)/SUM($E$90:O90),"")</f>
        <v/>
      </c>
      <c r="P92" s="43">
        <f>IFERROR(SUM($E$89:P89)/SUM($E$90:P90),"")</f>
        <v/>
      </c>
      <c r="Q92" s="43">
        <f>IFERROR(SUM($E$89:Q89)/SUM($E$90:Q90),"")</f>
        <v/>
      </c>
      <c r="R92" s="43">
        <f>IFERROR(SUM($E$89:R89)/SUM($E$90:R90),"")</f>
        <v/>
      </c>
      <c r="S92" s="43">
        <f>IFERROR(SUM($E$89:S89)/SUM($E$90:S90),"")</f>
        <v/>
      </c>
      <c r="T92" s="43">
        <f>IFERROR(SUM($E$89:T89)/SUM($E$90:T90),"")</f>
        <v/>
      </c>
      <c r="U92" s="43">
        <f>IFERROR(SUM($E$89:U89)/SUM($E$90:U90),"")</f>
        <v/>
      </c>
      <c r="V92" s="43">
        <f>IFERROR(SUM($E$89:V89)/SUM($E$90:V90),"")</f>
        <v/>
      </c>
      <c r="W92" s="43">
        <f>IFERROR(SUM($E$89:W89)/SUM($E$90:W90),"")</f>
        <v/>
      </c>
      <c r="X92" s="43">
        <f>IFERROR(SUM($E$89:X89)/SUM($E$90:X90),"")</f>
        <v/>
      </c>
      <c r="Y92" s="43">
        <f>IFERROR(SUM($E$89:Y89)/SUM($E$90:Y90),"")</f>
        <v/>
      </c>
      <c r="Z92" s="43">
        <f>IFERROR(SUM($E$89:Z89)/SUM($E$90:Z90),"")</f>
        <v/>
      </c>
      <c r="AA92" s="43">
        <f>IFERROR(SUM($E$89:AA89)/SUM($E$90:AA90),"")</f>
        <v/>
      </c>
      <c r="AB92" s="43">
        <f>IFERROR(SUM($E$89:AB89)/SUM($E$90:AB90),"")</f>
        <v/>
      </c>
      <c r="AC92" s="43">
        <f>IFERROR(SUM($E$89:AC89)/SUM($E$90:AC90),"")</f>
        <v/>
      </c>
      <c r="AD92" s="43">
        <f>IFERROR(SUM($E$89:AD89)/SUM($E$90:AD90),"")</f>
        <v/>
      </c>
      <c r="AE92" s="43">
        <f>IFERROR(SUM($E$89:AE89)/SUM($E$90:AE90),"")</f>
        <v/>
      </c>
      <c r="AF92" s="43">
        <f>IFERROR(SUM($E$89:AF89)/SUM($E$90:AF90),"")</f>
        <v/>
      </c>
      <c r="AG92" s="43">
        <f>IFERROR(SUM($E$89:AG89)/SUM($E$90:AG90),"")</f>
        <v/>
      </c>
      <c r="AH92" s="43">
        <f>IFERROR(SUM($E$89:AH89)/SUM($E$90:AH90),"")</f>
        <v/>
      </c>
      <c r="AI92" s="43">
        <f>IFERROR(SUM($E$89:AI89)/SUM($E$90:AI90),"")</f>
        <v/>
      </c>
      <c r="AJ92" s="43">
        <f>IFERROR(SUM($E$89:AJ89)/SUM($E$90:AJ90),"")</f>
        <v/>
      </c>
      <c r="AK92" s="43">
        <f>IFERROR(SUM($E$89:AK89)/SUM($E$90:AK90),"")</f>
        <v/>
      </c>
      <c r="AL92" s="43">
        <f>IFERROR(SUM($E$89:AL89)/SUM($E$90:AL90),"")</f>
        <v/>
      </c>
      <c r="AM92" s="43">
        <f>IFERROR(SUM($E$89:AM89)/SUM($E$90:AM90),"")</f>
        <v/>
      </c>
      <c r="AN92" s="43">
        <f>IFERROR(SUM($E$89:AN89)/SUM($E$90:AN90),"")</f>
        <v/>
      </c>
      <c r="AO92" s="43">
        <f>IFERROR(SUM($E$89:AO89)/SUM($E$90:AO90),"")</f>
        <v/>
      </c>
      <c r="AP92" s="43">
        <f>IFERROR(SUM($E$89:AP89)/SUM($E$90:AP90),"")</f>
        <v/>
      </c>
      <c r="AQ92" s="43">
        <f>IFERROR(SUM($E$89:AQ89)/SUM($E$90:AQ90),"")</f>
        <v/>
      </c>
      <c r="AR92" s="43">
        <f>IFERROR(SUM($E$89:AR89)/SUM($E$90:AR90),"")</f>
        <v/>
      </c>
      <c r="AS92" s="43">
        <f>IFERROR(SUM($E$89:AS89)/SUM($E$90:AS90),"")</f>
        <v/>
      </c>
      <c r="AT92" s="43">
        <f>IFERROR(SUM($E$89:AT89)/SUM($E$90:AT90),"")</f>
        <v/>
      </c>
      <c r="AU92" s="43">
        <f>IFERROR(SUM($E$89:AU89)/SUM($E$90:AU90),"")</f>
        <v/>
      </c>
      <c r="AV92" s="43">
        <f>IFERROR(SUM($E$89:AV89)/SUM($E$90:AV90),"")</f>
        <v/>
      </c>
      <c r="AW92" s="43">
        <f>IFERROR(SUM($E$89:AW89)/SUM($E$90:AW90),"")</f>
        <v/>
      </c>
      <c r="AX92" s="43">
        <f>IFERROR(SUM($E$89:AX89)/SUM($E$90:AX90),"")</f>
        <v/>
      </c>
      <c r="AY92" s="43">
        <f>IFERROR(SUM($E$89:AY89)/SUM($E$90:AY90),"")</f>
        <v/>
      </c>
      <c r="AZ92" s="43">
        <f>IFERROR(SUM($E$89:AZ89)/SUM($E$90:AZ90),"")</f>
        <v/>
      </c>
      <c r="BA92" s="43">
        <f>IFERROR(SUM($E$89:BA89)/SUM($E$90:BA90),"")</f>
        <v/>
      </c>
      <c r="BB92" s="43">
        <f>IFERROR(SUM($E$89:BB89)/SUM($E$90:BB90),"")</f>
        <v/>
      </c>
      <c r="BC92" s="43">
        <f>IFERROR(SUM($E$89:BC89)/SUM($E$90:BC90),"")</f>
        <v/>
      </c>
      <c r="BD92" s="43">
        <f>IFERROR(SUM($E$89:BD89)/SUM($E$90:BD90),"")</f>
        <v/>
      </c>
    </row>
    <row r="93"/>
    <row r="94" customFormat="1" s="1">
      <c r="A94" s="1" t="inlineStr">
        <is>
          <t>Ads</t>
        </is>
      </c>
      <c r="D94" s="24" t="inlineStr">
        <is>
          <t>$k</t>
        </is>
      </c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  <c r="AQ94" s="44" t="n"/>
      <c r="AR94" s="44" t="n"/>
      <c r="AS94" s="44" t="n"/>
      <c r="AT94" s="44" t="n"/>
      <c r="AU94" s="44" t="n"/>
      <c r="AV94" s="44" t="n"/>
      <c r="AW94" s="44" t="n"/>
      <c r="AX94" s="44" t="n"/>
      <c r="AY94" s="44" t="n"/>
      <c r="AZ94" s="44" t="n"/>
      <c r="BA94" s="44" t="n"/>
      <c r="BB94" s="44" t="n"/>
      <c r="BC94" s="44" t="n"/>
      <c r="BD94" s="44" t="n"/>
    </row>
    <row r="95" ht="15.75" customFormat="1" customHeight="1" s="1">
      <c r="B95" s="41" t="inlineStr">
        <is>
          <t>Finance Actuals (Monthly)</t>
        </is>
      </c>
      <c r="D95" s="32" t="inlineStr">
        <is>
          <t>$k</t>
        </is>
      </c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  <c r="AE95" s="44" t="n"/>
      <c r="AF95" s="44" t="n"/>
      <c r="AG95" s="44" t="n"/>
      <c r="AH95" s="44" t="n"/>
      <c r="AI95" s="44" t="n"/>
      <c r="AJ95" s="44" t="n"/>
      <c r="AK95" s="44" t="n"/>
      <c r="AL95" s="44" t="n"/>
      <c r="AM95" s="44" t="n"/>
      <c r="AN95" s="44" t="n"/>
      <c r="AO95" s="44" t="n"/>
      <c r="AP95" s="44" t="n"/>
      <c r="AQ95" s="44" t="n"/>
      <c r="AR95" s="44" t="n"/>
      <c r="AS95" s="44" t="n"/>
      <c r="AT95" s="44" t="n"/>
      <c r="AU95" s="44" t="n"/>
      <c r="AV95" s="44" t="n"/>
      <c r="AW95" s="44" t="n"/>
      <c r="AX95" s="44" t="n"/>
      <c r="AY95" s="44" t="n"/>
      <c r="AZ95" s="44" t="n"/>
      <c r="BA95" s="44" t="n"/>
      <c r="BB95" s="44" t="n"/>
      <c r="BC95" s="44" t="n"/>
      <c r="BD95" s="44" t="n"/>
    </row>
    <row r="96" ht="15.75" customHeight="1">
      <c r="B96" s="40" t="inlineStr">
        <is>
          <t>Budgeted (Monthly)</t>
        </is>
      </c>
      <c r="C96" s="40" t="n"/>
      <c r="D96" s="10" t="inlineStr">
        <is>
          <t>$k</t>
        </is>
      </c>
      <c r="E96" s="44" t="n"/>
      <c r="F96" s="44" t="n"/>
      <c r="G96" s="44" t="n"/>
      <c r="H96" s="44" t="n">
        <v>50</v>
      </c>
      <c r="I96" s="44" t="n"/>
      <c r="J96" s="44" t="n"/>
      <c r="K96" s="44" t="n"/>
      <c r="L96" s="44" t="n">
        <v>50</v>
      </c>
      <c r="M96" s="44" t="n"/>
      <c r="N96" s="44" t="n"/>
      <c r="O96" s="44" t="n"/>
      <c r="P96" s="44" t="n"/>
      <c r="Q96" s="44" t="n">
        <v>50</v>
      </c>
      <c r="R96" s="44" t="n"/>
      <c r="S96" s="44" t="n"/>
      <c r="T96" s="44" t="n"/>
      <c r="U96" s="44" t="n">
        <v>50</v>
      </c>
      <c r="V96" s="44" t="n"/>
      <c r="W96" s="44" t="n"/>
      <c r="X96" s="44" t="n"/>
      <c r="Y96" s="44" t="n"/>
      <c r="Z96" s="44" t="n">
        <v>50</v>
      </c>
      <c r="AA96" s="44" t="n"/>
      <c r="AB96" s="44" t="n"/>
      <c r="AC96" s="44" t="n"/>
      <c r="AD96" s="44" t="n">
        <v>50</v>
      </c>
      <c r="AE96" s="44" t="n"/>
      <c r="AF96" s="44" t="n"/>
      <c r="AG96" s="44" t="n"/>
      <c r="AH96" s="44" t="n">
        <v>50</v>
      </c>
      <c r="AI96" s="44" t="n"/>
      <c r="AJ96" s="44" t="n"/>
      <c r="AK96" s="44" t="n"/>
      <c r="AL96" s="44" t="n"/>
      <c r="AM96" s="44" t="n">
        <v>50</v>
      </c>
      <c r="AN96" s="44" t="n"/>
      <c r="AO96" s="44" t="n"/>
      <c r="AP96" s="44" t="n"/>
      <c r="AQ96" s="44" t="n">
        <v>50</v>
      </c>
      <c r="AR96" s="44" t="n"/>
      <c r="AS96" s="44" t="n"/>
      <c r="AT96" s="44" t="n"/>
      <c r="AU96" s="44" t="n">
        <v>50</v>
      </c>
      <c r="AV96" s="44" t="n"/>
      <c r="AW96" s="44" t="n"/>
      <c r="AX96" s="44" t="n"/>
      <c r="AY96" s="44" t="n"/>
      <c r="AZ96" s="44" t="n">
        <v>50</v>
      </c>
      <c r="BA96" s="44" t="n"/>
      <c r="BB96" s="44" t="n"/>
      <c r="BC96" s="44" t="n"/>
      <c r="BD96" s="44" t="n">
        <v>50</v>
      </c>
    </row>
    <row r="97">
      <c r="B97" t="inlineStr">
        <is>
          <t>As % of budget - this month</t>
        </is>
      </c>
      <c r="D97" s="6" t="inlineStr">
        <is>
          <t>%</t>
        </is>
      </c>
      <c r="E97" s="43">
        <f>IFERROR(E95/E96,"")</f>
        <v/>
      </c>
      <c r="F97" s="43">
        <f>IFERROR(F95/F96,"")</f>
        <v/>
      </c>
      <c r="G97" s="43">
        <f>IFERROR(G95/G96,"")</f>
        <v/>
      </c>
      <c r="H97" s="43">
        <f>IFERROR(H95/H96,"")</f>
        <v/>
      </c>
      <c r="I97" s="43">
        <f>IFERROR(I95/I96,"")</f>
        <v/>
      </c>
      <c r="J97" s="43">
        <f>IFERROR(J95/J96,"")</f>
        <v/>
      </c>
      <c r="K97" s="43">
        <f>IFERROR(K95/K96,"")</f>
        <v/>
      </c>
      <c r="L97" s="43">
        <f>IFERROR(L95/L96,"")</f>
        <v/>
      </c>
      <c r="M97" s="43">
        <f>IFERROR(M95/M96,"")</f>
        <v/>
      </c>
      <c r="N97" s="43">
        <f>IFERROR(N95/N96,"")</f>
        <v/>
      </c>
      <c r="O97" s="43">
        <f>IFERROR(O95/O96,"")</f>
        <v/>
      </c>
      <c r="P97" s="43">
        <f>IFERROR(P95/P96,"")</f>
        <v/>
      </c>
      <c r="Q97" s="43">
        <f>IFERROR(Q95/Q96,"")</f>
        <v/>
      </c>
      <c r="R97" s="43">
        <f>IFERROR(R95/R96,"")</f>
        <v/>
      </c>
      <c r="S97" s="43">
        <f>IFERROR(S95/S96,"")</f>
        <v/>
      </c>
      <c r="T97" s="43">
        <f>IFERROR(T95/T96,"")</f>
        <v/>
      </c>
      <c r="U97" s="43">
        <f>IFERROR(U95/U96,"")</f>
        <v/>
      </c>
      <c r="V97" s="43">
        <f>IFERROR(V95/V96,"")</f>
        <v/>
      </c>
      <c r="W97" s="43">
        <f>IFERROR(W95/W96,"")</f>
        <v/>
      </c>
      <c r="X97" s="43">
        <f>IFERROR(X95/X96,"")</f>
        <v/>
      </c>
      <c r="Y97" s="43">
        <f>IFERROR(Y95/Y96,"")</f>
        <v/>
      </c>
      <c r="Z97" s="43">
        <f>IFERROR(Z95/Z96,"")</f>
        <v/>
      </c>
      <c r="AA97" s="43">
        <f>IFERROR(AA95/AA96,"")</f>
        <v/>
      </c>
      <c r="AB97" s="43">
        <f>IFERROR(AB95/AB96,"")</f>
        <v/>
      </c>
      <c r="AC97" s="43">
        <f>IFERROR(AC95/AC96,"")</f>
        <v/>
      </c>
      <c r="AD97" s="43">
        <f>IFERROR(AD95/AD96,"")</f>
        <v/>
      </c>
      <c r="AE97" s="43">
        <f>IFERROR(AE95/AE96,"")</f>
        <v/>
      </c>
      <c r="AF97" s="43">
        <f>IFERROR(AF95/AF96,"")</f>
        <v/>
      </c>
      <c r="AG97" s="43">
        <f>IFERROR(AG95/AG96,"")</f>
        <v/>
      </c>
      <c r="AH97" s="43">
        <f>IFERROR(AH95/AH96,"")</f>
        <v/>
      </c>
      <c r="AI97" s="43">
        <f>IFERROR(AI95/AI96,"")</f>
        <v/>
      </c>
      <c r="AJ97" s="43">
        <f>IFERROR(AJ95/AJ96,"")</f>
        <v/>
      </c>
      <c r="AK97" s="43">
        <f>IFERROR(AK95/AK96,"")</f>
        <v/>
      </c>
      <c r="AL97" s="43">
        <f>IFERROR(AL95/AL96,"")</f>
        <v/>
      </c>
      <c r="AM97" s="43">
        <f>IFERROR(AM95/AM96,"")</f>
        <v/>
      </c>
      <c r="AN97" s="43">
        <f>IFERROR(AN95/AN96,"")</f>
        <v/>
      </c>
      <c r="AO97" s="43">
        <f>IFERROR(AO95/AO96,"")</f>
        <v/>
      </c>
      <c r="AP97" s="43">
        <f>IFERROR(AP95/AP96,"")</f>
        <v/>
      </c>
      <c r="AQ97" s="43">
        <f>IFERROR(AQ95/AQ96,"")</f>
        <v/>
      </c>
      <c r="AR97" s="43">
        <f>IFERROR(AR95/AR96,"")</f>
        <v/>
      </c>
      <c r="AS97" s="43">
        <f>IFERROR(AS95/AS96,"")</f>
        <v/>
      </c>
      <c r="AT97" s="43">
        <f>IFERROR(AT95/AT96,"")</f>
        <v/>
      </c>
      <c r="AU97" s="43">
        <f>IFERROR(AU95/AU96,"")</f>
        <v/>
      </c>
      <c r="AV97" s="43">
        <f>IFERROR(AV95/AV96,"")</f>
        <v/>
      </c>
      <c r="AW97" s="43">
        <f>IFERROR(AW95/AW96,"")</f>
        <v/>
      </c>
      <c r="AX97" s="43">
        <f>IFERROR(AX95/AX96,"")</f>
        <v/>
      </c>
      <c r="AY97" s="43">
        <f>IFERROR(AY95/AY96,"")</f>
        <v/>
      </c>
      <c r="AZ97" s="43">
        <f>IFERROR(AZ95/AZ96,"")</f>
        <v/>
      </c>
      <c r="BA97" s="43">
        <f>IFERROR(BA95/BA96,"")</f>
        <v/>
      </c>
      <c r="BB97" s="43">
        <f>IFERROR(BB95/BB96,"")</f>
        <v/>
      </c>
      <c r="BC97" s="43">
        <f>IFERROR(BC95/BC96,"")</f>
        <v/>
      </c>
      <c r="BD97" s="43">
        <f>IFERROR(BD95/BD96,"")</f>
        <v/>
      </c>
    </row>
    <row r="98">
      <c r="B98" t="inlineStr">
        <is>
          <t>As % of budget - YTD</t>
        </is>
      </c>
      <c r="D98" s="6" t="inlineStr">
        <is>
          <t>%</t>
        </is>
      </c>
      <c r="E98" s="43">
        <f>IFERROR(SUM($E$95:E95)/SUM($E$96:E96),"")</f>
        <v/>
      </c>
      <c r="F98" s="43">
        <f>IFERROR(SUM($E$95:F95)/SUM($E$96:F96),"")</f>
        <v/>
      </c>
      <c r="G98" s="43">
        <f>IFERROR(SUM($E$95:G95)/SUM($E$96:G96),"")</f>
        <v/>
      </c>
      <c r="H98" s="43">
        <f>IFERROR(SUM($E$95:H95)/SUM($E$96:H96),"")</f>
        <v/>
      </c>
      <c r="I98" s="43">
        <f>IFERROR(SUM($E$95:I95)/SUM($E$96:I96),"")</f>
        <v/>
      </c>
      <c r="J98" s="43">
        <f>IFERROR(SUM($E$95:J95)/SUM($E$96:J96),"")</f>
        <v/>
      </c>
      <c r="K98" s="43">
        <f>IFERROR(SUM($E$95:K95)/SUM($E$96:K96),"")</f>
        <v/>
      </c>
      <c r="L98" s="43">
        <f>IFERROR(SUM($E$95:L95)/SUM($E$96:L96),"")</f>
        <v/>
      </c>
      <c r="M98" s="43">
        <f>IFERROR(SUM($E$95:M95)/SUM($E$96:M96),"")</f>
        <v/>
      </c>
      <c r="N98" s="43">
        <f>IFERROR(SUM($E$95:N95)/SUM($E$96:N96),"")</f>
        <v/>
      </c>
      <c r="O98" s="43">
        <f>IFERROR(SUM($E$95:O95)/SUM($E$96:O96),"")</f>
        <v/>
      </c>
      <c r="P98" s="43">
        <f>IFERROR(SUM($E$95:P95)/SUM($E$96:P96),"")</f>
        <v/>
      </c>
      <c r="Q98" s="43">
        <f>IFERROR(SUM($E$95:Q95)/SUM($E$96:Q96),"")</f>
        <v/>
      </c>
      <c r="R98" s="43">
        <f>IFERROR(SUM($E$95:R95)/SUM($E$96:R96),"")</f>
        <v/>
      </c>
      <c r="S98" s="43">
        <f>IFERROR(SUM($E$95:S95)/SUM($E$96:S96),"")</f>
        <v/>
      </c>
      <c r="T98" s="43">
        <f>IFERROR(SUM($E$95:T95)/SUM($E$96:T96),"")</f>
        <v/>
      </c>
      <c r="U98" s="43">
        <f>IFERROR(SUM($E$95:U95)/SUM($E$96:U96),"")</f>
        <v/>
      </c>
      <c r="V98" s="43">
        <f>IFERROR(SUM($E$95:V95)/SUM($E$96:V96),"")</f>
        <v/>
      </c>
      <c r="W98" s="43">
        <f>IFERROR(SUM($E$95:W95)/SUM($E$96:W96),"")</f>
        <v/>
      </c>
      <c r="X98" s="43">
        <f>IFERROR(SUM($E$95:X95)/SUM($E$96:X96),"")</f>
        <v/>
      </c>
      <c r="Y98" s="43">
        <f>IFERROR(SUM($E$95:Y95)/SUM($E$96:Y96),"")</f>
        <v/>
      </c>
      <c r="Z98" s="43">
        <f>IFERROR(SUM($E$95:Z95)/SUM($E$96:Z96),"")</f>
        <v/>
      </c>
      <c r="AA98" s="43">
        <f>IFERROR(SUM($E$95:AA95)/SUM($E$96:AA96),"")</f>
        <v/>
      </c>
      <c r="AB98" s="43">
        <f>IFERROR(SUM($E$95:AB95)/SUM($E$96:AB96),"")</f>
        <v/>
      </c>
      <c r="AC98" s="43">
        <f>IFERROR(SUM($E$95:AC95)/SUM($E$96:AC96),"")</f>
        <v/>
      </c>
      <c r="AD98" s="43">
        <f>IFERROR(SUM($E$95:AD95)/SUM($E$96:AD96),"")</f>
        <v/>
      </c>
      <c r="AE98" s="43">
        <f>IFERROR(SUM($E$95:AE95)/SUM($E$96:AE96),"")</f>
        <v/>
      </c>
      <c r="AF98" s="43">
        <f>IFERROR(SUM($E$95:AF95)/SUM($E$96:AF96),"")</f>
        <v/>
      </c>
      <c r="AG98" s="43">
        <f>IFERROR(SUM($E$95:AG95)/SUM($E$96:AG96),"")</f>
        <v/>
      </c>
      <c r="AH98" s="43">
        <f>IFERROR(SUM($E$95:AH95)/SUM($E$96:AH96),"")</f>
        <v/>
      </c>
      <c r="AI98" s="43">
        <f>IFERROR(SUM($E$95:AI95)/SUM($E$96:AI96),"")</f>
        <v/>
      </c>
      <c r="AJ98" s="43">
        <f>IFERROR(SUM($E$95:AJ95)/SUM($E$96:AJ96),"")</f>
        <v/>
      </c>
      <c r="AK98" s="43">
        <f>IFERROR(SUM($E$95:AK95)/SUM($E$96:AK96),"")</f>
        <v/>
      </c>
      <c r="AL98" s="43">
        <f>IFERROR(SUM($E$95:AL95)/SUM($E$96:AL96),"")</f>
        <v/>
      </c>
      <c r="AM98" s="43">
        <f>IFERROR(SUM($E$95:AM95)/SUM($E$96:AM96),"")</f>
        <v/>
      </c>
      <c r="AN98" s="43">
        <f>IFERROR(SUM($E$95:AN95)/SUM($E$96:AN96),"")</f>
        <v/>
      </c>
      <c r="AO98" s="43">
        <f>IFERROR(SUM($E$95:AO95)/SUM($E$96:AO96),"")</f>
        <v/>
      </c>
      <c r="AP98" s="43">
        <f>IFERROR(SUM($E$95:AP95)/SUM($E$96:AP96),"")</f>
        <v/>
      </c>
      <c r="AQ98" s="43">
        <f>IFERROR(SUM($E$95:AQ95)/SUM($E$96:AQ96),"")</f>
        <v/>
      </c>
      <c r="AR98" s="43">
        <f>IFERROR(SUM($E$95:AR95)/SUM($E$96:AR96),"")</f>
        <v/>
      </c>
      <c r="AS98" s="43">
        <f>IFERROR(SUM($E$95:AS95)/SUM($E$96:AS96),"")</f>
        <v/>
      </c>
      <c r="AT98" s="43">
        <f>IFERROR(SUM($E$95:AT95)/SUM($E$96:AT96),"")</f>
        <v/>
      </c>
      <c r="AU98" s="43">
        <f>IFERROR(SUM($E$95:AU95)/SUM($E$96:AU96),"")</f>
        <v/>
      </c>
      <c r="AV98" s="43">
        <f>IFERROR(SUM($E$95:AV95)/SUM($E$96:AV96),"")</f>
        <v/>
      </c>
      <c r="AW98" s="43">
        <f>IFERROR(SUM($E$95:AW95)/SUM($E$96:AW96),"")</f>
        <v/>
      </c>
      <c r="AX98" s="43">
        <f>IFERROR(SUM($E$95:AX95)/SUM($E$96:AX96),"")</f>
        <v/>
      </c>
      <c r="AY98" s="43">
        <f>IFERROR(SUM($E$95:AY95)/SUM($E$96:AY96),"")</f>
        <v/>
      </c>
      <c r="AZ98" s="43">
        <f>IFERROR(SUM($E$95:AZ95)/SUM($E$96:AZ96),"")</f>
        <v/>
      </c>
      <c r="BA98" s="43">
        <f>IFERROR(SUM($E$95:BA95)/SUM($E$96:BA96),"")</f>
        <v/>
      </c>
      <c r="BB98" s="43">
        <f>IFERROR(SUM($E$95:BB95)/SUM($E$96:BB96),"")</f>
        <v/>
      </c>
      <c r="BC98" s="43">
        <f>IFERROR(SUM($E$95:BC95)/SUM($E$96:BC96),"")</f>
        <v/>
      </c>
      <c r="BD98" s="43">
        <f>IFERROR(SUM($E$95:BD95)/SUM($E$96:BD96),"")</f>
        <v/>
      </c>
    </row>
    <row r="99"/>
    <row r="100" ht="15.75" customFormat="1" customHeight="1" s="1">
      <c r="A100" s="1" t="inlineStr">
        <is>
          <t>Other Marketing - Retail marketing, etc</t>
        </is>
      </c>
      <c r="D100" s="24" t="inlineStr">
        <is>
          <t>$k</t>
        </is>
      </c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  <c r="AQ100" s="44" t="n"/>
      <c r="AR100" s="44" t="n"/>
      <c r="AS100" s="44" t="n"/>
      <c r="AT100" s="44" t="n"/>
      <c r="AU100" s="44" t="n"/>
      <c r="AV100" s="44" t="n"/>
      <c r="AW100" s="44" t="n"/>
      <c r="AX100" s="44" t="n"/>
      <c r="AY100" s="44" t="n"/>
      <c r="AZ100" s="44" t="n"/>
      <c r="BA100" s="44" t="n"/>
      <c r="BB100" s="44" t="n"/>
      <c r="BC100" s="44" t="n"/>
      <c r="BD100" s="44" t="n"/>
    </row>
    <row r="101" ht="15.75" customFormat="1" customHeight="1" s="1">
      <c r="B101" s="41" t="inlineStr">
        <is>
          <t>Finance Actuals (Monthly)</t>
        </is>
      </c>
      <c r="D101" s="32" t="inlineStr">
        <is>
          <t>$k</t>
        </is>
      </c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  <c r="AQ101" s="44" t="n"/>
      <c r="AR101" s="44" t="n"/>
      <c r="AS101" s="44" t="n"/>
      <c r="AT101" s="44" t="n"/>
      <c r="AU101" s="44" t="n"/>
      <c r="AV101" s="44" t="n"/>
      <c r="AW101" s="44" t="n"/>
      <c r="AX101" s="44" t="n"/>
      <c r="AY101" s="44" t="n"/>
      <c r="AZ101" s="44" t="n"/>
      <c r="BA101" s="44" t="n"/>
      <c r="BB101" s="44" t="n"/>
      <c r="BC101" s="44" t="n"/>
      <c r="BD101" s="44" t="n"/>
    </row>
    <row r="102" ht="15.75" customHeight="1">
      <c r="B102" s="40" t="inlineStr">
        <is>
          <t>Budgeted (Monthly)</t>
        </is>
      </c>
      <c r="C102" s="40" t="n"/>
      <c r="D102" s="10" t="inlineStr">
        <is>
          <t>$k</t>
        </is>
      </c>
      <c r="E102" s="44" t="n"/>
      <c r="F102" s="44" t="n"/>
      <c r="G102" s="44" t="n"/>
      <c r="H102" s="44" t="n">
        <v>2.5</v>
      </c>
      <c r="I102" s="44" t="n"/>
      <c r="J102" s="44" t="n"/>
      <c r="K102" s="44" t="n"/>
      <c r="L102" s="44" t="n">
        <v>2.5</v>
      </c>
      <c r="M102" s="44" t="n"/>
      <c r="N102" s="44" t="n"/>
      <c r="O102" s="44" t="n"/>
      <c r="P102" s="44" t="n"/>
      <c r="Q102" s="44" t="n">
        <v>2.5</v>
      </c>
      <c r="R102" s="44" t="n"/>
      <c r="S102" s="44" t="n"/>
      <c r="T102" s="44" t="n"/>
      <c r="U102" s="44" t="n">
        <v>502.5</v>
      </c>
      <c r="V102" s="44" t="n"/>
      <c r="W102" s="44" t="n"/>
      <c r="X102" s="44" t="n"/>
      <c r="Y102" s="44" t="n"/>
      <c r="Z102" s="44" t="n">
        <v>502.5</v>
      </c>
      <c r="AA102" s="44" t="n"/>
      <c r="AB102" s="44" t="n"/>
      <c r="AC102" s="44" t="n"/>
      <c r="AD102" s="44" t="n">
        <v>502.5</v>
      </c>
      <c r="AE102" s="44" t="n"/>
      <c r="AF102" s="44" t="n"/>
      <c r="AG102" s="44" t="n"/>
      <c r="AH102" s="44" t="n">
        <v>2.5</v>
      </c>
      <c r="AI102" s="44" t="n"/>
      <c r="AJ102" s="44" t="n"/>
      <c r="AK102" s="44" t="n"/>
      <c r="AL102" s="44" t="n"/>
      <c r="AM102" s="44" t="n">
        <v>2.5</v>
      </c>
      <c r="AN102" s="44" t="n"/>
      <c r="AO102" s="44" t="n"/>
      <c r="AP102" s="44" t="n"/>
      <c r="AQ102" s="44" t="n">
        <v>2.5</v>
      </c>
      <c r="AR102" s="44" t="n"/>
      <c r="AS102" s="44" t="n"/>
      <c r="AT102" s="44" t="n"/>
      <c r="AU102" s="44" t="n">
        <v>2.5</v>
      </c>
      <c r="AV102" s="44" t="n"/>
      <c r="AW102" s="44" t="n"/>
      <c r="AX102" s="44" t="n"/>
      <c r="AY102" s="44" t="n"/>
      <c r="AZ102" s="44" t="n">
        <v>2.5</v>
      </c>
      <c r="BA102" s="44" t="n"/>
      <c r="BB102" s="44" t="n"/>
      <c r="BC102" s="44" t="n"/>
      <c r="BD102" s="44" t="n">
        <v>2.5</v>
      </c>
    </row>
    <row r="103">
      <c r="B103" t="inlineStr">
        <is>
          <t>As % of budget - this month</t>
        </is>
      </c>
      <c r="D103" s="6" t="inlineStr">
        <is>
          <t>%</t>
        </is>
      </c>
      <c r="E103" s="43">
        <f>IFERROR(E101/E102,"")</f>
        <v/>
      </c>
      <c r="F103" s="43">
        <f>IFERROR(F101/F102,"")</f>
        <v/>
      </c>
      <c r="G103" s="43">
        <f>IFERROR(G101/G102,"")</f>
        <v/>
      </c>
      <c r="H103" s="43">
        <f>IFERROR(H101/H102,"")</f>
        <v/>
      </c>
      <c r="I103" s="43">
        <f>IFERROR(I101/I102,"")</f>
        <v/>
      </c>
      <c r="J103" s="43">
        <f>IFERROR(J101/J102,"")</f>
        <v/>
      </c>
      <c r="K103" s="43">
        <f>IFERROR(K101/K102,"")</f>
        <v/>
      </c>
      <c r="L103" s="43">
        <f>IFERROR(L101/L102,"")</f>
        <v/>
      </c>
      <c r="M103" s="43">
        <f>IFERROR(M101/M102,"")</f>
        <v/>
      </c>
      <c r="N103" s="43">
        <f>IFERROR(N101/N102,"")</f>
        <v/>
      </c>
      <c r="O103" s="43">
        <f>IFERROR(O101/O102,"")</f>
        <v/>
      </c>
      <c r="P103" s="43">
        <f>IFERROR(P101/P102,"")</f>
        <v/>
      </c>
      <c r="Q103" s="43">
        <f>IFERROR(Q101/Q102,"")</f>
        <v/>
      </c>
      <c r="R103" s="43">
        <f>IFERROR(R101/R102,"")</f>
        <v/>
      </c>
      <c r="S103" s="43">
        <f>IFERROR(S101/S102,"")</f>
        <v/>
      </c>
      <c r="T103" s="43">
        <f>IFERROR(T101/T102,"")</f>
        <v/>
      </c>
      <c r="U103" s="43">
        <f>IFERROR(U101/U102,"")</f>
        <v/>
      </c>
      <c r="V103" s="43">
        <f>IFERROR(V101/V102,"")</f>
        <v/>
      </c>
      <c r="W103" s="43">
        <f>IFERROR(W101/W102,"")</f>
        <v/>
      </c>
      <c r="X103" s="43">
        <f>IFERROR(X101/X102,"")</f>
        <v/>
      </c>
      <c r="Y103" s="43">
        <f>IFERROR(Y101/Y102,"")</f>
        <v/>
      </c>
      <c r="Z103" s="43">
        <f>IFERROR(Z101/Z102,"")</f>
        <v/>
      </c>
      <c r="AA103" s="43">
        <f>IFERROR(AA101/AA102,"")</f>
        <v/>
      </c>
      <c r="AB103" s="43">
        <f>IFERROR(AB101/AB102,"")</f>
        <v/>
      </c>
      <c r="AC103" s="43">
        <f>IFERROR(AC101/AC102,"")</f>
        <v/>
      </c>
      <c r="AD103" s="43">
        <f>IFERROR(AD101/AD102,"")</f>
        <v/>
      </c>
      <c r="AE103" s="43">
        <f>IFERROR(AE101/AE102,"")</f>
        <v/>
      </c>
      <c r="AF103" s="43">
        <f>IFERROR(AF101/AF102,"")</f>
        <v/>
      </c>
      <c r="AG103" s="43">
        <f>IFERROR(AG101/AG102,"")</f>
        <v/>
      </c>
      <c r="AH103" s="43">
        <f>IFERROR(AH101/AH102,"")</f>
        <v/>
      </c>
      <c r="AI103" s="43">
        <f>IFERROR(AI101/AI102,"")</f>
        <v/>
      </c>
      <c r="AJ103" s="43">
        <f>IFERROR(AJ101/AJ102,"")</f>
        <v/>
      </c>
      <c r="AK103" s="43">
        <f>IFERROR(AK101/AK102,"")</f>
        <v/>
      </c>
      <c r="AL103" s="43">
        <f>IFERROR(AL101/AL102,"")</f>
        <v/>
      </c>
      <c r="AM103" s="43">
        <f>IFERROR(AM101/AM102,"")</f>
        <v/>
      </c>
      <c r="AN103" s="43">
        <f>IFERROR(AN101/AN102,"")</f>
        <v/>
      </c>
      <c r="AO103" s="43">
        <f>IFERROR(AO101/AO102,"")</f>
        <v/>
      </c>
      <c r="AP103" s="43">
        <f>IFERROR(AP101/AP102,"")</f>
        <v/>
      </c>
      <c r="AQ103" s="43">
        <f>IFERROR(AQ101/AQ102,"")</f>
        <v/>
      </c>
      <c r="AR103" s="43">
        <f>IFERROR(AR101/AR102,"")</f>
        <v/>
      </c>
      <c r="AS103" s="43">
        <f>IFERROR(AS101/AS102,"")</f>
        <v/>
      </c>
      <c r="AT103" s="43">
        <f>IFERROR(AT101/AT102,"")</f>
        <v/>
      </c>
      <c r="AU103" s="43">
        <f>IFERROR(AU101/AU102,"")</f>
        <v/>
      </c>
      <c r="AV103" s="43">
        <f>IFERROR(AV101/AV102,"")</f>
        <v/>
      </c>
      <c r="AW103" s="43">
        <f>IFERROR(AW101/AW102,"")</f>
        <v/>
      </c>
      <c r="AX103" s="43">
        <f>IFERROR(AX101/AX102,"")</f>
        <v/>
      </c>
      <c r="AY103" s="43">
        <f>IFERROR(AY101/AY102,"")</f>
        <v/>
      </c>
      <c r="AZ103" s="43">
        <f>IFERROR(AZ101/AZ102,"")</f>
        <v/>
      </c>
      <c r="BA103" s="43">
        <f>IFERROR(BA101/BA102,"")</f>
        <v/>
      </c>
      <c r="BB103" s="43">
        <f>IFERROR(BB101/BB102,"")</f>
        <v/>
      </c>
      <c r="BC103" s="43">
        <f>IFERROR(BC101/BC102,"")</f>
        <v/>
      </c>
      <c r="BD103" s="43">
        <f>IFERROR(BD101/BD102,"")</f>
        <v/>
      </c>
    </row>
    <row r="104">
      <c r="B104" t="inlineStr">
        <is>
          <t>As % of budget - YTD</t>
        </is>
      </c>
      <c r="D104" s="6" t="inlineStr">
        <is>
          <t>%</t>
        </is>
      </c>
      <c r="E104" s="43">
        <f>IFERROR(SUM($E$101:E101)/SUM($E$102:E102),"")</f>
        <v/>
      </c>
      <c r="F104" s="43">
        <f>IFERROR(SUM($E$101:F101)/SUM($E$102:F102),"")</f>
        <v/>
      </c>
      <c r="G104" s="43">
        <f>IFERROR(SUM($E$101:G101)/SUM($E$102:G102),"")</f>
        <v/>
      </c>
      <c r="H104" s="43">
        <f>IFERROR(SUM($E$101:H101)/SUM($E$102:H102),"")</f>
        <v/>
      </c>
      <c r="I104" s="43">
        <f>IFERROR(SUM($E$101:I101)/SUM($E$102:I102),"")</f>
        <v/>
      </c>
      <c r="J104" s="43">
        <f>IFERROR(SUM($E$101:J101)/SUM($E$102:J102),"")</f>
        <v/>
      </c>
      <c r="K104" s="43">
        <f>IFERROR(SUM($E$101:K101)/SUM($E$102:K102),"")</f>
        <v/>
      </c>
      <c r="L104" s="43">
        <f>IFERROR(SUM($E$101:L101)/SUM($E$102:L102),"")</f>
        <v/>
      </c>
      <c r="M104" s="43">
        <f>IFERROR(SUM($E$101:M101)/SUM($E$102:M102),"")</f>
        <v/>
      </c>
      <c r="N104" s="43">
        <f>IFERROR(SUM($E$101:N101)/SUM($E$102:N102),"")</f>
        <v/>
      </c>
      <c r="O104" s="43">
        <f>IFERROR(SUM($E$101:O101)/SUM($E$102:O102),"")</f>
        <v/>
      </c>
      <c r="P104" s="43">
        <f>IFERROR(SUM($E$101:P101)/SUM($E$102:P102),"")</f>
        <v/>
      </c>
      <c r="Q104" s="43">
        <f>IFERROR(SUM($E$101:Q101)/SUM($E$102:Q102),"")</f>
        <v/>
      </c>
      <c r="R104" s="43">
        <f>IFERROR(SUM($E$101:R101)/SUM($E$102:R102),"")</f>
        <v/>
      </c>
      <c r="S104" s="43">
        <f>IFERROR(SUM($E$101:S101)/SUM($E$102:S102),"")</f>
        <v/>
      </c>
      <c r="T104" s="43">
        <f>IFERROR(SUM($E$101:T101)/SUM($E$102:T102),"")</f>
        <v/>
      </c>
      <c r="U104" s="43">
        <f>IFERROR(SUM($E$101:U101)/SUM($E$102:U102),"")</f>
        <v/>
      </c>
      <c r="V104" s="43">
        <f>IFERROR(SUM($E$101:V101)/SUM($E$102:V102),"")</f>
        <v/>
      </c>
      <c r="W104" s="43">
        <f>IFERROR(SUM($E$101:W101)/SUM($E$102:W102),"")</f>
        <v/>
      </c>
      <c r="X104" s="43">
        <f>IFERROR(SUM($E$101:X101)/SUM($E$102:X102),"")</f>
        <v/>
      </c>
      <c r="Y104" s="43">
        <f>IFERROR(SUM($E$101:Y101)/SUM($E$102:Y102),"")</f>
        <v/>
      </c>
      <c r="Z104" s="43">
        <f>IFERROR(SUM($E$101:Z101)/SUM($E$102:Z102),"")</f>
        <v/>
      </c>
      <c r="AA104" s="43">
        <f>IFERROR(SUM($E$101:AA101)/SUM($E$102:AA102),"")</f>
        <v/>
      </c>
      <c r="AB104" s="43">
        <f>IFERROR(SUM($E$101:AB101)/SUM($E$102:AB102),"")</f>
        <v/>
      </c>
      <c r="AC104" s="43">
        <f>IFERROR(SUM($E$101:AC101)/SUM($E$102:AC102),"")</f>
        <v/>
      </c>
      <c r="AD104" s="43">
        <f>IFERROR(SUM($E$101:AD101)/SUM($E$102:AD102),"")</f>
        <v/>
      </c>
      <c r="AE104" s="43">
        <f>IFERROR(SUM($E$101:AE101)/SUM($E$102:AE102),"")</f>
        <v/>
      </c>
      <c r="AF104" s="43">
        <f>IFERROR(SUM($E$101:AF101)/SUM($E$102:AF102),"")</f>
        <v/>
      </c>
      <c r="AG104" s="43">
        <f>IFERROR(SUM($E$101:AG101)/SUM($E$102:AG102),"")</f>
        <v/>
      </c>
      <c r="AH104" s="43">
        <f>IFERROR(SUM($E$101:AH101)/SUM($E$102:AH102),"")</f>
        <v/>
      </c>
      <c r="AI104" s="43">
        <f>IFERROR(SUM($E$101:AI101)/SUM($E$102:AI102),"")</f>
        <v/>
      </c>
      <c r="AJ104" s="43">
        <f>IFERROR(SUM($E$101:AJ101)/SUM($E$102:AJ102),"")</f>
        <v/>
      </c>
      <c r="AK104" s="43">
        <f>IFERROR(SUM($E$101:AK101)/SUM($E$102:AK102),"")</f>
        <v/>
      </c>
      <c r="AL104" s="43">
        <f>IFERROR(SUM($E$101:AL101)/SUM($E$102:AL102),"")</f>
        <v/>
      </c>
      <c r="AM104" s="43">
        <f>IFERROR(SUM($E$101:AM101)/SUM($E$102:AM102),"")</f>
        <v/>
      </c>
      <c r="AN104" s="43">
        <f>IFERROR(SUM($E$101:AN101)/SUM($E$102:AN102),"")</f>
        <v/>
      </c>
      <c r="AO104" s="43">
        <f>IFERROR(SUM($E$101:AO101)/SUM($E$102:AO102),"")</f>
        <v/>
      </c>
      <c r="AP104" s="43">
        <f>IFERROR(SUM($E$101:AP101)/SUM($E$102:AP102),"")</f>
        <v/>
      </c>
      <c r="AQ104" s="43">
        <f>IFERROR(SUM($E$101:AQ101)/SUM($E$102:AQ102),"")</f>
        <v/>
      </c>
      <c r="AR104" s="43">
        <f>IFERROR(SUM($E$101:AR101)/SUM($E$102:AR102),"")</f>
        <v/>
      </c>
      <c r="AS104" s="43">
        <f>IFERROR(SUM($E$101:AS101)/SUM($E$102:AS102),"")</f>
        <v/>
      </c>
      <c r="AT104" s="43">
        <f>IFERROR(SUM($E$101:AT101)/SUM($E$102:AT102),"")</f>
        <v/>
      </c>
      <c r="AU104" s="43">
        <f>IFERROR(SUM($E$101:AU101)/SUM($E$102:AU102),"")</f>
        <v/>
      </c>
      <c r="AV104" s="43">
        <f>IFERROR(SUM($E$101:AV101)/SUM($E$102:AV102),"")</f>
        <v/>
      </c>
      <c r="AW104" s="43">
        <f>IFERROR(SUM($E$101:AW101)/SUM($E$102:AW102),"")</f>
        <v/>
      </c>
      <c r="AX104" s="43">
        <f>IFERROR(SUM($E$101:AX101)/SUM($E$102:AX102),"")</f>
        <v/>
      </c>
      <c r="AY104" s="43">
        <f>IFERROR(SUM($E$101:AY101)/SUM($E$102:AY102),"")</f>
        <v/>
      </c>
      <c r="AZ104" s="43">
        <f>IFERROR(SUM($E$101:AZ101)/SUM($E$102:AZ102),"")</f>
        <v/>
      </c>
      <c r="BA104" s="43">
        <f>IFERROR(SUM($E$101:BA101)/SUM($E$102:BA102),"")</f>
        <v/>
      </c>
      <c r="BB104" s="43">
        <f>IFERROR(SUM($E$101:BB101)/SUM($E$102:BB102),"")</f>
        <v/>
      </c>
      <c r="BC104" s="43">
        <f>IFERROR(SUM($E$101:BC101)/SUM($E$102:BC102),"")</f>
        <v/>
      </c>
      <c r="BD104" s="43">
        <f>IFERROR(SUM($E$101:BD101)/SUM($E$102:BD102),"")</f>
        <v/>
      </c>
    </row>
    <row r="105"/>
    <row r="106"/>
    <row r="107" customFormat="1" s="29">
      <c r="A107" s="28" t="inlineStr">
        <is>
          <t>The Home Deport (In-store + Online)</t>
        </is>
      </c>
      <c r="D107" s="30" t="n"/>
    </row>
    <row r="108">
      <c r="A108" s="1" t="inlineStr">
        <is>
          <t>Sell-in value</t>
        </is>
      </c>
      <c r="D108" s="24" t="inlineStr">
        <is>
          <t>$k</t>
        </is>
      </c>
      <c r="E108" s="42" t="n">
        <v>57.569</v>
      </c>
      <c r="F108" s="42" t="n">
        <v>222.528</v>
      </c>
      <c r="G108" s="42" t="n">
        <v>196.031</v>
      </c>
      <c r="H108" s="42" t="n">
        <v>142.685</v>
      </c>
      <c r="I108" s="42" t="n">
        <v>1550.09</v>
      </c>
      <c r="J108" s="42" t="n">
        <v>579.847</v>
      </c>
      <c r="K108" s="42" t="n">
        <v>80.14</v>
      </c>
      <c r="L108" s="42" t="n">
        <v>363.178</v>
      </c>
      <c r="M108" s="42" t="n">
        <v>133.191</v>
      </c>
      <c r="N108" s="42" t="n">
        <v>279.306</v>
      </c>
      <c r="O108" s="42" t="n">
        <v>125.933</v>
      </c>
      <c r="P108" s="42" t="n">
        <v>476.66</v>
      </c>
      <c r="Q108" s="42" t="n">
        <v>169.942</v>
      </c>
      <c r="R108" s="42" t="n">
        <v>-1119.731</v>
      </c>
      <c r="S108" s="42" t="n">
        <v>58.988</v>
      </c>
      <c r="T108" s="42" t="n">
        <v>191.748</v>
      </c>
      <c r="U108" s="42" t="n">
        <v>95.827</v>
      </c>
      <c r="V108" s="42" t="n">
        <v>192.472</v>
      </c>
      <c r="W108" s="42" t="n">
        <v>205.05</v>
      </c>
      <c r="X108" s="42" t="n">
        <v>247.52</v>
      </c>
      <c r="Y108" s="42" t="n">
        <v>372.917</v>
      </c>
      <c r="Z108" s="42" t="n">
        <v>136.162</v>
      </c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</row>
    <row r="109" customFormat="1" s="4">
      <c r="A109" s="3" t="n"/>
      <c r="B109" s="4" t="inlineStr">
        <is>
          <t>% of Total - YTD</t>
        </is>
      </c>
      <c r="D109" s="33" t="inlineStr">
        <is>
          <t>%</t>
        </is>
      </c>
      <c r="E109" s="43">
        <f>IFERROR(SUM($E$108:E108)/SUM($E$3:E3),"")</f>
        <v/>
      </c>
      <c r="F109" s="43">
        <f>IFERROR(SUM($E$108:F108)/SUM($E$3:F3),"")</f>
        <v/>
      </c>
      <c r="G109" s="43">
        <f>IFERROR(SUM($E$108:G108)/SUM($E$3:G3),"")</f>
        <v/>
      </c>
      <c r="H109" s="43">
        <f>IFERROR(SUM($E$108:H108)/SUM($E$3:H3),"")</f>
        <v/>
      </c>
      <c r="I109" s="43">
        <f>IFERROR(SUM($E$108:I108)/SUM($E$3:I3),"")</f>
        <v/>
      </c>
      <c r="J109" s="43">
        <f>IFERROR(SUM($E$108:J108)/SUM($E$3:J3),"")</f>
        <v/>
      </c>
      <c r="K109" s="43">
        <f>IFERROR(SUM($E$108:K108)/SUM($E$3:K3),"")</f>
        <v/>
      </c>
      <c r="L109" s="43">
        <f>IFERROR(SUM($E$108:L108)/SUM($E$3:L3),"")</f>
        <v/>
      </c>
      <c r="M109" s="43">
        <f>IFERROR(SUM($E$108:M108)/SUM($E$3:M3),"")</f>
        <v/>
      </c>
      <c r="N109" s="43">
        <f>IFERROR(SUM($E$108:N108)/SUM($E$3:N3),"")</f>
        <v/>
      </c>
      <c r="O109" s="43">
        <f>IFERROR(SUM($E$108:O108)/SUM($E$3:O3),"")</f>
        <v/>
      </c>
      <c r="P109" s="43">
        <f>IFERROR(SUM($E$108:P108)/SUM($E$3:P3),"")</f>
        <v/>
      </c>
      <c r="Q109" s="43">
        <f>IFERROR(SUM($E$108:Q108)/SUM($E$3:Q3),"")</f>
        <v/>
      </c>
      <c r="R109" s="43">
        <f>IFERROR(SUM($E$108:R108)/SUM($E$3:R3),"")</f>
        <v/>
      </c>
      <c r="S109" s="43">
        <f>IFERROR(SUM($E$108:S108)/SUM($E$3:S3),"")</f>
        <v/>
      </c>
      <c r="T109" s="43">
        <f>IFERROR(SUM($E$108:T108)/SUM($E$3:T3),"")</f>
        <v/>
      </c>
      <c r="U109" s="43">
        <f>IFERROR(SUM($E$108:U108)/SUM($E$3:U3),"")</f>
        <v/>
      </c>
      <c r="V109" s="43">
        <f>IFERROR(SUM($E$108:V108)/SUM($E$3:V3),"")</f>
        <v/>
      </c>
      <c r="W109" s="43">
        <f>IFERROR(SUM($E$108:W108)/SUM($E$3:W3),"")</f>
        <v/>
      </c>
      <c r="X109" s="43">
        <f>IFERROR(SUM($E$108:X108)/SUM($E$3:X3),"")</f>
        <v/>
      </c>
      <c r="Y109" s="43">
        <f>IFERROR(SUM($E$108:Y108)/SUM($E$3:Y3),"")</f>
        <v/>
      </c>
      <c r="Z109" s="43">
        <f>IFERROR(SUM($E$108:Z108)/SUM($E$3:Z3),"")</f>
        <v/>
      </c>
      <c r="AA109" s="43" t="n"/>
      <c r="AB109" s="43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  <c r="AK109" s="43" t="n"/>
      <c r="AL109" s="43" t="n"/>
      <c r="AM109" s="43" t="n"/>
      <c r="AN109" s="43" t="n"/>
      <c r="AO109" s="43" t="n"/>
      <c r="AP109" s="43" t="n"/>
      <c r="AQ109" s="43" t="n"/>
      <c r="AR109" s="43" t="n"/>
      <c r="AS109" s="43" t="n"/>
      <c r="AT109" s="43" t="n"/>
      <c r="AU109" s="43" t="n"/>
      <c r="AV109" s="43" t="n"/>
      <c r="AW109" s="43" t="n"/>
      <c r="AX109" s="43" t="n"/>
      <c r="AY109" s="43" t="n"/>
      <c r="AZ109" s="43" t="n"/>
      <c r="BA109" s="43" t="n"/>
      <c r="BB109" s="43" t="n"/>
      <c r="BC109" s="43" t="n"/>
      <c r="BD109" s="43" t="n"/>
    </row>
    <row r="110" customFormat="1" s="7">
      <c r="B110" s="7" t="inlineStr">
        <is>
          <t>% of Target</t>
        </is>
      </c>
      <c r="D110" s="8" t="inlineStr">
        <is>
          <t>%</t>
        </is>
      </c>
      <c r="E110" s="43">
        <f>IFERROR(E108/E111,"")</f>
        <v/>
      </c>
      <c r="F110" s="43">
        <f>IFERROR(F108/F111,"")</f>
        <v/>
      </c>
      <c r="G110" s="43">
        <f>IFERROR(G108/G111,"")</f>
        <v/>
      </c>
      <c r="H110" s="43">
        <f>IFERROR(H108/H111,"")</f>
        <v/>
      </c>
      <c r="I110" s="43">
        <f>IFERROR(I108/I111,"")</f>
        <v/>
      </c>
      <c r="J110" s="43">
        <f>IFERROR(J108/J111,"")</f>
        <v/>
      </c>
      <c r="K110" s="43">
        <f>IFERROR(K108/K111,"")</f>
        <v/>
      </c>
      <c r="L110" s="43">
        <f>IFERROR(L108/L111,"")</f>
        <v/>
      </c>
      <c r="M110" s="43">
        <f>IFERROR(M108/M111,"")</f>
        <v/>
      </c>
      <c r="N110" s="43">
        <f>IFERROR(N108/N111,"")</f>
        <v/>
      </c>
      <c r="O110" s="43">
        <f>IFERROR(O108/O111,"")</f>
        <v/>
      </c>
      <c r="P110" s="43">
        <f>IFERROR(P108/P111,"")</f>
        <v/>
      </c>
      <c r="Q110" s="43">
        <f>IFERROR(Q108/Q111,"")</f>
        <v/>
      </c>
      <c r="R110" s="43">
        <f>IFERROR(R108/R111,"")</f>
        <v/>
      </c>
      <c r="S110" s="43">
        <f>IFERROR(S108/S111,"")</f>
        <v/>
      </c>
      <c r="T110" s="43">
        <f>IFERROR(T108/T111,"")</f>
        <v/>
      </c>
      <c r="U110" s="43">
        <f>IFERROR(U108/U111,"")</f>
        <v/>
      </c>
      <c r="V110" s="43">
        <f>IFERROR(V108/V111,"")</f>
        <v/>
      </c>
      <c r="W110" s="43">
        <f>IFERROR(W108/W111,"")</f>
        <v/>
      </c>
      <c r="X110" s="43">
        <f>IFERROR(X108/X111,"")</f>
        <v/>
      </c>
      <c r="Y110" s="43">
        <f>IFERROR(Y108/Y111,"")</f>
        <v/>
      </c>
      <c r="Z110" s="43">
        <f>IFERROR(Z108/Z111,"")</f>
        <v/>
      </c>
      <c r="AA110" s="43" t="n"/>
      <c r="AB110" s="43" t="n"/>
      <c r="AC110" s="43" t="n"/>
      <c r="AD110" s="43" t="n"/>
      <c r="AE110" s="43" t="n"/>
      <c r="AF110" s="43" t="n"/>
      <c r="AG110" s="43" t="n"/>
      <c r="AH110" s="43" t="n"/>
      <c r="AI110" s="43" t="n"/>
      <c r="AJ110" s="43" t="n"/>
      <c r="AK110" s="43" t="n"/>
      <c r="AL110" s="43" t="n"/>
      <c r="AM110" s="43" t="n"/>
      <c r="AN110" s="43" t="n"/>
      <c r="AO110" s="43" t="n"/>
      <c r="AP110" s="43" t="n"/>
      <c r="AQ110" s="43" t="n"/>
      <c r="AR110" s="43" t="n"/>
      <c r="AS110" s="43" t="n"/>
      <c r="AT110" s="43" t="n"/>
      <c r="AU110" s="43" t="n"/>
      <c r="AV110" s="43" t="n"/>
      <c r="AW110" s="43" t="n"/>
      <c r="AX110" s="43" t="n"/>
      <c r="AY110" s="43" t="n"/>
      <c r="AZ110" s="43" t="n"/>
      <c r="BA110" s="43" t="n"/>
      <c r="BB110" s="43" t="n"/>
      <c r="BC110" s="43" t="n"/>
      <c r="BD110" s="43" t="n"/>
    </row>
    <row r="111" customFormat="1" s="40">
      <c r="B111" s="40" t="inlineStr">
        <is>
          <t>Target</t>
        </is>
      </c>
      <c r="D111" s="10" t="inlineStr">
        <is>
          <t>$k</t>
        </is>
      </c>
      <c r="E111" s="42" t="n">
        <v>371.427515208</v>
      </c>
      <c r="F111" s="42" t="n">
        <v>649.998151614</v>
      </c>
      <c r="G111" s="42" t="n">
        <v>649.998151614</v>
      </c>
      <c r="H111" s="42" t="n">
        <v>649.998151614</v>
      </c>
      <c r="I111" s="42" t="n">
        <v>593.715730214</v>
      </c>
      <c r="J111" s="42" t="n">
        <v>256.02325</v>
      </c>
      <c r="K111" s="42" t="n">
        <v>256.02325</v>
      </c>
      <c r="L111" s="42" t="n">
        <v>256.02325</v>
      </c>
      <c r="M111" s="42" t="n">
        <v>261.432611856</v>
      </c>
      <c r="N111" s="42" t="n">
        <v>293.886734806</v>
      </c>
      <c r="O111" s="42" t="n">
        <v>293.886734806</v>
      </c>
      <c r="P111" s="42" t="n">
        <v>293.886734806</v>
      </c>
      <c r="Q111" s="42" t="n">
        <v>293.886734806</v>
      </c>
      <c r="R111" s="42" t="n">
        <v>274.713186673</v>
      </c>
      <c r="S111" s="42" t="n">
        <v>267.042851843</v>
      </c>
      <c r="T111" s="42" t="n">
        <v>267.042851843</v>
      </c>
      <c r="U111" s="42" t="n">
        <v>267.042851843</v>
      </c>
      <c r="V111" s="42" t="n">
        <v>284.745874639</v>
      </c>
      <c r="W111" s="42" t="n">
        <v>308.350286524</v>
      </c>
      <c r="X111" s="42" t="n">
        <v>308.350286524</v>
      </c>
      <c r="Y111" s="42" t="n">
        <v>308.350286524</v>
      </c>
      <c r="Z111" s="42" t="n">
        <v>308.350286524</v>
      </c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</row>
    <row r="112"/>
    <row r="113">
      <c r="A113" s="1" t="inlineStr">
        <is>
          <t xml:space="preserve">Sell-through units </t>
        </is>
      </c>
      <c r="D113" s="24" t="inlineStr">
        <is>
          <t>#</t>
        </is>
      </c>
      <c r="E113" s="42" t="n">
        <v>7925</v>
      </c>
      <c r="F113" s="42" t="n">
        <v>6591</v>
      </c>
      <c r="G113" s="42" t="n">
        <v>6586</v>
      </c>
      <c r="H113" s="42" t="n">
        <v>6032</v>
      </c>
      <c r="I113" s="42" t="n">
        <v>5612</v>
      </c>
      <c r="J113" s="42" t="n">
        <v>5652</v>
      </c>
      <c r="K113" s="42" t="n">
        <v>6200</v>
      </c>
      <c r="L113" s="42" t="n">
        <v>6980</v>
      </c>
      <c r="M113" s="42" t="n">
        <v>7594</v>
      </c>
      <c r="N113" s="42" t="n">
        <v>7368</v>
      </c>
      <c r="O113" s="42" t="n">
        <v>7153</v>
      </c>
      <c r="P113" s="42" t="n">
        <v>6180</v>
      </c>
      <c r="Q113" s="42" t="n">
        <v>6985</v>
      </c>
      <c r="R113" s="42" t="n">
        <v>6180</v>
      </c>
      <c r="S113" s="42" t="n">
        <v>6722</v>
      </c>
      <c r="T113" s="42" t="n">
        <v>6514</v>
      </c>
      <c r="U113" s="42" t="n">
        <v>5646</v>
      </c>
      <c r="V113" s="42" t="n">
        <v>5684</v>
      </c>
      <c r="W113" s="42" t="n">
        <v>5775</v>
      </c>
      <c r="X113" s="42" t="n">
        <v>5340</v>
      </c>
      <c r="Y113" s="42" t="n">
        <v>6157</v>
      </c>
      <c r="Z113" s="42" t="n">
        <v>6522</v>
      </c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</row>
    <row r="114" customFormat="1" s="4">
      <c r="A114" s="3" t="n"/>
      <c r="B114" s="4" t="inlineStr">
        <is>
          <t>% of Total - YTD</t>
        </is>
      </c>
      <c r="D114" s="33" t="inlineStr">
        <is>
          <t>%</t>
        </is>
      </c>
      <c r="E114" s="43">
        <f>IFERROR(SUM($E$113:E113)/SUM($E$4:E4),"")</f>
        <v/>
      </c>
      <c r="F114" s="43">
        <f>IFERROR(SUM($E$113:F113)/SUM($E$4:F4),"")</f>
        <v/>
      </c>
      <c r="G114" s="43">
        <f>IFERROR(SUM($E$113:G113)/SUM($E$4:G4),"")</f>
        <v/>
      </c>
      <c r="H114" s="43">
        <f>IFERROR(SUM($E$113:H113)/SUM($E$4:H4),"")</f>
        <v/>
      </c>
      <c r="I114" s="43">
        <f>IFERROR(SUM($E$113:I113)/SUM($E$4:I4),"")</f>
        <v/>
      </c>
      <c r="J114" s="43">
        <f>IFERROR(SUM($E$113:J113)/SUM($E$4:J4),"")</f>
        <v/>
      </c>
      <c r="K114" s="43">
        <f>IFERROR(SUM($E$113:K113)/SUM($E$4:K4),"")</f>
        <v/>
      </c>
      <c r="L114" s="43">
        <f>IFERROR(SUM($E$113:L113)/SUM($E$4:L4),"")</f>
        <v/>
      </c>
      <c r="M114" s="43">
        <f>IFERROR(SUM($E$113:M113)/SUM($E$4:M4),"")</f>
        <v/>
      </c>
      <c r="N114" s="43">
        <f>IFERROR(SUM($E$113:N113)/SUM($E$4:N4),"")</f>
        <v/>
      </c>
      <c r="O114" s="43">
        <f>IFERROR(SUM($E$113:O113)/SUM($E$4:O4),"")</f>
        <v/>
      </c>
      <c r="P114" s="43">
        <f>IFERROR(SUM($E$113:P113)/SUM($E$4:P4),"")</f>
        <v/>
      </c>
      <c r="Q114" s="43">
        <f>IFERROR(SUM($E$113:Q113)/SUM($E$4:Q4),"")</f>
        <v/>
      </c>
      <c r="R114" s="43">
        <f>IFERROR(SUM($E$113:R113)/SUM($E$4:R4),"")</f>
        <v/>
      </c>
      <c r="S114" s="43">
        <f>IFERROR(SUM($E$113:S113)/SUM($E$4:S4),"")</f>
        <v/>
      </c>
      <c r="T114" s="43">
        <f>IFERROR(SUM($E$113:T113)/SUM($E$4:T4),"")</f>
        <v/>
      </c>
      <c r="U114" s="43">
        <f>IFERROR(SUM($E$113:U113)/SUM($E$4:U4),"")</f>
        <v/>
      </c>
      <c r="V114" s="43">
        <f>IFERROR(SUM($E$113:V113)/SUM($E$4:V4),"")</f>
        <v/>
      </c>
      <c r="W114" s="43">
        <f>IFERROR(SUM($E$113:W113)/SUM($E$4:W4),"")</f>
        <v/>
      </c>
      <c r="X114" s="43">
        <f>IFERROR(SUM($E$113:X113)/SUM($E$4:X4),"")</f>
        <v/>
      </c>
      <c r="Y114" s="43">
        <f>IFERROR(SUM($E$113:Y113)/SUM($E$4:Y4),"")</f>
        <v/>
      </c>
      <c r="Z114" s="43">
        <f>IFERROR(SUM($E$113:Z113)/SUM($E$4:Z4),"")</f>
        <v/>
      </c>
      <c r="AA114" s="43" t="n"/>
      <c r="AB114" s="43" t="n"/>
      <c r="AC114" s="43" t="n"/>
      <c r="AD114" s="43" t="n"/>
      <c r="AE114" s="43" t="n"/>
      <c r="AF114" s="43" t="n"/>
      <c r="AG114" s="43" t="n"/>
      <c r="AH114" s="43" t="n"/>
      <c r="AI114" s="43" t="n"/>
      <c r="AJ114" s="43" t="n"/>
      <c r="AK114" s="43" t="n"/>
      <c r="AL114" s="43" t="n"/>
      <c r="AM114" s="43" t="n"/>
      <c r="AN114" s="43" t="n"/>
      <c r="AO114" s="43" t="n"/>
      <c r="AP114" s="43" t="n"/>
      <c r="AQ114" s="43" t="n"/>
      <c r="AR114" s="43" t="n"/>
      <c r="AS114" s="43" t="n"/>
      <c r="AT114" s="43" t="n"/>
      <c r="AU114" s="43" t="n"/>
      <c r="AV114" s="43" t="n"/>
      <c r="AW114" s="43" t="n"/>
      <c r="AX114" s="43" t="n"/>
      <c r="AY114" s="43" t="n"/>
      <c r="AZ114" s="43" t="n"/>
      <c r="BA114" s="43" t="n"/>
      <c r="BB114" s="43" t="n"/>
      <c r="BC114" s="43" t="n"/>
      <c r="BD114" s="43" t="n"/>
    </row>
    <row r="115" customFormat="1" s="16">
      <c r="A115" s="15" t="n"/>
      <c r="B115" s="16" t="inlineStr">
        <is>
          <t>% of Target</t>
        </is>
      </c>
      <c r="D115" s="17" t="inlineStr">
        <is>
          <t>%</t>
        </is>
      </c>
      <c r="E115" s="43">
        <f>IFERROR(E113/E116,"")</f>
        <v/>
      </c>
      <c r="F115" s="43">
        <f>IFERROR(F113/F116,"")</f>
        <v/>
      </c>
      <c r="G115" s="43">
        <f>IFERROR(G113/G116,"")</f>
        <v/>
      </c>
      <c r="H115" s="43">
        <f>IFERROR(H113/H116,"")</f>
        <v/>
      </c>
      <c r="I115" s="43">
        <f>IFERROR(I113/I116,"")</f>
        <v/>
      </c>
      <c r="J115" s="43">
        <f>IFERROR(J113/J116,"")</f>
        <v/>
      </c>
      <c r="K115" s="43">
        <f>IFERROR(K113/K116,"")</f>
        <v/>
      </c>
      <c r="L115" s="43">
        <f>IFERROR(L113/L116,"")</f>
        <v/>
      </c>
      <c r="M115" s="43">
        <f>IFERROR(M113/M116,"")</f>
        <v/>
      </c>
      <c r="N115" s="43">
        <f>IFERROR(N113/N116,"")</f>
        <v/>
      </c>
      <c r="O115" s="43">
        <f>IFERROR(O113/O116,"")</f>
        <v/>
      </c>
      <c r="P115" s="43">
        <f>IFERROR(P113/P116,"")</f>
        <v/>
      </c>
      <c r="Q115" s="43">
        <f>IFERROR(Q113/Q116,"")</f>
        <v/>
      </c>
      <c r="R115" s="43">
        <f>IFERROR(R113/R116,"")</f>
        <v/>
      </c>
      <c r="S115" s="43">
        <f>IFERROR(S113/S116,"")</f>
        <v/>
      </c>
      <c r="T115" s="43">
        <f>IFERROR(T113/T116,"")</f>
        <v/>
      </c>
      <c r="U115" s="43">
        <f>IFERROR(U113/U116,"")</f>
        <v/>
      </c>
      <c r="V115" s="43">
        <f>IFERROR(V113/V116,"")</f>
        <v/>
      </c>
      <c r="W115" s="43">
        <f>IFERROR(W113/W116,"")</f>
        <v/>
      </c>
      <c r="X115" s="43">
        <f>IFERROR(X113/X116,"")</f>
        <v/>
      </c>
      <c r="Y115" s="43">
        <f>IFERROR(Y113/Y116,"")</f>
        <v/>
      </c>
      <c r="Z115" s="43">
        <f>IFERROR(Z113/Z116,"")</f>
        <v/>
      </c>
      <c r="AA115" s="43" t="n"/>
      <c r="AB115" s="43" t="n"/>
      <c r="AC115" s="43" t="n"/>
      <c r="AD115" s="43" t="n"/>
      <c r="AE115" s="43" t="n"/>
      <c r="AF115" s="43" t="n"/>
      <c r="AG115" s="43" t="n"/>
      <c r="AH115" s="43" t="n"/>
      <c r="AI115" s="43" t="n"/>
      <c r="AJ115" s="43" t="n"/>
      <c r="AK115" s="43" t="n"/>
      <c r="AL115" s="43" t="n"/>
      <c r="AM115" s="43" t="n"/>
      <c r="AN115" s="43" t="n"/>
      <c r="AO115" s="43" t="n"/>
      <c r="AP115" s="43" t="n"/>
      <c r="AQ115" s="43" t="n"/>
      <c r="AR115" s="43" t="n"/>
      <c r="AS115" s="43" t="n"/>
      <c r="AT115" s="43" t="n"/>
      <c r="AU115" s="43" t="n"/>
      <c r="AV115" s="43" t="n"/>
      <c r="AW115" s="43" t="n"/>
      <c r="AX115" s="43" t="n"/>
      <c r="AY115" s="43" t="n"/>
      <c r="AZ115" s="43" t="n"/>
      <c r="BA115" s="43" t="n"/>
      <c r="BB115" s="43" t="n"/>
      <c r="BC115" s="43" t="n"/>
      <c r="BD115" s="43" t="n"/>
    </row>
    <row r="116" customFormat="1" s="13">
      <c r="A116" s="12" t="n"/>
      <c r="B116" s="13" t="inlineStr">
        <is>
          <t>Target</t>
        </is>
      </c>
      <c r="D116" s="14" t="inlineStr">
        <is>
          <t>#</t>
        </is>
      </c>
      <c r="E116" s="42" t="n"/>
      <c r="F116" s="42" t="n">
        <v>20532</v>
      </c>
      <c r="G116" s="42" t="n">
        <v>9377</v>
      </c>
      <c r="H116" s="42" t="n">
        <v>9369</v>
      </c>
      <c r="I116" s="42" t="n">
        <v>9255</v>
      </c>
      <c r="J116" s="42" t="n">
        <v>6331</v>
      </c>
      <c r="K116" s="42" t="n">
        <v>6845</v>
      </c>
      <c r="L116" s="42" t="n">
        <v>5480</v>
      </c>
      <c r="M116" s="42" t="n">
        <v>5272</v>
      </c>
      <c r="N116" s="42" t="n">
        <v>5374</v>
      </c>
      <c r="O116" s="42" t="n">
        <v>5477</v>
      </c>
      <c r="P116" s="42" t="n">
        <v>7760</v>
      </c>
      <c r="Q116" s="42" t="n">
        <v>3420</v>
      </c>
      <c r="R116" s="42" t="n">
        <v>3449</v>
      </c>
      <c r="S116" s="42" t="n">
        <v>5226</v>
      </c>
      <c r="T116" s="42" t="n">
        <v>3809</v>
      </c>
      <c r="U116" s="42" t="n">
        <v>6205</v>
      </c>
      <c r="V116" s="42" t="n">
        <v>5652</v>
      </c>
      <c r="W116" s="42" t="n">
        <v>6138</v>
      </c>
      <c r="X116" s="42" t="n">
        <v>6138</v>
      </c>
      <c r="Y116" s="42" t="n">
        <v>6899</v>
      </c>
      <c r="Z116" s="42" t="n">
        <v>5738</v>
      </c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</row>
    <row r="117">
      <c r="C117" s="11" t="inlineStr">
        <is>
          <t xml:space="preserve">Cam </t>
        </is>
      </c>
      <c r="D117" s="6" t="inlineStr">
        <is>
          <t>#</t>
        </is>
      </c>
      <c r="E117" s="42" t="n">
        <v>7567</v>
      </c>
      <c r="F117" s="42" t="n">
        <v>6230</v>
      </c>
      <c r="G117" s="42" t="n">
        <v>6106</v>
      </c>
      <c r="H117" s="42" t="n">
        <v>5546</v>
      </c>
      <c r="I117" s="42" t="n">
        <v>5218</v>
      </c>
      <c r="J117" s="42" t="n">
        <v>5345</v>
      </c>
      <c r="K117" s="42" t="n">
        <v>5868</v>
      </c>
      <c r="L117" s="42" t="n">
        <v>6619</v>
      </c>
      <c r="M117" s="42" t="n">
        <v>7170</v>
      </c>
      <c r="N117" s="42" t="n">
        <v>6880</v>
      </c>
      <c r="O117" s="42" t="n">
        <v>6805</v>
      </c>
      <c r="P117" s="42" t="n">
        <v>5849</v>
      </c>
      <c r="Q117" s="42" t="n">
        <v>6703</v>
      </c>
      <c r="R117" s="42" t="n">
        <v>5935</v>
      </c>
      <c r="S117" s="42" t="n">
        <v>6657</v>
      </c>
      <c r="T117" s="42" t="n">
        <v>6449</v>
      </c>
      <c r="U117" s="42" t="n">
        <v>5565</v>
      </c>
      <c r="V117" s="42" t="n">
        <v>5578</v>
      </c>
      <c r="W117" s="42" t="n">
        <v>5691</v>
      </c>
      <c r="X117" s="42" t="n">
        <v>5276</v>
      </c>
      <c r="Y117" s="42" t="n">
        <v>6060</v>
      </c>
      <c r="Z117" s="42" t="n">
        <v>6433</v>
      </c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</row>
    <row r="118">
      <c r="C118" s="11" t="inlineStr">
        <is>
          <t>Non Cam</t>
        </is>
      </c>
      <c r="D118" s="6" t="inlineStr">
        <is>
          <t>#</t>
        </is>
      </c>
      <c r="E118" s="42" t="n">
        <v>358</v>
      </c>
      <c r="F118" s="42" t="n">
        <v>361</v>
      </c>
      <c r="G118" s="42" t="n">
        <v>479</v>
      </c>
      <c r="H118" s="42" t="n">
        <v>486</v>
      </c>
      <c r="I118" s="42" t="n">
        <v>394</v>
      </c>
      <c r="J118" s="42" t="n">
        <v>287</v>
      </c>
      <c r="K118" s="42" t="n">
        <v>263</v>
      </c>
      <c r="L118" s="42" t="n">
        <v>233</v>
      </c>
      <c r="M118" s="42" t="n">
        <v>236</v>
      </c>
      <c r="N118" s="42" t="n">
        <v>289</v>
      </c>
      <c r="O118" s="42" t="n">
        <v>146</v>
      </c>
      <c r="P118" s="42" t="n">
        <v>148</v>
      </c>
      <c r="Q118" s="42" t="n">
        <v>29</v>
      </c>
      <c r="R118" s="42" t="n">
        <v>69</v>
      </c>
      <c r="S118" s="42" t="n">
        <v>65</v>
      </c>
      <c r="T118" s="42" t="n">
        <v>65</v>
      </c>
      <c r="U118" s="42" t="n">
        <v>81</v>
      </c>
      <c r="V118" s="42" t="n">
        <v>106</v>
      </c>
      <c r="W118" s="42" t="n">
        <v>84</v>
      </c>
      <c r="X118" s="42" t="n">
        <v>64</v>
      </c>
      <c r="Y118" s="42" t="n">
        <v>97</v>
      </c>
      <c r="Z118" s="42" t="n">
        <v>89</v>
      </c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</row>
    <row r="119">
      <c r="C119" s="6" t="n"/>
    </row>
    <row r="120" customFormat="1" s="1">
      <c r="A120" s="1" t="inlineStr">
        <is>
          <t xml:space="preserve">Promo </t>
        </is>
      </c>
      <c r="D120" s="24" t="inlineStr">
        <is>
          <t>$k</t>
        </is>
      </c>
      <c r="E120" s="44" t="n"/>
      <c r="F120" s="44" t="n"/>
      <c r="G120" s="44" t="n"/>
      <c r="H120" s="44" t="n"/>
      <c r="I120" s="44" t="n"/>
      <c r="J120" s="44" t="n">
        <v>11.86</v>
      </c>
      <c r="K120" s="44" t="n">
        <v>13.7</v>
      </c>
      <c r="L120" s="44" t="n">
        <v>16.17</v>
      </c>
      <c r="M120" s="44" t="n">
        <v>7.43</v>
      </c>
      <c r="N120" s="44" t="n"/>
      <c r="O120" s="44" t="n"/>
      <c r="P120" s="44" t="n"/>
      <c r="Q120" s="44" t="n">
        <v>37.574</v>
      </c>
      <c r="R120" s="44" t="n">
        <v>12.372</v>
      </c>
      <c r="S120" s="44" t="n">
        <v>28.236</v>
      </c>
      <c r="T120" s="44" t="n">
        <v>25.323</v>
      </c>
      <c r="U120" s="44" t="n">
        <v>4.6</v>
      </c>
      <c r="V120" s="44" t="n">
        <v>5.55</v>
      </c>
      <c r="W120" s="44" t="n">
        <v>2.25</v>
      </c>
      <c r="X120" s="44" t="n">
        <v>0.55</v>
      </c>
      <c r="Y120" s="44" t="n">
        <v>24.443</v>
      </c>
      <c r="Z120" s="44" t="n">
        <v>4.724</v>
      </c>
      <c r="AA120" s="44" t="n"/>
      <c r="AB120" s="44" t="n"/>
      <c r="AC120" s="44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  <c r="AQ120" s="44" t="n"/>
      <c r="AR120" s="44" t="n"/>
      <c r="AS120" s="44" t="n"/>
      <c r="AT120" s="44" t="n"/>
      <c r="AU120" s="44" t="n"/>
      <c r="AV120" s="44" t="n"/>
      <c r="AW120" s="44" t="n"/>
      <c r="AX120" s="44" t="n"/>
      <c r="AY120" s="44" t="n"/>
      <c r="AZ120" s="44" t="n"/>
      <c r="BA120" s="44" t="n"/>
      <c r="BB120" s="44" t="n"/>
      <c r="BC120" s="44" t="n"/>
      <c r="BD120" s="44" t="n"/>
    </row>
    <row r="121" ht="15.75" customFormat="1" customHeight="1" s="1">
      <c r="B121" s="41" t="inlineStr">
        <is>
          <t>Finance Actuals (Monthly)</t>
        </is>
      </c>
      <c r="D121" s="32" t="inlineStr">
        <is>
          <t>$k</t>
        </is>
      </c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44" t="n"/>
      <c r="AP121" s="44" t="n"/>
      <c r="AQ121" s="44" t="n"/>
      <c r="AR121" s="44" t="n"/>
      <c r="AS121" s="44" t="n"/>
      <c r="AT121" s="44" t="n"/>
      <c r="AU121" s="44" t="n"/>
      <c r="AV121" s="44" t="n"/>
      <c r="AW121" s="44" t="n"/>
      <c r="AX121" s="44" t="n"/>
      <c r="AY121" s="44" t="n"/>
      <c r="AZ121" s="44" t="n"/>
      <c r="BA121" s="44" t="n"/>
      <c r="BB121" s="44" t="n"/>
      <c r="BC121" s="44" t="n"/>
      <c r="BD121" s="44" t="n"/>
    </row>
    <row r="122" customFormat="1" s="40">
      <c r="B122" s="40" t="inlineStr">
        <is>
          <t>Budgeted (Monthly)</t>
        </is>
      </c>
      <c r="D122" s="10" t="inlineStr">
        <is>
          <t>$k</t>
        </is>
      </c>
      <c r="E122" s="44" t="n"/>
      <c r="F122" s="44" t="n"/>
      <c r="G122" s="44" t="n"/>
      <c r="H122" s="44" t="n">
        <v>0</v>
      </c>
      <c r="I122" s="44" t="n"/>
      <c r="J122" s="44" t="n"/>
      <c r="K122" s="44" t="n"/>
      <c r="L122" s="44" t="n">
        <v>0</v>
      </c>
      <c r="M122" s="44" t="n"/>
      <c r="N122" s="44" t="n"/>
      <c r="O122" s="44" t="n"/>
      <c r="P122" s="44" t="n"/>
      <c r="Q122" s="44" t="n">
        <v>94.67994823348118</v>
      </c>
      <c r="R122" s="44" t="n"/>
      <c r="S122" s="44" t="n"/>
      <c r="T122" s="44" t="n"/>
      <c r="U122" s="44" t="n">
        <v>132.4050657554984</v>
      </c>
      <c r="V122" s="44" t="n"/>
      <c r="W122" s="44" t="n"/>
      <c r="X122" s="44" t="n"/>
      <c r="Y122" s="44" t="n"/>
      <c r="Z122" s="44" t="n">
        <v>72.67362967897114</v>
      </c>
      <c r="AA122" s="44" t="n"/>
      <c r="AB122" s="44" t="n"/>
      <c r="AC122" s="44" t="n"/>
      <c r="AD122" s="44" t="n">
        <v>84.21788279513686</v>
      </c>
      <c r="AE122" s="44" t="n"/>
      <c r="AF122" s="44" t="n"/>
      <c r="AG122" s="44" t="n"/>
      <c r="AH122" s="44" t="n">
        <v>80.78131734495601</v>
      </c>
      <c r="AI122" s="44" t="n"/>
      <c r="AJ122" s="44" t="n"/>
      <c r="AK122" s="44" t="n"/>
      <c r="AL122" s="44" t="n"/>
      <c r="AM122" s="44" t="n">
        <v>67.80817786925807</v>
      </c>
      <c r="AN122" s="44" t="n"/>
      <c r="AO122" s="44" t="n"/>
      <c r="AP122" s="44" t="n"/>
      <c r="AQ122" s="44" t="n">
        <v>89.95808003060374</v>
      </c>
      <c r="AR122" s="44" t="n"/>
      <c r="AS122" s="44" t="n"/>
      <c r="AT122" s="44" t="n"/>
      <c r="AU122" s="44" t="n">
        <v>0</v>
      </c>
      <c r="AV122" s="44" t="n"/>
      <c r="AW122" s="44" t="n"/>
      <c r="AX122" s="44" t="n"/>
      <c r="AY122" s="44" t="n"/>
      <c r="AZ122" s="44" t="n">
        <v>332.9907088719564</v>
      </c>
      <c r="BA122" s="44" t="n"/>
      <c r="BB122" s="44" t="n"/>
      <c r="BC122" s="44" t="n"/>
      <c r="BD122" s="44" t="n">
        <v>500.7711038074681</v>
      </c>
    </row>
    <row r="123">
      <c r="B123" t="inlineStr">
        <is>
          <t>As % of budget - this month</t>
        </is>
      </c>
      <c r="D123" s="6" t="inlineStr">
        <is>
          <t>%</t>
        </is>
      </c>
      <c r="E123" s="43">
        <f>IFERROR(E121/E122,"")</f>
        <v/>
      </c>
      <c r="F123" s="43">
        <f>IFERROR(F121/F122,"")</f>
        <v/>
      </c>
      <c r="G123" s="43">
        <f>IFERROR(G121/G122,"")</f>
        <v/>
      </c>
      <c r="H123" s="43">
        <f>IFERROR(H121/H122,"")</f>
        <v/>
      </c>
      <c r="I123" s="43">
        <f>IFERROR(I121/I122,"")</f>
        <v/>
      </c>
      <c r="J123" s="43">
        <f>IFERROR(J121/J122,"")</f>
        <v/>
      </c>
      <c r="K123" s="43">
        <f>IFERROR(K121/K122,"")</f>
        <v/>
      </c>
      <c r="L123" s="43">
        <f>IFERROR(L121/L122,"")</f>
        <v/>
      </c>
      <c r="M123" s="43">
        <f>IFERROR(M121/M122,"")</f>
        <v/>
      </c>
      <c r="N123" s="43">
        <f>IFERROR(N121/N122,"")</f>
        <v/>
      </c>
      <c r="O123" s="43">
        <f>IFERROR(O121/O122,"")</f>
        <v/>
      </c>
      <c r="P123" s="43">
        <f>IFERROR(P121/P122,"")</f>
        <v/>
      </c>
      <c r="Q123" s="43">
        <f>IFERROR(Q121/Q122,"")</f>
        <v/>
      </c>
      <c r="R123" s="43">
        <f>IFERROR(R121/R122,"")</f>
        <v/>
      </c>
      <c r="S123" s="43">
        <f>IFERROR(S121/S122,"")</f>
        <v/>
      </c>
      <c r="T123" s="43">
        <f>IFERROR(T121/T122,"")</f>
        <v/>
      </c>
      <c r="U123" s="43">
        <f>IFERROR(U121/U122,"")</f>
        <v/>
      </c>
      <c r="V123" s="43">
        <f>IFERROR(V121/V122,"")</f>
        <v/>
      </c>
      <c r="W123" s="43">
        <f>IFERROR(W121/W122,"")</f>
        <v/>
      </c>
      <c r="X123" s="43">
        <f>IFERROR(X121/X122,"")</f>
        <v/>
      </c>
      <c r="Y123" s="43">
        <f>IFERROR(Y121/Y122,"")</f>
        <v/>
      </c>
      <c r="Z123" s="43">
        <f>IFERROR(Z121/Z122,"")</f>
        <v/>
      </c>
      <c r="AA123" s="43">
        <f>IFERROR(AA121/AA122,"")</f>
        <v/>
      </c>
      <c r="AB123" s="43">
        <f>IFERROR(AB121/AB122,"")</f>
        <v/>
      </c>
      <c r="AC123" s="43">
        <f>IFERROR(AC121/AC122,"")</f>
        <v/>
      </c>
      <c r="AD123" s="43">
        <f>IFERROR(AD121/AD122,"")</f>
        <v/>
      </c>
      <c r="AE123" s="43">
        <f>IFERROR(AE121/AE122,"")</f>
        <v/>
      </c>
      <c r="AF123" s="43">
        <f>IFERROR(AF121/AF122,"")</f>
        <v/>
      </c>
      <c r="AG123" s="43">
        <f>IFERROR(AG121/AG122,"")</f>
        <v/>
      </c>
      <c r="AH123" s="43">
        <f>IFERROR(AH121/AH122,"")</f>
        <v/>
      </c>
      <c r="AI123" s="43">
        <f>IFERROR(AI121/AI122,"")</f>
        <v/>
      </c>
      <c r="AJ123" s="43">
        <f>IFERROR(AJ121/AJ122,"")</f>
        <v/>
      </c>
      <c r="AK123" s="43">
        <f>IFERROR(AK121/AK122,"")</f>
        <v/>
      </c>
      <c r="AL123" s="43">
        <f>IFERROR(AL121/AL122,"")</f>
        <v/>
      </c>
      <c r="AM123" s="43">
        <f>IFERROR(AM121/AM122,"")</f>
        <v/>
      </c>
      <c r="AN123" s="43">
        <f>IFERROR(AN121/AN122,"")</f>
        <v/>
      </c>
      <c r="AO123" s="43">
        <f>IFERROR(AO121/AO122,"")</f>
        <v/>
      </c>
      <c r="AP123" s="43">
        <f>IFERROR(AP121/AP122,"")</f>
        <v/>
      </c>
      <c r="AQ123" s="43">
        <f>IFERROR(AQ121/AQ122,"")</f>
        <v/>
      </c>
      <c r="AR123" s="43">
        <f>IFERROR(AR121/AR122,"")</f>
        <v/>
      </c>
      <c r="AS123" s="43">
        <f>IFERROR(AS121/AS122,"")</f>
        <v/>
      </c>
      <c r="AT123" s="43">
        <f>IFERROR(AT121/AT122,"")</f>
        <v/>
      </c>
      <c r="AU123" s="43">
        <f>IFERROR(AU121/AU122,"")</f>
        <v/>
      </c>
      <c r="AV123" s="43">
        <f>IFERROR(AV121/AV122,"")</f>
        <v/>
      </c>
      <c r="AW123" s="43">
        <f>IFERROR(AW121/AW122,"")</f>
        <v/>
      </c>
      <c r="AX123" s="43">
        <f>IFERROR(AX121/AX122,"")</f>
        <v/>
      </c>
      <c r="AY123" s="43">
        <f>IFERROR(AY121/AY122,"")</f>
        <v/>
      </c>
      <c r="AZ123" s="43">
        <f>IFERROR(AZ121/AZ122,"")</f>
        <v/>
      </c>
      <c r="BA123" s="43">
        <f>IFERROR(BA121/BA122,"")</f>
        <v/>
      </c>
      <c r="BB123" s="43">
        <f>IFERROR(BB121/BB122,"")</f>
        <v/>
      </c>
      <c r="BC123" s="43">
        <f>IFERROR(BC121/BC122,"")</f>
        <v/>
      </c>
      <c r="BD123" s="43">
        <f>IFERROR(BD121/BD122,"")</f>
        <v/>
      </c>
    </row>
    <row r="124">
      <c r="B124" t="inlineStr">
        <is>
          <t>As % of budget - YTD</t>
        </is>
      </c>
      <c r="D124" s="6" t="inlineStr">
        <is>
          <t>%</t>
        </is>
      </c>
      <c r="E124" s="43">
        <f>IFERROR(SUM($E$121:E121)/SUM($E$122:E122),"")</f>
        <v/>
      </c>
      <c r="F124" s="43">
        <f>IFERROR(SUM($E$121:F121)/SUM($E$122:F122),"")</f>
        <v/>
      </c>
      <c r="G124" s="43">
        <f>IFERROR(SUM($E$121:G121)/SUM($E$122:G122),"")</f>
        <v/>
      </c>
      <c r="H124" s="43">
        <f>IFERROR(SUM($E$121:H121)/SUM($E$122:H122),"")</f>
        <v/>
      </c>
      <c r="I124" s="43">
        <f>IFERROR(SUM($E$121:I121)/SUM($E$122:I122),"")</f>
        <v/>
      </c>
      <c r="J124" s="43">
        <f>IFERROR(SUM($E$121:J121)/SUM($E$122:J122),"")</f>
        <v/>
      </c>
      <c r="K124" s="43">
        <f>IFERROR(SUM($E$121:K121)/SUM($E$122:K122),"")</f>
        <v/>
      </c>
      <c r="L124" s="43">
        <f>IFERROR(SUM($E$121:L121)/SUM($E$122:L122),"")</f>
        <v/>
      </c>
      <c r="M124" s="43">
        <f>IFERROR(SUM($E$121:M121)/SUM($E$122:M122),"")</f>
        <v/>
      </c>
      <c r="N124" s="43">
        <f>IFERROR(SUM($E$121:N121)/SUM($E$122:N122),"")</f>
        <v/>
      </c>
      <c r="O124" s="43">
        <f>IFERROR(SUM($E$121:O121)/SUM($E$122:O122),"")</f>
        <v/>
      </c>
      <c r="P124" s="43">
        <f>IFERROR(SUM($E$121:P121)/SUM($E$122:P122),"")</f>
        <v/>
      </c>
      <c r="Q124" s="43">
        <f>IFERROR(SUM($E$121:Q121)/SUM($E$122:Q122),"")</f>
        <v/>
      </c>
      <c r="R124" s="43">
        <f>IFERROR(SUM($E$121:R121)/SUM($E$122:R122),"")</f>
        <v/>
      </c>
      <c r="S124" s="43">
        <f>IFERROR(SUM($E$121:S121)/SUM($E$122:S122),"")</f>
        <v/>
      </c>
      <c r="T124" s="43">
        <f>IFERROR(SUM($E$121:T121)/SUM($E$122:T122),"")</f>
        <v/>
      </c>
      <c r="U124" s="43">
        <f>IFERROR(SUM($E$121:U121)/SUM($E$122:U122),"")</f>
        <v/>
      </c>
      <c r="V124" s="43">
        <f>IFERROR(SUM($E$121:V121)/SUM($E$122:V122),"")</f>
        <v/>
      </c>
      <c r="W124" s="43">
        <f>IFERROR(SUM($E$121:W121)/SUM($E$122:W122),"")</f>
        <v/>
      </c>
      <c r="X124" s="43">
        <f>IFERROR(SUM($E$121:X121)/SUM($E$122:X122),"")</f>
        <v/>
      </c>
      <c r="Y124" s="43">
        <f>IFERROR(SUM($E$121:Y121)/SUM($E$122:Y122),"")</f>
        <v/>
      </c>
      <c r="Z124" s="43">
        <f>IFERROR(SUM($E$121:Z121)/SUM($E$122:Z122),"")</f>
        <v/>
      </c>
      <c r="AA124" s="43">
        <f>IFERROR(SUM($E$121:AA121)/SUM($E$122:AA122),"")</f>
        <v/>
      </c>
      <c r="AB124" s="43">
        <f>IFERROR(SUM($E$121:AB121)/SUM($E$122:AB122),"")</f>
        <v/>
      </c>
      <c r="AC124" s="43">
        <f>IFERROR(SUM($E$121:AC121)/SUM($E$122:AC122),"")</f>
        <v/>
      </c>
      <c r="AD124" s="43">
        <f>IFERROR(SUM($E$121:AD121)/SUM($E$122:AD122),"")</f>
        <v/>
      </c>
      <c r="AE124" s="43">
        <f>IFERROR(SUM($E$121:AE121)/SUM($E$122:AE122),"")</f>
        <v/>
      </c>
      <c r="AF124" s="43">
        <f>IFERROR(SUM($E$121:AF121)/SUM($E$122:AF122),"")</f>
        <v/>
      </c>
      <c r="AG124" s="43">
        <f>IFERROR(SUM($E$121:AG121)/SUM($E$122:AG122),"")</f>
        <v/>
      </c>
      <c r="AH124" s="43">
        <f>IFERROR(SUM($E$121:AH121)/SUM($E$122:AH122),"")</f>
        <v/>
      </c>
      <c r="AI124" s="43">
        <f>IFERROR(SUM($E$121:AI121)/SUM($E$122:AI122),"")</f>
        <v/>
      </c>
      <c r="AJ124" s="43">
        <f>IFERROR(SUM($E$121:AJ121)/SUM($E$122:AJ122),"")</f>
        <v/>
      </c>
      <c r="AK124" s="43">
        <f>IFERROR(SUM($E$121:AK121)/SUM($E$122:AK122),"")</f>
        <v/>
      </c>
      <c r="AL124" s="43">
        <f>IFERROR(SUM($E$121:AL121)/SUM($E$122:AL122),"")</f>
        <v/>
      </c>
      <c r="AM124" s="43">
        <f>IFERROR(SUM($E$121:AM121)/SUM($E$122:AM122),"")</f>
        <v/>
      </c>
      <c r="AN124" s="43">
        <f>IFERROR(SUM($E$121:AN121)/SUM($E$122:AN122),"")</f>
        <v/>
      </c>
      <c r="AO124" s="43">
        <f>IFERROR(SUM($E$121:AO121)/SUM($E$122:AO122),"")</f>
        <v/>
      </c>
      <c r="AP124" s="43">
        <f>IFERROR(SUM($E$121:AP121)/SUM($E$122:AP122),"")</f>
        <v/>
      </c>
      <c r="AQ124" s="43">
        <f>IFERROR(SUM($E$121:AQ121)/SUM($E$122:AQ122),"")</f>
        <v/>
      </c>
      <c r="AR124" s="43">
        <f>IFERROR(SUM($E$121:AR121)/SUM($E$122:AR122),"")</f>
        <v/>
      </c>
      <c r="AS124" s="43">
        <f>IFERROR(SUM($E$121:AS121)/SUM($E$122:AS122),"")</f>
        <v/>
      </c>
      <c r="AT124" s="43">
        <f>IFERROR(SUM($E$121:AT121)/SUM($E$122:AT122),"")</f>
        <v/>
      </c>
      <c r="AU124" s="43">
        <f>IFERROR(SUM($E$121:AU121)/SUM($E$122:AU122),"")</f>
        <v/>
      </c>
      <c r="AV124" s="43">
        <f>IFERROR(SUM($E$121:AV121)/SUM($E$122:AV122),"")</f>
        <v/>
      </c>
      <c r="AW124" s="43">
        <f>IFERROR(SUM($E$121:AW121)/SUM($E$122:AW122),"")</f>
        <v/>
      </c>
      <c r="AX124" s="43">
        <f>IFERROR(SUM($E$121:AX121)/SUM($E$122:AX122),"")</f>
        <v/>
      </c>
      <c r="AY124" s="43">
        <f>IFERROR(SUM($E$121:AY121)/SUM($E$122:AY122),"")</f>
        <v/>
      </c>
      <c r="AZ124" s="43">
        <f>IFERROR(SUM($E$121:AZ121)/SUM($E$122:AZ122),"")</f>
        <v/>
      </c>
      <c r="BA124" s="43">
        <f>IFERROR(SUM($E$121:BA121)/SUM($E$122:BA122),"")</f>
        <v/>
      </c>
      <c r="BB124" s="43">
        <f>IFERROR(SUM($E$121:BB121)/SUM($E$122:BB122),"")</f>
        <v/>
      </c>
      <c r="BC124" s="43">
        <f>IFERROR(SUM($E$121:BC121)/SUM($E$122:BC122),"")</f>
        <v/>
      </c>
      <c r="BD124" s="43">
        <f>IFERROR(SUM($E$121:BD121)/SUM($E$122:BD122),"")</f>
        <v/>
      </c>
    </row>
    <row r="125"/>
    <row r="126" customFormat="1" s="1">
      <c r="A126" s="1" t="inlineStr">
        <is>
          <t>Ads</t>
        </is>
      </c>
      <c r="D126" s="24" t="inlineStr">
        <is>
          <t>$k</t>
        </is>
      </c>
      <c r="E126" s="44" t="n">
        <v>16.23609</v>
      </c>
      <c r="F126" s="44" t="n">
        <v>16.29575</v>
      </c>
      <c r="G126" s="44" t="n">
        <v>17.36873</v>
      </c>
      <c r="H126" s="44" t="n">
        <v>17.24599</v>
      </c>
      <c r="I126" s="44" t="n">
        <v>11.54876</v>
      </c>
      <c r="J126" s="44" t="n">
        <v>4.87025</v>
      </c>
      <c r="K126" s="44" t="n">
        <v>7.70212</v>
      </c>
      <c r="L126" s="44" t="n">
        <v>9.360950000000001</v>
      </c>
      <c r="M126" s="44" t="n">
        <v>9.44035</v>
      </c>
      <c r="N126" s="44" t="n">
        <v>10.77068</v>
      </c>
      <c r="O126" s="44" t="n">
        <v>10.94465</v>
      </c>
      <c r="P126" s="44" t="n">
        <v>10.91692</v>
      </c>
      <c r="Q126" s="44" t="n">
        <v>11.13131</v>
      </c>
      <c r="R126" s="44" t="n">
        <v>10.89344</v>
      </c>
      <c r="S126" s="44" t="n">
        <v>8.21918</v>
      </c>
      <c r="T126" s="44" t="n">
        <v>7.19779</v>
      </c>
      <c r="U126" s="44" t="n">
        <v>8.07146</v>
      </c>
      <c r="V126" s="44" t="n">
        <v>8.092499999999999</v>
      </c>
      <c r="W126" s="44" t="n">
        <v>9.57883</v>
      </c>
      <c r="X126" s="44" t="n">
        <v>11.10504</v>
      </c>
      <c r="Y126" s="44" t="n">
        <v>13.59599</v>
      </c>
      <c r="Z126" s="44" t="n">
        <v>19.14241</v>
      </c>
      <c r="AA126" s="44" t="n"/>
      <c r="AB126" s="44" t="n"/>
      <c r="AC126" s="44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  <c r="AQ126" s="44" t="n"/>
      <c r="AR126" s="44" t="n"/>
      <c r="AS126" s="44" t="n"/>
      <c r="AT126" s="44" t="n"/>
      <c r="AU126" s="44" t="n"/>
      <c r="AV126" s="44" t="n"/>
      <c r="AW126" s="44" t="n"/>
      <c r="AX126" s="44" t="n"/>
      <c r="AY126" s="44" t="n"/>
      <c r="AZ126" s="44" t="n"/>
      <c r="BA126" s="44" t="n"/>
      <c r="BB126" s="44" t="n"/>
      <c r="BC126" s="44" t="n"/>
      <c r="BD126" s="44" t="n"/>
    </row>
    <row r="127" ht="15.75" customFormat="1" customHeight="1" s="1">
      <c r="B127" s="41" t="inlineStr">
        <is>
          <t>Finance Actuals (Monthly)</t>
        </is>
      </c>
      <c r="D127" s="32" t="inlineStr">
        <is>
          <t>$k</t>
        </is>
      </c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  <c r="AE127" s="44" t="n"/>
      <c r="AF127" s="44" t="n"/>
      <c r="AG127" s="44" t="n"/>
      <c r="AH127" s="44" t="n"/>
      <c r="AI127" s="44" t="n"/>
      <c r="AJ127" s="44" t="n"/>
      <c r="AK127" s="44" t="n"/>
      <c r="AL127" s="44" t="n"/>
      <c r="AM127" s="44" t="n"/>
      <c r="AN127" s="44" t="n"/>
      <c r="AO127" s="44" t="n"/>
      <c r="AP127" s="44" t="n"/>
      <c r="AQ127" s="44" t="n"/>
      <c r="AR127" s="44" t="n"/>
      <c r="AS127" s="44" t="n"/>
      <c r="AT127" s="44" t="n"/>
      <c r="AU127" s="44" t="n"/>
      <c r="AV127" s="44" t="n"/>
      <c r="AW127" s="44" t="n"/>
      <c r="AX127" s="44" t="n"/>
      <c r="AY127" s="44" t="n"/>
      <c r="AZ127" s="44" t="n"/>
      <c r="BA127" s="44" t="n"/>
      <c r="BB127" s="44" t="n"/>
      <c r="BC127" s="44" t="n"/>
      <c r="BD127" s="44" t="n"/>
    </row>
    <row r="128" ht="15.75" customHeight="1">
      <c r="B128" s="40" t="inlineStr">
        <is>
          <t>Budgeted (Monthly)</t>
        </is>
      </c>
      <c r="C128" s="40" t="n"/>
      <c r="D128" s="10" t="inlineStr">
        <is>
          <t>$k</t>
        </is>
      </c>
      <c r="E128" s="44" t="n"/>
      <c r="F128" s="44" t="n"/>
      <c r="G128" s="44" t="n"/>
      <c r="H128" s="44" t="n">
        <v>64.58333333333334</v>
      </c>
      <c r="I128" s="44" t="n"/>
      <c r="J128" s="44" t="n"/>
      <c r="K128" s="44" t="n"/>
      <c r="L128" s="44" t="n">
        <v>64.58333333333334</v>
      </c>
      <c r="M128" s="44" t="n"/>
      <c r="N128" s="44" t="n"/>
      <c r="O128" s="44" t="n"/>
      <c r="P128" s="44" t="n"/>
      <c r="Q128" s="44" t="n">
        <v>64.58333333333334</v>
      </c>
      <c r="R128" s="44" t="n"/>
      <c r="S128" s="44" t="n"/>
      <c r="T128" s="44" t="n"/>
      <c r="U128" s="44" t="n">
        <v>64.58333333333334</v>
      </c>
      <c r="V128" s="44" t="n"/>
      <c r="W128" s="44" t="n"/>
      <c r="X128" s="44" t="n"/>
      <c r="Y128" s="44" t="n"/>
      <c r="Z128" s="44" t="n">
        <v>64.58333333333334</v>
      </c>
      <c r="AA128" s="44" t="n"/>
      <c r="AB128" s="44" t="n"/>
      <c r="AC128" s="44" t="n"/>
      <c r="AD128" s="44" t="n">
        <v>64.58333333333334</v>
      </c>
      <c r="AE128" s="44" t="n"/>
      <c r="AF128" s="44" t="n"/>
      <c r="AG128" s="44" t="n"/>
      <c r="AH128" s="44" t="n">
        <v>64.58333333333334</v>
      </c>
      <c r="AI128" s="44" t="n"/>
      <c r="AJ128" s="44" t="n"/>
      <c r="AK128" s="44" t="n"/>
      <c r="AL128" s="44" t="n"/>
      <c r="AM128" s="44" t="n">
        <v>64.58333333333334</v>
      </c>
      <c r="AN128" s="44" t="n"/>
      <c r="AO128" s="44" t="n"/>
      <c r="AP128" s="44" t="n"/>
      <c r="AQ128" s="44" t="n">
        <v>64.58333333333334</v>
      </c>
      <c r="AR128" s="44" t="n"/>
      <c r="AS128" s="44" t="n"/>
      <c r="AT128" s="44" t="n"/>
      <c r="AU128" s="44" t="n">
        <v>64.58333333333334</v>
      </c>
      <c r="AV128" s="44" t="n"/>
      <c r="AW128" s="44" t="n"/>
      <c r="AX128" s="44" t="n"/>
      <c r="AY128" s="44" t="n"/>
      <c r="AZ128" s="44" t="n">
        <v>64.58333333333334</v>
      </c>
      <c r="BA128" s="44" t="n"/>
      <c r="BB128" s="44" t="n"/>
      <c r="BC128" s="44" t="n"/>
      <c r="BD128" s="44" t="n">
        <v>64.58333333333334</v>
      </c>
    </row>
    <row r="129">
      <c r="B129" t="inlineStr">
        <is>
          <t>As % of budget - this month</t>
        </is>
      </c>
      <c r="D129" s="6" t="inlineStr">
        <is>
          <t>%</t>
        </is>
      </c>
      <c r="E129" s="43">
        <f>IFERROR(E127/E128,"")</f>
        <v/>
      </c>
      <c r="F129" s="43">
        <f>IFERROR(F127/F128,"")</f>
        <v/>
      </c>
      <c r="G129" s="43">
        <f>IFERROR(G127/G128,"")</f>
        <v/>
      </c>
      <c r="H129" s="43">
        <f>IFERROR(H127/H128,"")</f>
        <v/>
      </c>
      <c r="I129" s="43">
        <f>IFERROR(I127/I128,"")</f>
        <v/>
      </c>
      <c r="J129" s="43">
        <f>IFERROR(J127/J128,"")</f>
        <v/>
      </c>
      <c r="K129" s="43">
        <f>IFERROR(K127/K128,"")</f>
        <v/>
      </c>
      <c r="L129" s="43">
        <f>IFERROR(L127/L128,"")</f>
        <v/>
      </c>
      <c r="M129" s="43">
        <f>IFERROR(M127/M128,"")</f>
        <v/>
      </c>
      <c r="N129" s="43">
        <f>IFERROR(N127/N128,"")</f>
        <v/>
      </c>
      <c r="O129" s="43">
        <f>IFERROR(O127/O128,"")</f>
        <v/>
      </c>
      <c r="P129" s="43">
        <f>IFERROR(P127/P128,"")</f>
        <v/>
      </c>
      <c r="Q129" s="43">
        <f>IFERROR(Q127/Q128,"")</f>
        <v/>
      </c>
      <c r="R129" s="43">
        <f>IFERROR(R127/R128,"")</f>
        <v/>
      </c>
      <c r="S129" s="43">
        <f>IFERROR(S127/S128,"")</f>
        <v/>
      </c>
      <c r="T129" s="43">
        <f>IFERROR(T127/T128,"")</f>
        <v/>
      </c>
      <c r="U129" s="43">
        <f>IFERROR(U127/U128,"")</f>
        <v/>
      </c>
      <c r="V129" s="43">
        <f>IFERROR(V127/V128,"")</f>
        <v/>
      </c>
      <c r="W129" s="43">
        <f>IFERROR(W127/W128,"")</f>
        <v/>
      </c>
      <c r="X129" s="43">
        <f>IFERROR(X127/X128,"")</f>
        <v/>
      </c>
      <c r="Y129" s="43">
        <f>IFERROR(Y127/Y128,"")</f>
        <v/>
      </c>
      <c r="Z129" s="43">
        <f>IFERROR(Z127/Z128,"")</f>
        <v/>
      </c>
      <c r="AA129" s="43">
        <f>IFERROR(AA127/AA128,"")</f>
        <v/>
      </c>
      <c r="AB129" s="43">
        <f>IFERROR(AB127/AB128,"")</f>
        <v/>
      </c>
      <c r="AC129" s="43">
        <f>IFERROR(AC127/AC128,"")</f>
        <v/>
      </c>
      <c r="AD129" s="43">
        <f>IFERROR(AD127/AD128,"")</f>
        <v/>
      </c>
      <c r="AE129" s="43">
        <f>IFERROR(AE127/AE128,"")</f>
        <v/>
      </c>
      <c r="AF129" s="43">
        <f>IFERROR(AF127/AF128,"")</f>
        <v/>
      </c>
      <c r="AG129" s="43">
        <f>IFERROR(AG127/AG128,"")</f>
        <v/>
      </c>
      <c r="AH129" s="43">
        <f>IFERROR(AH127/AH128,"")</f>
        <v/>
      </c>
      <c r="AI129" s="43">
        <f>IFERROR(AI127/AI128,"")</f>
        <v/>
      </c>
      <c r="AJ129" s="43">
        <f>IFERROR(AJ127/AJ128,"")</f>
        <v/>
      </c>
      <c r="AK129" s="43">
        <f>IFERROR(AK127/AK128,"")</f>
        <v/>
      </c>
      <c r="AL129" s="43">
        <f>IFERROR(AL127/AL128,"")</f>
        <v/>
      </c>
      <c r="AM129" s="43">
        <f>IFERROR(AM127/AM128,"")</f>
        <v/>
      </c>
      <c r="AN129" s="43">
        <f>IFERROR(AN127/AN128,"")</f>
        <v/>
      </c>
      <c r="AO129" s="43">
        <f>IFERROR(AO127/AO128,"")</f>
        <v/>
      </c>
      <c r="AP129" s="43">
        <f>IFERROR(AP127/AP128,"")</f>
        <v/>
      </c>
      <c r="AQ129" s="43">
        <f>IFERROR(AQ127/AQ128,"")</f>
        <v/>
      </c>
      <c r="AR129" s="43">
        <f>IFERROR(AR127/AR128,"")</f>
        <v/>
      </c>
      <c r="AS129" s="43">
        <f>IFERROR(AS127/AS128,"")</f>
        <v/>
      </c>
      <c r="AT129" s="43">
        <f>IFERROR(AT127/AT128,"")</f>
        <v/>
      </c>
      <c r="AU129" s="43">
        <f>IFERROR(AU127/AU128,"")</f>
        <v/>
      </c>
      <c r="AV129" s="43">
        <f>IFERROR(AV127/AV128,"")</f>
        <v/>
      </c>
      <c r="AW129" s="43">
        <f>IFERROR(AW127/AW128,"")</f>
        <v/>
      </c>
      <c r="AX129" s="43">
        <f>IFERROR(AX127/AX128,"")</f>
        <v/>
      </c>
      <c r="AY129" s="43">
        <f>IFERROR(AY127/AY128,"")</f>
        <v/>
      </c>
      <c r="AZ129" s="43">
        <f>IFERROR(AZ127/AZ128,"")</f>
        <v/>
      </c>
      <c r="BA129" s="43">
        <f>IFERROR(BA127/BA128,"")</f>
        <v/>
      </c>
      <c r="BB129" s="43">
        <f>IFERROR(BB127/BB128,"")</f>
        <v/>
      </c>
      <c r="BC129" s="43">
        <f>IFERROR(BC127/BC128,"")</f>
        <v/>
      </c>
      <c r="BD129" s="43">
        <f>IFERROR(BD127/BD128,"")</f>
        <v/>
      </c>
    </row>
    <row r="130">
      <c r="B130" t="inlineStr">
        <is>
          <t>As % of budget - YTD</t>
        </is>
      </c>
      <c r="D130" s="6" t="inlineStr">
        <is>
          <t>%</t>
        </is>
      </c>
      <c r="E130" s="43">
        <f>IFERROR(SUM($E$127:E127)/SUM($E$128:E128),"")</f>
        <v/>
      </c>
      <c r="F130" s="43">
        <f>IFERROR(SUM($E$127:F127)/SUM($E$128:F128),"")</f>
        <v/>
      </c>
      <c r="G130" s="43">
        <f>IFERROR(SUM($E$127:G127)/SUM($E$128:G128),"")</f>
        <v/>
      </c>
      <c r="H130" s="43">
        <f>IFERROR(SUM($E$127:H127)/SUM($E$128:H128),"")</f>
        <v/>
      </c>
      <c r="I130" s="43">
        <f>IFERROR(SUM($E$127:I127)/SUM($E$128:I128),"")</f>
        <v/>
      </c>
      <c r="J130" s="43">
        <f>IFERROR(SUM($E$127:J127)/SUM($E$128:J128),"")</f>
        <v/>
      </c>
      <c r="K130" s="43">
        <f>IFERROR(SUM($E$127:K127)/SUM($E$128:K128),"")</f>
        <v/>
      </c>
      <c r="L130" s="43">
        <f>IFERROR(SUM($E$127:L127)/SUM($E$128:L128),"")</f>
        <v/>
      </c>
      <c r="M130" s="43">
        <f>IFERROR(SUM($E$127:M127)/SUM($E$128:M128),"")</f>
        <v/>
      </c>
      <c r="N130" s="43">
        <f>IFERROR(SUM($E$127:N127)/SUM($E$128:N128),"")</f>
        <v/>
      </c>
      <c r="O130" s="43">
        <f>IFERROR(SUM($E$127:O127)/SUM($E$128:O128),"")</f>
        <v/>
      </c>
      <c r="P130" s="43">
        <f>IFERROR(SUM($E$127:P127)/SUM($E$128:P128),"")</f>
        <v/>
      </c>
      <c r="Q130" s="43">
        <f>IFERROR(SUM($E$127:Q127)/SUM($E$128:Q128),"")</f>
        <v/>
      </c>
      <c r="R130" s="43">
        <f>IFERROR(SUM($E$127:R127)/SUM($E$128:R128),"")</f>
        <v/>
      </c>
      <c r="S130" s="43">
        <f>IFERROR(SUM($E$127:S127)/SUM($E$128:S128),"")</f>
        <v/>
      </c>
      <c r="T130" s="43">
        <f>IFERROR(SUM($E$127:T127)/SUM($E$128:T128),"")</f>
        <v/>
      </c>
      <c r="U130" s="43">
        <f>IFERROR(SUM($E$127:U127)/SUM($E$128:U128),"")</f>
        <v/>
      </c>
      <c r="V130" s="43">
        <f>IFERROR(SUM($E$127:V127)/SUM($E$128:V128),"")</f>
        <v/>
      </c>
      <c r="W130" s="43">
        <f>IFERROR(SUM($E$127:W127)/SUM($E$128:W128),"")</f>
        <v/>
      </c>
      <c r="X130" s="43">
        <f>IFERROR(SUM($E$127:X127)/SUM($E$128:X128),"")</f>
        <v/>
      </c>
      <c r="Y130" s="43">
        <f>IFERROR(SUM($E$127:Y127)/SUM($E$128:Y128),"")</f>
        <v/>
      </c>
      <c r="Z130" s="43">
        <f>IFERROR(SUM($E$127:Z127)/SUM($E$128:Z128),"")</f>
        <v/>
      </c>
      <c r="AA130" s="43">
        <f>IFERROR(SUM($E$127:AA127)/SUM($E$128:AA128),"")</f>
        <v/>
      </c>
      <c r="AB130" s="43">
        <f>IFERROR(SUM($E$127:AB127)/SUM($E$128:AB128),"")</f>
        <v/>
      </c>
      <c r="AC130" s="43">
        <f>IFERROR(SUM($E$127:AC127)/SUM($E$128:AC128),"")</f>
        <v/>
      </c>
      <c r="AD130" s="43">
        <f>IFERROR(SUM($E$127:AD127)/SUM($E$128:AD128),"")</f>
        <v/>
      </c>
      <c r="AE130" s="43">
        <f>IFERROR(SUM($E$127:AE127)/SUM($E$128:AE128),"")</f>
        <v/>
      </c>
      <c r="AF130" s="43">
        <f>IFERROR(SUM($E$127:AF127)/SUM($E$128:AF128),"")</f>
        <v/>
      </c>
      <c r="AG130" s="43">
        <f>IFERROR(SUM($E$127:AG127)/SUM($E$128:AG128),"")</f>
        <v/>
      </c>
      <c r="AH130" s="43">
        <f>IFERROR(SUM($E$127:AH127)/SUM($E$128:AH128),"")</f>
        <v/>
      </c>
      <c r="AI130" s="43">
        <f>IFERROR(SUM($E$127:AI127)/SUM($E$128:AI128),"")</f>
        <v/>
      </c>
      <c r="AJ130" s="43">
        <f>IFERROR(SUM($E$127:AJ127)/SUM($E$128:AJ128),"")</f>
        <v/>
      </c>
      <c r="AK130" s="43">
        <f>IFERROR(SUM($E$127:AK127)/SUM($E$128:AK128),"")</f>
        <v/>
      </c>
      <c r="AL130" s="43">
        <f>IFERROR(SUM($E$127:AL127)/SUM($E$128:AL128),"")</f>
        <v/>
      </c>
      <c r="AM130" s="43">
        <f>IFERROR(SUM($E$127:AM127)/SUM($E$128:AM128),"")</f>
        <v/>
      </c>
      <c r="AN130" s="43">
        <f>IFERROR(SUM($E$127:AN127)/SUM($E$128:AN128),"")</f>
        <v/>
      </c>
      <c r="AO130" s="43">
        <f>IFERROR(SUM($E$127:AO127)/SUM($E$128:AO128),"")</f>
        <v/>
      </c>
      <c r="AP130" s="43">
        <f>IFERROR(SUM($E$127:AP127)/SUM($E$128:AP128),"")</f>
        <v/>
      </c>
      <c r="AQ130" s="43">
        <f>IFERROR(SUM($E$127:AQ127)/SUM($E$128:AQ128),"")</f>
        <v/>
      </c>
      <c r="AR130" s="43">
        <f>IFERROR(SUM($E$127:AR127)/SUM($E$128:AR128),"")</f>
        <v/>
      </c>
      <c r="AS130" s="43">
        <f>IFERROR(SUM($E$127:AS127)/SUM($E$128:AS128),"")</f>
        <v/>
      </c>
      <c r="AT130" s="43">
        <f>IFERROR(SUM($E$127:AT127)/SUM($E$128:AT128),"")</f>
        <v/>
      </c>
      <c r="AU130" s="43">
        <f>IFERROR(SUM($E$127:AU127)/SUM($E$128:AU128),"")</f>
        <v/>
      </c>
      <c r="AV130" s="43">
        <f>IFERROR(SUM($E$127:AV127)/SUM($E$128:AV128),"")</f>
        <v/>
      </c>
      <c r="AW130" s="43">
        <f>IFERROR(SUM($E$127:AW127)/SUM($E$128:AW128),"")</f>
        <v/>
      </c>
      <c r="AX130" s="43">
        <f>IFERROR(SUM($E$127:AX127)/SUM($E$128:AX128),"")</f>
        <v/>
      </c>
      <c r="AY130" s="43">
        <f>IFERROR(SUM($E$127:AY127)/SUM($E$128:AY128),"")</f>
        <v/>
      </c>
      <c r="AZ130" s="43">
        <f>IFERROR(SUM($E$127:AZ127)/SUM($E$128:AZ128),"")</f>
        <v/>
      </c>
      <c r="BA130" s="43">
        <f>IFERROR(SUM($E$127:BA127)/SUM($E$128:BA128),"")</f>
        <v/>
      </c>
      <c r="BB130" s="43">
        <f>IFERROR(SUM($E$127:BB127)/SUM($E$128:BB128),"")</f>
        <v/>
      </c>
      <c r="BC130" s="43">
        <f>IFERROR(SUM($E$127:BC127)/SUM($E$128:BC128),"")</f>
        <v/>
      </c>
      <c r="BD130" s="43">
        <f>IFERROR(SUM($E$127:BD127)/SUM($E$128:BD128),"")</f>
        <v/>
      </c>
    </row>
    <row r="131"/>
    <row r="132" ht="15.75" customFormat="1" customHeight="1" s="1">
      <c r="A132" s="1" t="inlineStr">
        <is>
          <t>Other Marketing - Retail marketing, etc</t>
        </is>
      </c>
      <c r="D132" s="24" t="inlineStr">
        <is>
          <t>$k</t>
        </is>
      </c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  <c r="AQ132" s="44" t="n"/>
      <c r="AR132" s="44" t="n"/>
      <c r="AS132" s="44" t="n"/>
      <c r="AT132" s="44" t="n"/>
      <c r="AU132" s="44" t="n"/>
      <c r="AV132" s="44" t="n"/>
      <c r="AW132" s="44" t="n"/>
      <c r="AX132" s="44" t="n"/>
      <c r="AY132" s="44" t="n"/>
      <c r="AZ132" s="44" t="n"/>
      <c r="BA132" s="44" t="n"/>
      <c r="BB132" s="44" t="n"/>
      <c r="BC132" s="44" t="n"/>
      <c r="BD132" s="44" t="n"/>
    </row>
    <row r="133" ht="15.75" customFormat="1" customHeight="1" s="1">
      <c r="B133" s="41" t="inlineStr">
        <is>
          <t>Finance Actuals (Monthly)</t>
        </is>
      </c>
      <c r="D133" s="32" t="inlineStr">
        <is>
          <t>$k</t>
        </is>
      </c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  <c r="AE133" s="44" t="n"/>
      <c r="AF133" s="44" t="n"/>
      <c r="AG133" s="44" t="n"/>
      <c r="AH133" s="44" t="n"/>
      <c r="AI133" s="44" t="n"/>
      <c r="AJ133" s="44" t="n"/>
      <c r="AK133" s="44" t="n"/>
      <c r="AL133" s="44" t="n"/>
      <c r="AM133" s="44" t="n"/>
      <c r="AN133" s="44" t="n"/>
      <c r="AO133" s="44" t="n"/>
      <c r="AP133" s="44" t="n"/>
      <c r="AQ133" s="44" t="n"/>
      <c r="AR133" s="44" t="n"/>
      <c r="AS133" s="44" t="n"/>
      <c r="AT133" s="44" t="n"/>
      <c r="AU133" s="44" t="n"/>
      <c r="AV133" s="44" t="n"/>
      <c r="AW133" s="44" t="n"/>
      <c r="AX133" s="44" t="n"/>
      <c r="AY133" s="44" t="n"/>
      <c r="AZ133" s="44" t="n"/>
      <c r="BA133" s="44" t="n"/>
      <c r="BB133" s="44" t="n"/>
      <c r="BC133" s="44" t="n"/>
      <c r="BD133" s="44" t="n"/>
    </row>
    <row r="134" ht="15.75" customHeight="1">
      <c r="B134" s="40" t="inlineStr">
        <is>
          <t>Budgeted (Monthly)</t>
        </is>
      </c>
      <c r="C134" s="40" t="n"/>
      <c r="D134" s="10" t="inlineStr">
        <is>
          <t>$k</t>
        </is>
      </c>
      <c r="E134" s="44" t="n"/>
      <c r="F134" s="44" t="n"/>
      <c r="G134" s="44" t="n"/>
      <c r="H134" s="44" t="n">
        <v>119.5833333333333</v>
      </c>
      <c r="I134" s="44" t="n"/>
      <c r="J134" s="44" t="n"/>
      <c r="K134" s="44" t="n"/>
      <c r="L134" s="44" t="n">
        <v>119.5833333333333</v>
      </c>
      <c r="M134" s="44" t="n"/>
      <c r="N134" s="44" t="n"/>
      <c r="O134" s="44" t="n"/>
      <c r="P134" s="44" t="n"/>
      <c r="Q134" s="44" t="n">
        <v>119.5833333333333</v>
      </c>
      <c r="R134" s="44" t="n"/>
      <c r="S134" s="44" t="n"/>
      <c r="T134" s="44" t="n"/>
      <c r="U134" s="44" t="n">
        <v>81.25</v>
      </c>
      <c r="V134" s="44" t="n"/>
      <c r="W134" s="44" t="n"/>
      <c r="X134" s="44" t="n"/>
      <c r="Y134" s="44" t="n"/>
      <c r="Z134" s="44" t="n">
        <v>81.25</v>
      </c>
      <c r="AA134" s="44" t="n"/>
      <c r="AB134" s="44" t="n"/>
      <c r="AC134" s="44" t="n"/>
      <c r="AD134" s="44" t="n">
        <v>81.25</v>
      </c>
      <c r="AE134" s="44" t="n"/>
      <c r="AF134" s="44" t="n"/>
      <c r="AG134" s="44" t="n"/>
      <c r="AH134" s="44" t="n">
        <v>81.25</v>
      </c>
      <c r="AI134" s="44" t="n"/>
      <c r="AJ134" s="44" t="n"/>
      <c r="AK134" s="44" t="n"/>
      <c r="AL134" s="44" t="n"/>
      <c r="AM134" s="44" t="n">
        <v>81.25</v>
      </c>
      <c r="AN134" s="44" t="n"/>
      <c r="AO134" s="44" t="n"/>
      <c r="AP134" s="44" t="n"/>
      <c r="AQ134" s="44" t="n">
        <v>81.25</v>
      </c>
      <c r="AR134" s="44" t="n"/>
      <c r="AS134" s="44" t="n"/>
      <c r="AT134" s="44" t="n"/>
      <c r="AU134" s="44" t="n">
        <v>81.25</v>
      </c>
      <c r="AV134" s="44" t="n"/>
      <c r="AW134" s="44" t="n"/>
      <c r="AX134" s="44" t="n"/>
      <c r="AY134" s="44" t="n"/>
      <c r="AZ134" s="44" t="n">
        <v>81.25</v>
      </c>
      <c r="BA134" s="44" t="n"/>
      <c r="BB134" s="44" t="n"/>
      <c r="BC134" s="44" t="n"/>
      <c r="BD134" s="44" t="n">
        <v>81.25</v>
      </c>
    </row>
    <row r="135">
      <c r="B135" t="inlineStr">
        <is>
          <t>As % of budget - this month</t>
        </is>
      </c>
      <c r="D135" s="6" t="inlineStr">
        <is>
          <t>%</t>
        </is>
      </c>
      <c r="E135" s="43">
        <f>IFERROR(E133/E134,"")</f>
        <v/>
      </c>
      <c r="F135" s="43">
        <f>IFERROR(F133/F134,"")</f>
        <v/>
      </c>
      <c r="G135" s="43">
        <f>IFERROR(G133/G134,"")</f>
        <v/>
      </c>
      <c r="H135" s="43">
        <f>IFERROR(H133/H134,"")</f>
        <v/>
      </c>
      <c r="I135" s="43">
        <f>IFERROR(I133/I134,"")</f>
        <v/>
      </c>
      <c r="J135" s="43">
        <f>IFERROR(J133/J134,"")</f>
        <v/>
      </c>
      <c r="K135" s="43">
        <f>IFERROR(K133/K134,"")</f>
        <v/>
      </c>
      <c r="L135" s="43">
        <f>IFERROR(L133/L134,"")</f>
        <v/>
      </c>
      <c r="M135" s="43">
        <f>IFERROR(M133/M134,"")</f>
        <v/>
      </c>
      <c r="N135" s="43">
        <f>IFERROR(N133/N134,"")</f>
        <v/>
      </c>
      <c r="O135" s="43">
        <f>IFERROR(O133/O134,"")</f>
        <v/>
      </c>
      <c r="P135" s="43">
        <f>IFERROR(P133/P134,"")</f>
        <v/>
      </c>
      <c r="Q135" s="43">
        <f>IFERROR(Q133/Q134,"")</f>
        <v/>
      </c>
      <c r="R135" s="43">
        <f>IFERROR(R133/R134,"")</f>
        <v/>
      </c>
      <c r="S135" s="43">
        <f>IFERROR(S133/S134,"")</f>
        <v/>
      </c>
      <c r="T135" s="43">
        <f>IFERROR(T133/T134,"")</f>
        <v/>
      </c>
      <c r="U135" s="43">
        <f>IFERROR(U133/U134,"")</f>
        <v/>
      </c>
      <c r="V135" s="43">
        <f>IFERROR(V133/V134,"")</f>
        <v/>
      </c>
      <c r="W135" s="43">
        <f>IFERROR(W133/W134,"")</f>
        <v/>
      </c>
      <c r="X135" s="43">
        <f>IFERROR(X133/X134,"")</f>
        <v/>
      </c>
      <c r="Y135" s="43">
        <f>IFERROR(Y133/Y134,"")</f>
        <v/>
      </c>
      <c r="Z135" s="43">
        <f>IFERROR(Z133/Z134,"")</f>
        <v/>
      </c>
      <c r="AA135" s="43">
        <f>IFERROR(AA133/AA134,"")</f>
        <v/>
      </c>
      <c r="AB135" s="43">
        <f>IFERROR(AB133/AB134,"")</f>
        <v/>
      </c>
      <c r="AC135" s="43">
        <f>IFERROR(AC133/AC134,"")</f>
        <v/>
      </c>
      <c r="AD135" s="43">
        <f>IFERROR(AD133/AD134,"")</f>
        <v/>
      </c>
      <c r="AE135" s="43">
        <f>IFERROR(AE133/AE134,"")</f>
        <v/>
      </c>
      <c r="AF135" s="43">
        <f>IFERROR(AF133/AF134,"")</f>
        <v/>
      </c>
      <c r="AG135" s="43">
        <f>IFERROR(AG133/AG134,"")</f>
        <v/>
      </c>
      <c r="AH135" s="43">
        <f>IFERROR(AH133/AH134,"")</f>
        <v/>
      </c>
      <c r="AI135" s="43">
        <f>IFERROR(AI133/AI134,"")</f>
        <v/>
      </c>
      <c r="AJ135" s="43">
        <f>IFERROR(AJ133/AJ134,"")</f>
        <v/>
      </c>
      <c r="AK135" s="43">
        <f>IFERROR(AK133/AK134,"")</f>
        <v/>
      </c>
      <c r="AL135" s="43">
        <f>IFERROR(AL133/AL134,"")</f>
        <v/>
      </c>
      <c r="AM135" s="43">
        <f>IFERROR(AM133/AM134,"")</f>
        <v/>
      </c>
      <c r="AN135" s="43">
        <f>IFERROR(AN133/AN134,"")</f>
        <v/>
      </c>
      <c r="AO135" s="43">
        <f>IFERROR(AO133/AO134,"")</f>
        <v/>
      </c>
      <c r="AP135" s="43">
        <f>IFERROR(AP133/AP134,"")</f>
        <v/>
      </c>
      <c r="AQ135" s="43">
        <f>IFERROR(AQ133/AQ134,"")</f>
        <v/>
      </c>
      <c r="AR135" s="43">
        <f>IFERROR(AR133/AR134,"")</f>
        <v/>
      </c>
      <c r="AS135" s="43">
        <f>IFERROR(AS133/AS134,"")</f>
        <v/>
      </c>
      <c r="AT135" s="43">
        <f>IFERROR(AT133/AT134,"")</f>
        <v/>
      </c>
      <c r="AU135" s="43">
        <f>IFERROR(AU133/AU134,"")</f>
        <v/>
      </c>
      <c r="AV135" s="43">
        <f>IFERROR(AV133/AV134,"")</f>
        <v/>
      </c>
      <c r="AW135" s="43">
        <f>IFERROR(AW133/AW134,"")</f>
        <v/>
      </c>
      <c r="AX135" s="43">
        <f>IFERROR(AX133/AX134,"")</f>
        <v/>
      </c>
      <c r="AY135" s="43">
        <f>IFERROR(AY133/AY134,"")</f>
        <v/>
      </c>
      <c r="AZ135" s="43">
        <f>IFERROR(AZ133/AZ134,"")</f>
        <v/>
      </c>
      <c r="BA135" s="43">
        <f>IFERROR(BA133/BA134,"")</f>
        <v/>
      </c>
      <c r="BB135" s="43">
        <f>IFERROR(BB133/BB134,"")</f>
        <v/>
      </c>
      <c r="BC135" s="43">
        <f>IFERROR(BC133/BC134,"")</f>
        <v/>
      </c>
      <c r="BD135" s="43">
        <f>IFERROR(BD133/BD134,"")</f>
        <v/>
      </c>
    </row>
    <row r="136">
      <c r="B136" t="inlineStr">
        <is>
          <t>As % of budget - YTD</t>
        </is>
      </c>
      <c r="D136" s="6" t="inlineStr">
        <is>
          <t>%</t>
        </is>
      </c>
      <c r="E136" s="43">
        <f>IFERROR(SUM($E$133:E133)/SUM($E$134:E134),"")</f>
        <v/>
      </c>
      <c r="F136" s="43">
        <f>IFERROR(SUM($E$133:F133)/SUM($E$134:F134),"")</f>
        <v/>
      </c>
      <c r="G136" s="43">
        <f>IFERROR(SUM($E$133:G133)/SUM($E$134:G134),"")</f>
        <v/>
      </c>
      <c r="H136" s="43">
        <f>IFERROR(SUM($E$133:H133)/SUM($E$134:H134),"")</f>
        <v/>
      </c>
      <c r="I136" s="43">
        <f>IFERROR(SUM($E$133:I133)/SUM($E$134:I134),"")</f>
        <v/>
      </c>
      <c r="J136" s="43">
        <f>IFERROR(SUM($E$133:J133)/SUM($E$134:J134),"")</f>
        <v/>
      </c>
      <c r="K136" s="43">
        <f>IFERROR(SUM($E$133:K133)/SUM($E$134:K134),"")</f>
        <v/>
      </c>
      <c r="L136" s="43">
        <f>IFERROR(SUM($E$133:L133)/SUM($E$134:L134),"")</f>
        <v/>
      </c>
      <c r="M136" s="43">
        <f>IFERROR(SUM($E$133:M133)/SUM($E$134:M134),"")</f>
        <v/>
      </c>
      <c r="N136" s="43">
        <f>IFERROR(SUM($E$133:N133)/SUM($E$134:N134),"")</f>
        <v/>
      </c>
      <c r="O136" s="43">
        <f>IFERROR(SUM($E$133:O133)/SUM($E$134:O134),"")</f>
        <v/>
      </c>
      <c r="P136" s="43">
        <f>IFERROR(SUM($E$133:P133)/SUM($E$134:P134),"")</f>
        <v/>
      </c>
      <c r="Q136" s="43">
        <f>IFERROR(SUM($E$133:Q133)/SUM($E$134:Q134),"")</f>
        <v/>
      </c>
      <c r="R136" s="43">
        <f>IFERROR(SUM($E$133:R133)/SUM($E$134:R134),"")</f>
        <v/>
      </c>
      <c r="S136" s="43">
        <f>IFERROR(SUM($E$133:S133)/SUM($E$134:S134),"")</f>
        <v/>
      </c>
      <c r="T136" s="43">
        <f>IFERROR(SUM($E$133:T133)/SUM($E$134:T134),"")</f>
        <v/>
      </c>
      <c r="U136" s="43">
        <f>IFERROR(SUM($E$133:U133)/SUM($E$134:U134),"")</f>
        <v/>
      </c>
      <c r="V136" s="43">
        <f>IFERROR(SUM($E$133:V133)/SUM($E$134:V134),"")</f>
        <v/>
      </c>
      <c r="W136" s="43">
        <f>IFERROR(SUM($E$133:W133)/SUM($E$134:W134),"")</f>
        <v/>
      </c>
      <c r="X136" s="43">
        <f>IFERROR(SUM($E$133:X133)/SUM($E$134:X134),"")</f>
        <v/>
      </c>
      <c r="Y136" s="43">
        <f>IFERROR(SUM($E$133:Y133)/SUM($E$134:Y134),"")</f>
        <v/>
      </c>
      <c r="Z136" s="43">
        <f>IFERROR(SUM($E$133:Z133)/SUM($E$134:Z134),"")</f>
        <v/>
      </c>
      <c r="AA136" s="43">
        <f>IFERROR(SUM($E$133:AA133)/SUM($E$134:AA134),"")</f>
        <v/>
      </c>
      <c r="AB136" s="43">
        <f>IFERROR(SUM($E$133:AB133)/SUM($E$134:AB134),"")</f>
        <v/>
      </c>
      <c r="AC136" s="43">
        <f>IFERROR(SUM($E$133:AC133)/SUM($E$134:AC134),"")</f>
        <v/>
      </c>
      <c r="AD136" s="43">
        <f>IFERROR(SUM($E$133:AD133)/SUM($E$134:AD134),"")</f>
        <v/>
      </c>
      <c r="AE136" s="43">
        <f>IFERROR(SUM($E$133:AE133)/SUM($E$134:AE134),"")</f>
        <v/>
      </c>
      <c r="AF136" s="43">
        <f>IFERROR(SUM($E$133:AF133)/SUM($E$134:AF134),"")</f>
        <v/>
      </c>
      <c r="AG136" s="43">
        <f>IFERROR(SUM($E$133:AG133)/SUM($E$134:AG134),"")</f>
        <v/>
      </c>
      <c r="AH136" s="43">
        <f>IFERROR(SUM($E$133:AH133)/SUM($E$134:AH134),"")</f>
        <v/>
      </c>
      <c r="AI136" s="43">
        <f>IFERROR(SUM($E$133:AI133)/SUM($E$134:AI134),"")</f>
        <v/>
      </c>
      <c r="AJ136" s="43">
        <f>IFERROR(SUM($E$133:AJ133)/SUM($E$134:AJ134),"")</f>
        <v/>
      </c>
      <c r="AK136" s="43">
        <f>IFERROR(SUM($E$133:AK133)/SUM($E$134:AK134),"")</f>
        <v/>
      </c>
      <c r="AL136" s="43">
        <f>IFERROR(SUM($E$133:AL133)/SUM($E$134:AL134),"")</f>
        <v/>
      </c>
      <c r="AM136" s="43">
        <f>IFERROR(SUM($E$133:AM133)/SUM($E$134:AM134),"")</f>
        <v/>
      </c>
      <c r="AN136" s="43">
        <f>IFERROR(SUM($E$133:AN133)/SUM($E$134:AN134),"")</f>
        <v/>
      </c>
      <c r="AO136" s="43">
        <f>IFERROR(SUM($E$133:AO133)/SUM($E$134:AO134),"")</f>
        <v/>
      </c>
      <c r="AP136" s="43">
        <f>IFERROR(SUM($E$133:AP133)/SUM($E$134:AP134),"")</f>
        <v/>
      </c>
      <c r="AQ136" s="43">
        <f>IFERROR(SUM($E$133:AQ133)/SUM($E$134:AQ134),"")</f>
        <v/>
      </c>
      <c r="AR136" s="43">
        <f>IFERROR(SUM($E$133:AR133)/SUM($E$134:AR134),"")</f>
        <v/>
      </c>
      <c r="AS136" s="43">
        <f>IFERROR(SUM($E$133:AS133)/SUM($E$134:AS134),"")</f>
        <v/>
      </c>
      <c r="AT136" s="43">
        <f>IFERROR(SUM($E$133:AT133)/SUM($E$134:AT134),"")</f>
        <v/>
      </c>
      <c r="AU136" s="43">
        <f>IFERROR(SUM($E$133:AU133)/SUM($E$134:AU134),"")</f>
        <v/>
      </c>
      <c r="AV136" s="43">
        <f>IFERROR(SUM($E$133:AV133)/SUM($E$134:AV134),"")</f>
        <v/>
      </c>
      <c r="AW136" s="43">
        <f>IFERROR(SUM($E$133:AW133)/SUM($E$134:AW134),"")</f>
        <v/>
      </c>
      <c r="AX136" s="43">
        <f>IFERROR(SUM($E$133:AX133)/SUM($E$134:AX134),"")</f>
        <v/>
      </c>
      <c r="AY136" s="43">
        <f>IFERROR(SUM($E$133:AY133)/SUM($E$134:AY134),"")</f>
        <v/>
      </c>
      <c r="AZ136" s="43">
        <f>IFERROR(SUM($E$133:AZ133)/SUM($E$134:AZ134),"")</f>
        <v/>
      </c>
      <c r="BA136" s="43">
        <f>IFERROR(SUM($E$133:BA133)/SUM($E$134:BA134),"")</f>
        <v/>
      </c>
      <c r="BB136" s="43">
        <f>IFERROR(SUM($E$133:BB133)/SUM($E$134:BB134),"")</f>
        <v/>
      </c>
      <c r="BC136" s="43">
        <f>IFERROR(SUM($E$133:BC133)/SUM($E$134:BC134),"")</f>
        <v/>
      </c>
      <c r="BD136" s="43">
        <f>IFERROR(SUM($E$133:BD133)/SUM($E$134:BD134),"")</f>
        <v/>
      </c>
    </row>
    <row r="137"/>
    <row r="138"/>
    <row r="139" customFormat="1" s="35">
      <c r="A139" s="34" t="inlineStr">
        <is>
          <t>Other Omni-channel Accounts</t>
        </is>
      </c>
      <c r="D139" s="36" t="n"/>
    </row>
    <row r="140">
      <c r="A140" s="1" t="inlineStr">
        <is>
          <t>Sell-in value</t>
        </is>
      </c>
      <c r="D140" s="24" t="inlineStr">
        <is>
          <t>$k</t>
        </is>
      </c>
      <c r="E140" s="42" t="n">
        <v>547.825</v>
      </c>
      <c r="F140" s="42" t="n">
        <v>40.265</v>
      </c>
      <c r="G140" s="42" t="n">
        <v>36.672</v>
      </c>
      <c r="H140" s="42" t="n">
        <v>69.074</v>
      </c>
      <c r="I140" s="42" t="n">
        <v>127.596</v>
      </c>
      <c r="J140" s="42" t="n">
        <v>86.351</v>
      </c>
      <c r="K140" s="42" t="n">
        <v>26.149</v>
      </c>
      <c r="L140" s="42" t="n">
        <v>44.528</v>
      </c>
      <c r="M140" s="42" t="n">
        <v>156.413</v>
      </c>
      <c r="N140" s="42" t="n">
        <v>40.758</v>
      </c>
      <c r="O140" s="42" t="n">
        <v>45.15</v>
      </c>
      <c r="P140" s="42" t="n">
        <v>48.79</v>
      </c>
      <c r="Q140" s="42" t="n">
        <v>47.999</v>
      </c>
      <c r="R140" s="42" t="n">
        <v>242.401</v>
      </c>
      <c r="S140" s="42" t="n">
        <v>45.439</v>
      </c>
      <c r="T140" s="42" t="n">
        <v>64.428</v>
      </c>
      <c r="U140" s="42" t="n">
        <v>15.019</v>
      </c>
      <c r="V140" s="42" t="n">
        <v>148.254</v>
      </c>
      <c r="W140" s="42" t="n">
        <v>28.287</v>
      </c>
      <c r="X140" s="42" t="n">
        <v>39.21</v>
      </c>
      <c r="Y140" s="42" t="n">
        <v>23.705</v>
      </c>
      <c r="Z140" s="42" t="n">
        <v>121.666</v>
      </c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</row>
    <row r="141" customFormat="1" s="4">
      <c r="A141" s="3" t="n"/>
      <c r="B141" s="4" t="inlineStr">
        <is>
          <t>% of Total - YTD</t>
        </is>
      </c>
      <c r="D141" s="33" t="inlineStr">
        <is>
          <t>%</t>
        </is>
      </c>
      <c r="E141" s="43">
        <f>IFERROR(SUM($E$140:E140)/SUM($E$3:E3),"")</f>
        <v/>
      </c>
      <c r="F141" s="43">
        <f>IFERROR(SUM($E$140:F140)/SUM($E$3:F3),"")</f>
        <v/>
      </c>
      <c r="G141" s="43">
        <f>IFERROR(SUM($E$140:G140)/SUM($E$3:G3),"")</f>
        <v/>
      </c>
      <c r="H141" s="43">
        <f>IFERROR(SUM($E$140:H140)/SUM($E$3:H3),"")</f>
        <v/>
      </c>
      <c r="I141" s="43">
        <f>IFERROR(SUM($E$140:I140)/SUM($E$3:I3),"")</f>
        <v/>
      </c>
      <c r="J141" s="43">
        <f>IFERROR(SUM($E$140:J140)/SUM($E$3:J3),"")</f>
        <v/>
      </c>
      <c r="K141" s="43">
        <f>IFERROR(SUM($E$140:K140)/SUM($E$3:K3),"")</f>
        <v/>
      </c>
      <c r="L141" s="43">
        <f>IFERROR(SUM($E$140:L140)/SUM($E$3:L3),"")</f>
        <v/>
      </c>
      <c r="M141" s="43">
        <f>IFERROR(SUM($E$140:M140)/SUM($E$3:M3),"")</f>
        <v/>
      </c>
      <c r="N141" s="43">
        <f>IFERROR(SUM($E$140:N140)/SUM($E$3:N3),"")</f>
        <v/>
      </c>
      <c r="O141" s="43">
        <f>IFERROR(SUM($E$140:O140)/SUM($E$3:O3),"")</f>
        <v/>
      </c>
      <c r="P141" s="43">
        <f>IFERROR(SUM($E$140:P140)/SUM($E$3:P3),"")</f>
        <v/>
      </c>
      <c r="Q141" s="43">
        <f>IFERROR(SUM($E$140:Q140)/SUM($E$3:Q3),"")</f>
        <v/>
      </c>
      <c r="R141" s="43">
        <f>IFERROR(SUM($E$140:R140)/SUM($E$3:R3),"")</f>
        <v/>
      </c>
      <c r="S141" s="43">
        <f>IFERROR(SUM($E$140:S140)/SUM($E$3:S3),"")</f>
        <v/>
      </c>
      <c r="T141" s="43">
        <f>IFERROR(SUM($E$140:T140)/SUM($E$3:T3),"")</f>
        <v/>
      </c>
      <c r="U141" s="43">
        <f>IFERROR(SUM($E$140:U140)/SUM($E$3:U3),"")</f>
        <v/>
      </c>
      <c r="V141" s="43">
        <f>IFERROR(SUM($E$140:V140)/SUM($E$3:V3),"")</f>
        <v/>
      </c>
      <c r="W141" s="43">
        <f>IFERROR(SUM($E$140:W140)/SUM($E$3:W3),"")</f>
        <v/>
      </c>
      <c r="X141" s="43">
        <f>IFERROR(SUM($E$140:X140)/SUM($E$3:X3),"")</f>
        <v/>
      </c>
      <c r="Y141" s="43">
        <f>IFERROR(SUM($E$140:Y140)/SUM($E$3:Y3),"")</f>
        <v/>
      </c>
      <c r="Z141" s="43">
        <f>IFERROR(SUM($E$140:Z140)/SUM($E$3:Z3),"")</f>
        <v/>
      </c>
      <c r="AA141" s="43" t="n"/>
      <c r="AB141" s="43" t="n"/>
      <c r="AC141" s="43" t="n"/>
      <c r="AD141" s="43" t="n"/>
      <c r="AE141" s="43" t="n"/>
      <c r="AF141" s="43" t="n"/>
      <c r="AG141" s="43" t="n"/>
      <c r="AH141" s="43" t="n"/>
      <c r="AI141" s="43" t="n"/>
      <c r="AJ141" s="43" t="n"/>
      <c r="AK141" s="43" t="n"/>
      <c r="AL141" s="43" t="n"/>
      <c r="AM141" s="43" t="n"/>
      <c r="AN141" s="43" t="n"/>
      <c r="AO141" s="43" t="n"/>
      <c r="AP141" s="43" t="n"/>
      <c r="AQ141" s="43" t="n"/>
      <c r="AR141" s="43" t="n"/>
      <c r="AS141" s="43" t="n"/>
      <c r="AT141" s="43" t="n"/>
      <c r="AU141" s="43" t="n"/>
      <c r="AV141" s="43" t="n"/>
      <c r="AW141" s="43" t="n"/>
      <c r="AX141" s="43" t="n"/>
      <c r="AY141" s="43" t="n"/>
      <c r="AZ141" s="43" t="n"/>
      <c r="BA141" s="43" t="n"/>
      <c r="BB141" s="43" t="n"/>
      <c r="BC141" s="43" t="n"/>
      <c r="BD141" s="43" t="n"/>
    </row>
    <row r="142" customFormat="1" s="7">
      <c r="B142" s="7" t="inlineStr">
        <is>
          <t>% of Target</t>
        </is>
      </c>
      <c r="D142" s="8" t="inlineStr">
        <is>
          <t>%</t>
        </is>
      </c>
      <c r="E142" s="43">
        <f>IFERROR(E140/E143,"")</f>
        <v/>
      </c>
      <c r="F142" s="43">
        <f>IFERROR(F140/F143,"")</f>
        <v/>
      </c>
      <c r="G142" s="43">
        <f>IFERROR(G140/G143,"")</f>
        <v/>
      </c>
      <c r="H142" s="43">
        <f>IFERROR(H140/H143,"")</f>
        <v/>
      </c>
      <c r="I142" s="43">
        <f>IFERROR(I140/I143,"")</f>
        <v/>
      </c>
      <c r="J142" s="43">
        <f>IFERROR(J140/J143,"")</f>
        <v/>
      </c>
      <c r="K142" s="43">
        <f>IFERROR(K140/K143,"")</f>
        <v/>
      </c>
      <c r="L142" s="43">
        <f>IFERROR(L140/L143,"")</f>
        <v/>
      </c>
      <c r="M142" s="43">
        <f>IFERROR(M140/M143,"")</f>
        <v/>
      </c>
      <c r="N142" s="43">
        <f>IFERROR(N140/N143,"")</f>
        <v/>
      </c>
      <c r="O142" s="43">
        <f>IFERROR(O140/O143,"")</f>
        <v/>
      </c>
      <c r="P142" s="43">
        <f>IFERROR(P140/P143,"")</f>
        <v/>
      </c>
      <c r="Q142" s="43">
        <f>IFERROR(Q140/Q143,"")</f>
        <v/>
      </c>
      <c r="R142" s="43">
        <f>IFERROR(R140/R143,"")</f>
        <v/>
      </c>
      <c r="S142" s="43">
        <f>IFERROR(S140/S143,"")</f>
        <v/>
      </c>
      <c r="T142" s="43">
        <f>IFERROR(T140/T143,"")</f>
        <v/>
      </c>
      <c r="U142" s="43">
        <f>IFERROR(U140/U143,"")</f>
        <v/>
      </c>
      <c r="V142" s="43">
        <f>IFERROR(V140/V143,"")</f>
        <v/>
      </c>
      <c r="W142" s="43">
        <f>IFERROR(W140/W143,"")</f>
        <v/>
      </c>
      <c r="X142" s="43">
        <f>IFERROR(X140/X143,"")</f>
        <v/>
      </c>
      <c r="Y142" s="43">
        <f>IFERROR(Y140/Y143,"")</f>
        <v/>
      </c>
      <c r="Z142" s="43">
        <f>IFERROR(Z140/Z143,"")</f>
        <v/>
      </c>
      <c r="AA142" s="43" t="n"/>
      <c r="AB142" s="43" t="n"/>
      <c r="AC142" s="43" t="n"/>
      <c r="AD142" s="43" t="n"/>
      <c r="AE142" s="43" t="n"/>
      <c r="AF142" s="43" t="n"/>
      <c r="AG142" s="43" t="n"/>
      <c r="AH142" s="43" t="n"/>
      <c r="AI142" s="43" t="n"/>
      <c r="AJ142" s="43" t="n"/>
      <c r="AK142" s="43" t="n"/>
      <c r="AL142" s="43" t="n"/>
      <c r="AM142" s="43" t="n"/>
      <c r="AN142" s="43" t="n"/>
      <c r="AO142" s="43" t="n"/>
      <c r="AP142" s="43" t="n"/>
      <c r="AQ142" s="43" t="n"/>
      <c r="AR142" s="43" t="n"/>
      <c r="AS142" s="43" t="n"/>
      <c r="AT142" s="43" t="n"/>
      <c r="AU142" s="43" t="n"/>
      <c r="AV142" s="43" t="n"/>
      <c r="AW142" s="43" t="n"/>
      <c r="AX142" s="43" t="n"/>
      <c r="AY142" s="43" t="n"/>
      <c r="AZ142" s="43" t="n"/>
      <c r="BA142" s="43" t="n"/>
      <c r="BB142" s="43" t="n"/>
      <c r="BC142" s="43" t="n"/>
      <c r="BD142" s="43" t="n"/>
    </row>
    <row r="143" customFormat="1" s="40">
      <c r="B143" s="40" t="inlineStr">
        <is>
          <t>Target</t>
        </is>
      </c>
      <c r="D143" s="10" t="inlineStr">
        <is>
          <t>$k</t>
        </is>
      </c>
      <c r="E143" s="42" t="n">
        <v>41.219788528</v>
      </c>
      <c r="F143" s="42" t="n">
        <v>72.134629924</v>
      </c>
      <c r="G143" s="42" t="n">
        <v>72.134629924</v>
      </c>
      <c r="H143" s="42" t="n">
        <v>72.134629924</v>
      </c>
      <c r="I143" s="42" t="n">
        <v>75.09150526799999</v>
      </c>
      <c r="J143" s="42" t="n">
        <v>92.8335</v>
      </c>
      <c r="K143" s="42" t="n">
        <v>92.8335</v>
      </c>
      <c r="L143" s="42" t="n">
        <v>92.8335</v>
      </c>
      <c r="M143" s="42" t="n">
        <v>88.96398132</v>
      </c>
      <c r="N143" s="42" t="n">
        <v>65.74612657200001</v>
      </c>
      <c r="O143" s="42" t="n">
        <v>65.74612657200001</v>
      </c>
      <c r="P143" s="42" t="n">
        <v>65.74612657200001</v>
      </c>
      <c r="Q143" s="42" t="n">
        <v>65.74612657200001</v>
      </c>
      <c r="R143" s="42" t="n">
        <v>69.526709076</v>
      </c>
      <c r="S143" s="42" t="n">
        <v>71.03869851600001</v>
      </c>
      <c r="T143" s="42" t="n">
        <v>71.03869851600001</v>
      </c>
      <c r="U143" s="42" t="n">
        <v>71.03869851600001</v>
      </c>
      <c r="V143" s="42" t="n">
        <v>77.047780446</v>
      </c>
      <c r="W143" s="42" t="n">
        <v>85.05999116999999</v>
      </c>
      <c r="X143" s="42" t="n">
        <v>85.05999116999999</v>
      </c>
      <c r="Y143" s="42" t="n">
        <v>85.05999116999999</v>
      </c>
      <c r="Z143" s="42" t="n">
        <v>85.05999116999999</v>
      </c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</row>
    <row r="144"/>
    <row r="145">
      <c r="A145" s="1" t="inlineStr">
        <is>
          <t xml:space="preserve">Sell-through units </t>
        </is>
      </c>
      <c r="D145" s="24" t="inlineStr">
        <is>
          <t>#</t>
        </is>
      </c>
      <c r="E145" s="42" t="n">
        <v>1183</v>
      </c>
      <c r="F145" s="42" t="n">
        <v>941</v>
      </c>
      <c r="G145" s="42" t="n">
        <v>1082</v>
      </c>
      <c r="H145" s="42" t="n">
        <v>924</v>
      </c>
      <c r="I145" s="42" t="n">
        <v>828</v>
      </c>
      <c r="J145" s="42" t="n">
        <v>946</v>
      </c>
      <c r="K145" s="42" t="n">
        <v>1005</v>
      </c>
      <c r="L145" s="42" t="n">
        <v>1083</v>
      </c>
      <c r="M145" s="42" t="n">
        <v>1343</v>
      </c>
      <c r="N145" s="42" t="n">
        <v>1605</v>
      </c>
      <c r="O145" s="42" t="n">
        <v>1505</v>
      </c>
      <c r="P145" s="42" t="n">
        <v>1481</v>
      </c>
      <c r="Q145" s="42" t="n">
        <v>1379</v>
      </c>
      <c r="R145" s="42" t="n">
        <v>1296</v>
      </c>
      <c r="S145" s="42" t="n">
        <v>1032</v>
      </c>
      <c r="T145" s="42" t="n">
        <v>1062</v>
      </c>
      <c r="U145" s="42" t="n">
        <v>899</v>
      </c>
      <c r="V145" s="42" t="n">
        <v>1103</v>
      </c>
      <c r="W145" s="42" t="n">
        <v>1160</v>
      </c>
      <c r="X145" s="42" t="n">
        <v>970</v>
      </c>
      <c r="Y145" s="42" t="n">
        <v>1093</v>
      </c>
      <c r="Z145" s="42" t="n">
        <v>1082</v>
      </c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</row>
    <row r="146" customFormat="1" s="4">
      <c r="A146" s="3" t="n"/>
      <c r="B146" s="4" t="inlineStr">
        <is>
          <t>% of Total - YTD</t>
        </is>
      </c>
      <c r="D146" s="33" t="inlineStr">
        <is>
          <t>%</t>
        </is>
      </c>
      <c r="E146" s="43">
        <f>IFERROR(SUM($E$145:E145)/SUM($E$4:E4),"")</f>
        <v/>
      </c>
      <c r="F146" s="43">
        <f>IFERROR(SUM($E$145:F145)/SUM($E$4:F4),"")</f>
        <v/>
      </c>
      <c r="G146" s="43">
        <f>IFERROR(SUM($E$145:G145)/SUM($E$4:G4),"")</f>
        <v/>
      </c>
      <c r="H146" s="43">
        <f>IFERROR(SUM($E$145:H145)/SUM($E$4:H4),"")</f>
        <v/>
      </c>
      <c r="I146" s="43">
        <f>IFERROR(SUM($E$145:I145)/SUM($E$4:I4),"")</f>
        <v/>
      </c>
      <c r="J146" s="43">
        <f>IFERROR(SUM($E$145:J145)/SUM($E$4:J4),"")</f>
        <v/>
      </c>
      <c r="K146" s="43">
        <f>IFERROR(SUM($E$145:K145)/SUM($E$4:K4),"")</f>
        <v/>
      </c>
      <c r="L146" s="43">
        <f>IFERROR(SUM($E$145:L145)/SUM($E$4:L4),"")</f>
        <v/>
      </c>
      <c r="M146" s="43">
        <f>IFERROR(SUM($E$145:M145)/SUM($E$4:M4),"")</f>
        <v/>
      </c>
      <c r="N146" s="43">
        <f>IFERROR(SUM($E$145:N145)/SUM($E$4:N4),"")</f>
        <v/>
      </c>
      <c r="O146" s="43">
        <f>IFERROR(SUM($E$145:O145)/SUM($E$4:O4),"")</f>
        <v/>
      </c>
      <c r="P146" s="43">
        <f>IFERROR(SUM($E$145:P145)/SUM($E$4:P4),"")</f>
        <v/>
      </c>
      <c r="Q146" s="43">
        <f>IFERROR(SUM($E$145:Q145)/SUM($E$4:Q4),"")</f>
        <v/>
      </c>
      <c r="R146" s="43">
        <f>IFERROR(SUM($E$145:R145)/SUM($E$4:R4),"")</f>
        <v/>
      </c>
      <c r="S146" s="43">
        <f>IFERROR(SUM($E$145:S145)/SUM($E$4:S4),"")</f>
        <v/>
      </c>
      <c r="T146" s="43">
        <f>IFERROR(SUM($E$145:T145)/SUM($E$4:T4),"")</f>
        <v/>
      </c>
      <c r="U146" s="43">
        <f>IFERROR(SUM($E$145:U145)/SUM($E$4:U4),"")</f>
        <v/>
      </c>
      <c r="V146" s="43">
        <f>IFERROR(SUM($E$145:V145)/SUM($E$4:V4),"")</f>
        <v/>
      </c>
      <c r="W146" s="43">
        <f>IFERROR(SUM($E$145:W145)/SUM($E$4:W4),"")</f>
        <v/>
      </c>
      <c r="X146" s="43">
        <f>IFERROR(SUM($E$145:X145)/SUM($E$4:X4),"")</f>
        <v/>
      </c>
      <c r="Y146" s="43">
        <f>IFERROR(SUM($E$145:Y145)/SUM($E$4:Y4),"")</f>
        <v/>
      </c>
      <c r="Z146" s="43">
        <f>IFERROR(SUM($E$145:Z145)/SUM($E$4:Z4),"")</f>
        <v/>
      </c>
      <c r="AA146" s="43" t="n"/>
      <c r="AB146" s="43" t="n"/>
      <c r="AC146" s="43" t="n"/>
      <c r="AD146" s="43" t="n"/>
      <c r="AE146" s="43" t="n"/>
      <c r="AF146" s="43" t="n"/>
      <c r="AG146" s="43" t="n"/>
      <c r="AH146" s="43" t="n"/>
      <c r="AI146" s="43" t="n"/>
      <c r="AJ146" s="43" t="n"/>
      <c r="AK146" s="43" t="n"/>
      <c r="AL146" s="43" t="n"/>
      <c r="AM146" s="43" t="n"/>
      <c r="AN146" s="43" t="n"/>
      <c r="AO146" s="43" t="n"/>
      <c r="AP146" s="43" t="n"/>
      <c r="AQ146" s="43" t="n"/>
      <c r="AR146" s="43" t="n"/>
      <c r="AS146" s="43" t="n"/>
      <c r="AT146" s="43" t="n"/>
      <c r="AU146" s="43" t="n"/>
      <c r="AV146" s="43" t="n"/>
      <c r="AW146" s="43" t="n"/>
      <c r="AX146" s="43" t="n"/>
      <c r="AY146" s="43" t="n"/>
      <c r="AZ146" s="43" t="n"/>
      <c r="BA146" s="43" t="n"/>
      <c r="BB146" s="43" t="n"/>
      <c r="BC146" s="43" t="n"/>
      <c r="BD146" s="43" t="n"/>
    </row>
    <row r="147" customFormat="1" s="16">
      <c r="A147" s="15" t="n"/>
      <c r="B147" s="16" t="inlineStr">
        <is>
          <t>% of Target</t>
        </is>
      </c>
      <c r="D147" s="17" t="inlineStr">
        <is>
          <t>%</t>
        </is>
      </c>
      <c r="E147" s="43">
        <f>IFERROR(E145/E148,"")</f>
        <v/>
      </c>
      <c r="F147" s="43">
        <f>IFERROR(F145/F148,"")</f>
        <v/>
      </c>
      <c r="G147" s="43">
        <f>IFERROR(G145/G148,"")</f>
        <v/>
      </c>
      <c r="H147" s="43">
        <f>IFERROR(H145/H148,"")</f>
        <v/>
      </c>
      <c r="I147" s="43">
        <f>IFERROR(I145/I148,"")</f>
        <v/>
      </c>
      <c r="J147" s="43">
        <f>IFERROR(J145/J148,"")</f>
        <v/>
      </c>
      <c r="K147" s="43">
        <f>IFERROR(K145/K148,"")</f>
        <v/>
      </c>
      <c r="L147" s="43">
        <f>IFERROR(L145/L148,"")</f>
        <v/>
      </c>
      <c r="M147" s="43">
        <f>IFERROR(M145/M148,"")</f>
        <v/>
      </c>
      <c r="N147" s="43">
        <f>IFERROR(N145/N148,"")</f>
        <v/>
      </c>
      <c r="O147" s="43">
        <f>IFERROR(O145/O148,"")</f>
        <v/>
      </c>
      <c r="P147" s="43">
        <f>IFERROR(P145/P148,"")</f>
        <v/>
      </c>
      <c r="Q147" s="43">
        <f>IFERROR(Q145/Q148,"")</f>
        <v/>
      </c>
      <c r="R147" s="43">
        <f>IFERROR(R145/R148,"")</f>
        <v/>
      </c>
      <c r="S147" s="43">
        <f>IFERROR(S145/S148,"")</f>
        <v/>
      </c>
      <c r="T147" s="43">
        <f>IFERROR(T145/T148,"")</f>
        <v/>
      </c>
      <c r="U147" s="43">
        <f>IFERROR(U145/U148,"")</f>
        <v/>
      </c>
      <c r="V147" s="43">
        <f>IFERROR(V145/V148,"")</f>
        <v/>
      </c>
      <c r="W147" s="43">
        <f>IFERROR(W145/W148,"")</f>
        <v/>
      </c>
      <c r="X147" s="43">
        <f>IFERROR(X145/X148,"")</f>
        <v/>
      </c>
      <c r="Y147" s="43">
        <f>IFERROR(Y145/Y148,"")</f>
        <v/>
      </c>
      <c r="Z147" s="43">
        <f>IFERROR(Z145/Z148,"")</f>
        <v/>
      </c>
      <c r="AA147" s="43" t="n"/>
      <c r="AB147" s="43" t="n"/>
      <c r="AC147" s="43" t="n"/>
      <c r="AD147" s="43" t="n"/>
      <c r="AE147" s="43" t="n"/>
      <c r="AF147" s="43" t="n"/>
      <c r="AG147" s="43" t="n"/>
      <c r="AH147" s="43" t="n"/>
      <c r="AI147" s="43" t="n"/>
      <c r="AJ147" s="43" t="n"/>
      <c r="AK147" s="43" t="n"/>
      <c r="AL147" s="43" t="n"/>
      <c r="AM147" s="43" t="n"/>
      <c r="AN147" s="43" t="n"/>
      <c r="AO147" s="43" t="n"/>
      <c r="AP147" s="43" t="n"/>
      <c r="AQ147" s="43" t="n"/>
      <c r="AR147" s="43" t="n"/>
      <c r="AS147" s="43" t="n"/>
      <c r="AT147" s="43" t="n"/>
      <c r="AU147" s="43" t="n"/>
      <c r="AV147" s="43" t="n"/>
      <c r="AW147" s="43" t="n"/>
      <c r="AX147" s="43" t="n"/>
      <c r="AY147" s="43" t="n"/>
      <c r="AZ147" s="43" t="n"/>
      <c r="BA147" s="43" t="n"/>
      <c r="BB147" s="43" t="n"/>
      <c r="BC147" s="43" t="n"/>
      <c r="BD147" s="43" t="n"/>
    </row>
    <row r="148" customFormat="1" s="13">
      <c r="A148" s="12" t="n"/>
      <c r="B148" s="13" t="inlineStr">
        <is>
          <t>Target</t>
        </is>
      </c>
      <c r="D148" s="14" t="inlineStr">
        <is>
          <t>#</t>
        </is>
      </c>
      <c r="E148" s="42" t="n"/>
      <c r="F148" s="42" t="n">
        <v>1085</v>
      </c>
      <c r="G148" s="42" t="n">
        <v>1056</v>
      </c>
      <c r="H148" s="42" t="n">
        <v>1056</v>
      </c>
      <c r="I148" s="42" t="n">
        <v>1033</v>
      </c>
      <c r="J148" s="42" t="n">
        <v>1935</v>
      </c>
      <c r="K148" s="42" t="n">
        <v>1162</v>
      </c>
      <c r="L148" s="42" t="n">
        <v>1248</v>
      </c>
      <c r="M148" s="42" t="n">
        <v>1452</v>
      </c>
      <c r="N148" s="42" t="n">
        <v>1133</v>
      </c>
      <c r="O148" s="42" t="n">
        <v>1056</v>
      </c>
      <c r="P148" s="42" t="n">
        <v>1083</v>
      </c>
      <c r="Q148" s="42" t="n">
        <v>975</v>
      </c>
      <c r="R148" s="42" t="n">
        <v>652</v>
      </c>
      <c r="S148" s="42" t="n">
        <v>1033</v>
      </c>
      <c r="T148" s="42" t="n">
        <v>1232</v>
      </c>
      <c r="U148" s="42" t="n">
        <v>1194</v>
      </c>
      <c r="V148" s="42" t="n">
        <v>1194</v>
      </c>
      <c r="W148" s="42" t="n">
        <v>1209</v>
      </c>
      <c r="X148" s="42" t="n">
        <v>1208</v>
      </c>
      <c r="Y148" s="42" t="n">
        <v>1561</v>
      </c>
      <c r="Z148" s="42" t="n">
        <v>1209</v>
      </c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</row>
    <row r="149">
      <c r="C149" s="11" t="inlineStr">
        <is>
          <t xml:space="preserve">Cam </t>
        </is>
      </c>
      <c r="D149" s="6" t="inlineStr">
        <is>
          <t>#</t>
        </is>
      </c>
      <c r="E149" s="42" t="n">
        <v>1053</v>
      </c>
      <c r="F149" s="42" t="n">
        <v>849</v>
      </c>
      <c r="G149" s="42" t="n">
        <v>960</v>
      </c>
      <c r="H149" s="42" t="n">
        <v>858</v>
      </c>
      <c r="I149" s="42" t="n">
        <v>745</v>
      </c>
      <c r="J149" s="42" t="n">
        <v>859</v>
      </c>
      <c r="K149" s="42" t="n">
        <v>894</v>
      </c>
      <c r="L149" s="42" t="n">
        <v>979</v>
      </c>
      <c r="M149" s="42" t="n">
        <v>1206</v>
      </c>
      <c r="N149" s="42" t="n">
        <v>1434</v>
      </c>
      <c r="O149" s="42" t="n">
        <v>1305</v>
      </c>
      <c r="P149" s="42" t="n">
        <v>1313</v>
      </c>
      <c r="Q149" s="42" t="n">
        <v>1278</v>
      </c>
      <c r="R149" s="42" t="n">
        <v>1210</v>
      </c>
      <c r="S149" s="42" t="n">
        <v>988</v>
      </c>
      <c r="T149" s="42" t="n">
        <v>1002</v>
      </c>
      <c r="U149" s="42" t="n">
        <v>839</v>
      </c>
      <c r="V149" s="42" t="n">
        <v>1032</v>
      </c>
      <c r="W149" s="42" t="n">
        <v>1085</v>
      </c>
      <c r="X149" s="42" t="n">
        <v>906</v>
      </c>
      <c r="Y149" s="42" t="n">
        <v>1017</v>
      </c>
      <c r="Z149" s="42" t="n">
        <v>1001</v>
      </c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</row>
    <row r="150">
      <c r="C150" s="11" t="inlineStr">
        <is>
          <t>Non Cam</t>
        </is>
      </c>
      <c r="D150" s="6" t="inlineStr">
        <is>
          <t>#</t>
        </is>
      </c>
      <c r="E150" s="42" t="n">
        <v>130</v>
      </c>
      <c r="F150" s="42" t="n">
        <v>92</v>
      </c>
      <c r="G150" s="42" t="n">
        <v>122</v>
      </c>
      <c r="H150" s="42" t="n">
        <v>66</v>
      </c>
      <c r="I150" s="42" t="n">
        <v>83</v>
      </c>
      <c r="J150" s="42" t="n">
        <v>87</v>
      </c>
      <c r="K150" s="42" t="n">
        <v>111</v>
      </c>
      <c r="L150" s="42" t="n">
        <v>104</v>
      </c>
      <c r="M150" s="42" t="n">
        <v>137</v>
      </c>
      <c r="N150" s="42" t="n">
        <v>171</v>
      </c>
      <c r="O150" s="42" t="n">
        <v>200</v>
      </c>
      <c r="P150" s="42" t="n">
        <v>168</v>
      </c>
      <c r="Q150" s="42" t="n">
        <v>101</v>
      </c>
      <c r="R150" s="42" t="n">
        <v>86</v>
      </c>
      <c r="S150" s="42" t="n">
        <v>44</v>
      </c>
      <c r="T150" s="42" t="n">
        <v>60</v>
      </c>
      <c r="U150" s="42" t="n">
        <v>60</v>
      </c>
      <c r="V150" s="42" t="n">
        <v>71</v>
      </c>
      <c r="W150" s="42" t="n">
        <v>75</v>
      </c>
      <c r="X150" s="42" t="n">
        <v>64</v>
      </c>
      <c r="Y150" s="42" t="n">
        <v>76</v>
      </c>
      <c r="Z150" s="42" t="n">
        <v>81</v>
      </c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</row>
    <row r="151">
      <c r="C151" s="6" t="n"/>
    </row>
    <row r="152" customFormat="1" s="1">
      <c r="A152" s="1" t="inlineStr">
        <is>
          <t xml:space="preserve">Promo </t>
        </is>
      </c>
      <c r="D152" s="24" t="inlineStr">
        <is>
          <t>$k</t>
        </is>
      </c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>
        <v>2.57714</v>
      </c>
      <c r="R152" s="44" t="n">
        <v>0.9794299999999999</v>
      </c>
      <c r="S152" s="44" t="n">
        <v>1.91657</v>
      </c>
      <c r="T152" s="44" t="n">
        <v>2.78429</v>
      </c>
      <c r="U152" s="44" t="n">
        <v>0</v>
      </c>
      <c r="V152" s="44" t="n">
        <v>0.3</v>
      </c>
      <c r="W152" s="44" t="n">
        <v>0.17143</v>
      </c>
      <c r="X152" s="44" t="n">
        <v>0.15</v>
      </c>
      <c r="Y152" s="44" t="n">
        <v>2.365</v>
      </c>
      <c r="Z152" s="44" t="n">
        <v>1.44429</v>
      </c>
      <c r="AA152" s="44" t="n"/>
      <c r="AB152" s="44" t="n"/>
      <c r="AC152" s="44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  <c r="AQ152" s="44" t="n"/>
      <c r="AR152" s="44" t="n"/>
      <c r="AS152" s="44" t="n"/>
      <c r="AT152" s="44" t="n"/>
      <c r="AU152" s="44" t="n"/>
      <c r="AV152" s="44" t="n"/>
      <c r="AW152" s="44" t="n"/>
      <c r="AX152" s="44" t="n"/>
      <c r="AY152" s="44" t="n"/>
      <c r="AZ152" s="44" t="n"/>
      <c r="BA152" s="44" t="n"/>
      <c r="BB152" s="44" t="n"/>
      <c r="BC152" s="44" t="n"/>
      <c r="BD152" s="44" t="n"/>
    </row>
    <row r="153" ht="15.75" customFormat="1" customHeight="1" s="1">
      <c r="B153" s="41" t="inlineStr">
        <is>
          <t>Finance Actuals (Monthly)</t>
        </is>
      </c>
      <c r="D153" s="32" t="inlineStr">
        <is>
          <t>$k</t>
        </is>
      </c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  <c r="AQ153" s="44" t="n"/>
      <c r="AR153" s="44" t="n"/>
      <c r="AS153" s="44" t="n"/>
      <c r="AT153" s="44" t="n"/>
      <c r="AU153" s="44" t="n"/>
      <c r="AV153" s="44" t="n"/>
      <c r="AW153" s="44" t="n"/>
      <c r="AX153" s="44" t="n"/>
      <c r="AY153" s="44" t="n"/>
      <c r="AZ153" s="44" t="n"/>
      <c r="BA153" s="44" t="n"/>
      <c r="BB153" s="44" t="n"/>
      <c r="BC153" s="44" t="n"/>
      <c r="BD153" s="44" t="n"/>
    </row>
    <row r="154" customFormat="1" s="40">
      <c r="B154" s="40" t="inlineStr">
        <is>
          <t>Budgeted (Monthly)</t>
        </is>
      </c>
      <c r="D154" s="10" t="inlineStr">
        <is>
          <t>$k</t>
        </is>
      </c>
      <c r="E154" s="44" t="n"/>
      <c r="F154" s="44" t="n"/>
      <c r="G154" s="44" t="n"/>
      <c r="H154" s="44" t="n">
        <v>0</v>
      </c>
      <c r="I154" s="44" t="n"/>
      <c r="J154" s="44" t="n"/>
      <c r="K154" s="44" t="n"/>
      <c r="L154" s="44" t="n">
        <v>0</v>
      </c>
      <c r="M154" s="44" t="n"/>
      <c r="N154" s="44" t="n"/>
      <c r="O154" s="44" t="n"/>
      <c r="P154" s="44" t="n"/>
      <c r="Q154" s="44" t="n">
        <v>5.535</v>
      </c>
      <c r="R154" s="44" t="n"/>
      <c r="S154" s="44" t="n"/>
      <c r="T154" s="44" t="n"/>
      <c r="U154" s="44" t="n">
        <v>6.835</v>
      </c>
      <c r="V154" s="44" t="n"/>
      <c r="W154" s="44" t="n"/>
      <c r="X154" s="44" t="n"/>
      <c r="Y154" s="44" t="n"/>
      <c r="Z154" s="44" t="n">
        <v>3.705</v>
      </c>
      <c r="AA154" s="44" t="n"/>
      <c r="AB154" s="44" t="n"/>
      <c r="AC154" s="44" t="n"/>
      <c r="AD154" s="44" t="n">
        <v>6.835</v>
      </c>
      <c r="AE154" s="44" t="n"/>
      <c r="AF154" s="44" t="n"/>
      <c r="AG154" s="44" t="n"/>
      <c r="AH154" s="44" t="n">
        <v>7.964285714285714</v>
      </c>
      <c r="AI154" s="44" t="n"/>
      <c r="AJ154" s="44" t="n"/>
      <c r="AK154" s="44" t="n"/>
      <c r="AL154" s="44" t="n"/>
      <c r="AM154" s="44" t="n">
        <v>0.7785714285714286</v>
      </c>
      <c r="AN154" s="44" t="n"/>
      <c r="AO154" s="44" t="n"/>
      <c r="AP154" s="44" t="n"/>
      <c r="AQ154" s="44" t="n">
        <v>3.707142857142857</v>
      </c>
      <c r="AR154" s="44" t="n"/>
      <c r="AS154" s="44" t="n"/>
      <c r="AT154" s="44" t="n"/>
      <c r="AU154" s="44" t="n">
        <v>7.885</v>
      </c>
      <c r="AV154" s="44" t="n"/>
      <c r="AW154" s="44" t="n"/>
      <c r="AX154" s="44" t="n"/>
      <c r="AY154" s="44" t="n"/>
      <c r="AZ154" s="44" t="n">
        <v>14.848</v>
      </c>
      <c r="BA154" s="44" t="n"/>
      <c r="BB154" s="44" t="n"/>
      <c r="BC154" s="44" t="n"/>
      <c r="BD154" s="44" t="n">
        <v>22.272</v>
      </c>
    </row>
    <row r="155">
      <c r="B155" t="inlineStr">
        <is>
          <t>As % of budget - this month</t>
        </is>
      </c>
      <c r="D155" s="6" t="inlineStr">
        <is>
          <t>%</t>
        </is>
      </c>
      <c r="E155" s="43">
        <f>IFERROR(E153/E154,"")</f>
        <v/>
      </c>
      <c r="F155" s="43">
        <f>IFERROR(F153/F154,"")</f>
        <v/>
      </c>
      <c r="G155" s="43">
        <f>IFERROR(G153/G154,"")</f>
        <v/>
      </c>
      <c r="H155" s="43">
        <f>IFERROR(H153/H154,"")</f>
        <v/>
      </c>
      <c r="I155" s="43">
        <f>IFERROR(I153/I154,"")</f>
        <v/>
      </c>
      <c r="J155" s="43">
        <f>IFERROR(J153/J154,"")</f>
        <v/>
      </c>
      <c r="K155" s="43">
        <f>IFERROR(K153/K154,"")</f>
        <v/>
      </c>
      <c r="L155" s="43">
        <f>IFERROR(L153/L154,"")</f>
        <v/>
      </c>
      <c r="M155" s="43">
        <f>IFERROR(M153/M154,"")</f>
        <v/>
      </c>
      <c r="N155" s="43">
        <f>IFERROR(N153/N154,"")</f>
        <v/>
      </c>
      <c r="O155" s="43">
        <f>IFERROR(O153/O154,"")</f>
        <v/>
      </c>
      <c r="P155" s="43">
        <f>IFERROR(P153/P154,"")</f>
        <v/>
      </c>
      <c r="Q155" s="43">
        <f>IFERROR(Q153/Q154,"")</f>
        <v/>
      </c>
      <c r="R155" s="43">
        <f>IFERROR(R153/R154,"")</f>
        <v/>
      </c>
      <c r="S155" s="43">
        <f>IFERROR(S153/S154,"")</f>
        <v/>
      </c>
      <c r="T155" s="43">
        <f>IFERROR(T153/T154,"")</f>
        <v/>
      </c>
      <c r="U155" s="43">
        <f>IFERROR(U153/U154,"")</f>
        <v/>
      </c>
      <c r="V155" s="43">
        <f>IFERROR(V153/V154,"")</f>
        <v/>
      </c>
      <c r="W155" s="43">
        <f>IFERROR(W153/W154,"")</f>
        <v/>
      </c>
      <c r="X155" s="43">
        <f>IFERROR(X153/X154,"")</f>
        <v/>
      </c>
      <c r="Y155" s="43">
        <f>IFERROR(Y153/Y154,"")</f>
        <v/>
      </c>
      <c r="Z155" s="43">
        <f>IFERROR(Z153/Z154,"")</f>
        <v/>
      </c>
      <c r="AA155" s="43">
        <f>IFERROR(AA153/AA154,"")</f>
        <v/>
      </c>
      <c r="AB155" s="43">
        <f>IFERROR(AB153/AB154,"")</f>
        <v/>
      </c>
      <c r="AC155" s="43">
        <f>IFERROR(AC153/AC154,"")</f>
        <v/>
      </c>
      <c r="AD155" s="43">
        <f>IFERROR(AD153/AD154,"")</f>
        <v/>
      </c>
      <c r="AE155" s="43">
        <f>IFERROR(AE153/AE154,"")</f>
        <v/>
      </c>
      <c r="AF155" s="43">
        <f>IFERROR(AF153/AF154,"")</f>
        <v/>
      </c>
      <c r="AG155" s="43">
        <f>IFERROR(AG153/AG154,"")</f>
        <v/>
      </c>
      <c r="AH155" s="43">
        <f>IFERROR(AH153/AH154,"")</f>
        <v/>
      </c>
      <c r="AI155" s="43">
        <f>IFERROR(AI153/AI154,"")</f>
        <v/>
      </c>
      <c r="AJ155" s="43">
        <f>IFERROR(AJ153/AJ154,"")</f>
        <v/>
      </c>
      <c r="AK155" s="43">
        <f>IFERROR(AK153/AK154,"")</f>
        <v/>
      </c>
      <c r="AL155" s="43">
        <f>IFERROR(AL153/AL154,"")</f>
        <v/>
      </c>
      <c r="AM155" s="43">
        <f>IFERROR(AM153/AM154,"")</f>
        <v/>
      </c>
      <c r="AN155" s="43">
        <f>IFERROR(AN153/AN154,"")</f>
        <v/>
      </c>
      <c r="AO155" s="43">
        <f>IFERROR(AO153/AO154,"")</f>
        <v/>
      </c>
      <c r="AP155" s="43">
        <f>IFERROR(AP153/AP154,"")</f>
        <v/>
      </c>
      <c r="AQ155" s="43">
        <f>IFERROR(AQ153/AQ154,"")</f>
        <v/>
      </c>
      <c r="AR155" s="43">
        <f>IFERROR(AR153/AR154,"")</f>
        <v/>
      </c>
      <c r="AS155" s="43">
        <f>IFERROR(AS153/AS154,"")</f>
        <v/>
      </c>
      <c r="AT155" s="43">
        <f>IFERROR(AT153/AT154,"")</f>
        <v/>
      </c>
      <c r="AU155" s="43">
        <f>IFERROR(AU153/AU154,"")</f>
        <v/>
      </c>
      <c r="AV155" s="43">
        <f>IFERROR(AV153/AV154,"")</f>
        <v/>
      </c>
      <c r="AW155" s="43">
        <f>IFERROR(AW153/AW154,"")</f>
        <v/>
      </c>
      <c r="AX155" s="43">
        <f>IFERROR(AX153/AX154,"")</f>
        <v/>
      </c>
      <c r="AY155" s="43">
        <f>IFERROR(AY153/AY154,"")</f>
        <v/>
      </c>
      <c r="AZ155" s="43">
        <f>IFERROR(AZ153/AZ154,"")</f>
        <v/>
      </c>
      <c r="BA155" s="43">
        <f>IFERROR(BA153/BA154,"")</f>
        <v/>
      </c>
      <c r="BB155" s="43">
        <f>IFERROR(BB153/BB154,"")</f>
        <v/>
      </c>
      <c r="BC155" s="43">
        <f>IFERROR(BC153/BC154,"")</f>
        <v/>
      </c>
      <c r="BD155" s="43">
        <f>IFERROR(BD153/BD154,"")</f>
        <v/>
      </c>
    </row>
    <row r="156">
      <c r="B156" t="inlineStr">
        <is>
          <t>As % of budget - YTD</t>
        </is>
      </c>
      <c r="D156" s="6" t="inlineStr">
        <is>
          <t>%</t>
        </is>
      </c>
      <c r="E156" s="43">
        <f>IFERROR(SUM($E$153:E153)/SUM($E$154:E154),"")</f>
        <v/>
      </c>
      <c r="F156" s="43">
        <f>IFERROR(SUM($E$153:F153)/SUM($E$154:F154),"")</f>
        <v/>
      </c>
      <c r="G156" s="43">
        <f>IFERROR(SUM($E$153:G153)/SUM($E$154:G154),"")</f>
        <v/>
      </c>
      <c r="H156" s="43">
        <f>IFERROR(SUM($E$153:H153)/SUM($E$154:H154),"")</f>
        <v/>
      </c>
      <c r="I156" s="43">
        <f>IFERROR(SUM($E$153:I153)/SUM($E$154:I154),"")</f>
        <v/>
      </c>
      <c r="J156" s="43">
        <f>IFERROR(SUM($E$153:J153)/SUM($E$154:J154),"")</f>
        <v/>
      </c>
      <c r="K156" s="43">
        <f>IFERROR(SUM($E$153:K153)/SUM($E$154:K154),"")</f>
        <v/>
      </c>
      <c r="L156" s="43">
        <f>IFERROR(SUM($E$153:L153)/SUM($E$154:L154),"")</f>
        <v/>
      </c>
      <c r="M156" s="43">
        <f>IFERROR(SUM($E$153:M153)/SUM($E$154:M154),"")</f>
        <v/>
      </c>
      <c r="N156" s="43">
        <f>IFERROR(SUM($E$153:N153)/SUM($E$154:N154),"")</f>
        <v/>
      </c>
      <c r="O156" s="43">
        <f>IFERROR(SUM($E$153:O153)/SUM($E$154:O154),"")</f>
        <v/>
      </c>
      <c r="P156" s="43">
        <f>IFERROR(SUM($E$153:P153)/SUM($E$154:P154),"")</f>
        <v/>
      </c>
      <c r="Q156" s="43">
        <f>IFERROR(SUM($E$153:Q153)/SUM($E$154:Q154),"")</f>
        <v/>
      </c>
      <c r="R156" s="43">
        <f>IFERROR(SUM($E$153:R153)/SUM($E$154:R154),"")</f>
        <v/>
      </c>
      <c r="S156" s="43">
        <f>IFERROR(SUM($E$153:S153)/SUM($E$154:S154),"")</f>
        <v/>
      </c>
      <c r="T156" s="43">
        <f>IFERROR(SUM($E$153:T153)/SUM($E$154:T154),"")</f>
        <v/>
      </c>
      <c r="U156" s="43">
        <f>IFERROR(SUM($E$153:U153)/SUM($E$154:U154),"")</f>
        <v/>
      </c>
      <c r="V156" s="43">
        <f>IFERROR(SUM($E$153:V153)/SUM($E$154:V154),"")</f>
        <v/>
      </c>
      <c r="W156" s="43">
        <f>IFERROR(SUM($E$153:W153)/SUM($E$154:W154),"")</f>
        <v/>
      </c>
      <c r="X156" s="43">
        <f>IFERROR(SUM($E$153:X153)/SUM($E$154:X154),"")</f>
        <v/>
      </c>
      <c r="Y156" s="43">
        <f>IFERROR(SUM($E$153:Y153)/SUM($E$154:Y154),"")</f>
        <v/>
      </c>
      <c r="Z156" s="43">
        <f>IFERROR(SUM($E$153:Z153)/SUM($E$154:Z154),"")</f>
        <v/>
      </c>
      <c r="AA156" s="43">
        <f>IFERROR(SUM($E$153:AA153)/SUM($E$154:AA154),"")</f>
        <v/>
      </c>
      <c r="AB156" s="43">
        <f>IFERROR(SUM($E$153:AB153)/SUM($E$154:AB154),"")</f>
        <v/>
      </c>
      <c r="AC156" s="43">
        <f>IFERROR(SUM($E$153:AC153)/SUM($E$154:AC154),"")</f>
        <v/>
      </c>
      <c r="AD156" s="43">
        <f>IFERROR(SUM($E$153:AD153)/SUM($E$154:AD154),"")</f>
        <v/>
      </c>
      <c r="AE156" s="43">
        <f>IFERROR(SUM($E$153:AE153)/SUM($E$154:AE154),"")</f>
        <v/>
      </c>
      <c r="AF156" s="43">
        <f>IFERROR(SUM($E$153:AF153)/SUM($E$154:AF154),"")</f>
        <v/>
      </c>
      <c r="AG156" s="43">
        <f>IFERROR(SUM($E$153:AG153)/SUM($E$154:AG154),"")</f>
        <v/>
      </c>
      <c r="AH156" s="43">
        <f>IFERROR(SUM($E$153:AH153)/SUM($E$154:AH154),"")</f>
        <v/>
      </c>
      <c r="AI156" s="43">
        <f>IFERROR(SUM($E$153:AI153)/SUM($E$154:AI154),"")</f>
        <v/>
      </c>
      <c r="AJ156" s="43">
        <f>IFERROR(SUM($E$153:AJ153)/SUM($E$154:AJ154),"")</f>
        <v/>
      </c>
      <c r="AK156" s="43">
        <f>IFERROR(SUM($E$153:AK153)/SUM($E$154:AK154),"")</f>
        <v/>
      </c>
      <c r="AL156" s="43">
        <f>IFERROR(SUM($E$153:AL153)/SUM($E$154:AL154),"")</f>
        <v/>
      </c>
      <c r="AM156" s="43">
        <f>IFERROR(SUM($E$153:AM153)/SUM($E$154:AM154),"")</f>
        <v/>
      </c>
      <c r="AN156" s="43">
        <f>IFERROR(SUM($E$153:AN153)/SUM($E$154:AN154),"")</f>
        <v/>
      </c>
      <c r="AO156" s="43">
        <f>IFERROR(SUM($E$153:AO153)/SUM($E$154:AO154),"")</f>
        <v/>
      </c>
      <c r="AP156" s="43">
        <f>IFERROR(SUM($E$153:AP153)/SUM($E$154:AP154),"")</f>
        <v/>
      </c>
      <c r="AQ156" s="43">
        <f>IFERROR(SUM($E$153:AQ153)/SUM($E$154:AQ154),"")</f>
        <v/>
      </c>
      <c r="AR156" s="43">
        <f>IFERROR(SUM($E$153:AR153)/SUM($E$154:AR154),"")</f>
        <v/>
      </c>
      <c r="AS156" s="43">
        <f>IFERROR(SUM($E$153:AS153)/SUM($E$154:AS154),"")</f>
        <v/>
      </c>
      <c r="AT156" s="43">
        <f>IFERROR(SUM($E$153:AT153)/SUM($E$154:AT154),"")</f>
        <v/>
      </c>
      <c r="AU156" s="43">
        <f>IFERROR(SUM($E$153:AU153)/SUM($E$154:AU154),"")</f>
        <v/>
      </c>
      <c r="AV156" s="43">
        <f>IFERROR(SUM($E$153:AV153)/SUM($E$154:AV154),"")</f>
        <v/>
      </c>
      <c r="AW156" s="43">
        <f>IFERROR(SUM($E$153:AW153)/SUM($E$154:AW154),"")</f>
        <v/>
      </c>
      <c r="AX156" s="43">
        <f>IFERROR(SUM($E$153:AX153)/SUM($E$154:AX154),"")</f>
        <v/>
      </c>
      <c r="AY156" s="43">
        <f>IFERROR(SUM($E$153:AY153)/SUM($E$154:AY154),"")</f>
        <v/>
      </c>
      <c r="AZ156" s="43">
        <f>IFERROR(SUM($E$153:AZ153)/SUM($E$154:AZ154),"")</f>
        <v/>
      </c>
      <c r="BA156" s="43">
        <f>IFERROR(SUM($E$153:BA153)/SUM($E$154:BA154),"")</f>
        <v/>
      </c>
      <c r="BB156" s="43">
        <f>IFERROR(SUM($E$153:BB153)/SUM($E$154:BB154),"")</f>
        <v/>
      </c>
      <c r="BC156" s="43">
        <f>IFERROR(SUM($E$153:BC153)/SUM($E$154:BC154),"")</f>
        <v/>
      </c>
      <c r="BD156" s="43">
        <f>IFERROR(SUM($E$153:BD153)/SUM($E$154:BD154),"")</f>
        <v/>
      </c>
    </row>
    <row r="157"/>
    <row r="158" ht="15.75" customFormat="1" customHeight="1" s="1">
      <c r="A158" s="1" t="inlineStr">
        <is>
          <t>Total marketing</t>
        </is>
      </c>
      <c r="D158" s="24" t="inlineStr">
        <is>
          <t>$k</t>
        </is>
      </c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  <c r="AQ158" s="44" t="n"/>
      <c r="AR158" s="44" t="n"/>
      <c r="AS158" s="44" t="n"/>
      <c r="AT158" s="44" t="n"/>
      <c r="AU158" s="44" t="n"/>
      <c r="AV158" s="44" t="n"/>
      <c r="AW158" s="44" t="n"/>
      <c r="AX158" s="44" t="n"/>
      <c r="AY158" s="44" t="n"/>
      <c r="AZ158" s="44" t="n"/>
      <c r="BA158" s="44" t="n"/>
      <c r="BB158" s="44" t="n"/>
      <c r="BC158" s="44" t="n"/>
      <c r="BD158" s="44" t="n"/>
    </row>
    <row r="159" ht="15.75" customFormat="1" customHeight="1" s="1">
      <c r="B159" s="41" t="inlineStr">
        <is>
          <t>Finance Actuals (Monthly)</t>
        </is>
      </c>
      <c r="D159" s="32" t="inlineStr">
        <is>
          <t>$k</t>
        </is>
      </c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  <c r="AE159" s="44" t="n"/>
      <c r="AF159" s="44" t="n"/>
      <c r="AG159" s="44" t="n"/>
      <c r="AH159" s="44" t="n"/>
      <c r="AI159" s="44" t="n"/>
      <c r="AJ159" s="44" t="n"/>
      <c r="AK159" s="44" t="n"/>
      <c r="AL159" s="44" t="n"/>
      <c r="AM159" s="44" t="n"/>
      <c r="AN159" s="44" t="n"/>
      <c r="AO159" s="44" t="n"/>
      <c r="AP159" s="44" t="n"/>
      <c r="AQ159" s="44" t="n"/>
      <c r="AR159" s="44" t="n"/>
      <c r="AS159" s="44" t="n"/>
      <c r="AT159" s="44" t="n"/>
      <c r="AU159" s="44" t="n"/>
      <c r="AV159" s="44" t="n"/>
      <c r="AW159" s="44" t="n"/>
      <c r="AX159" s="44" t="n"/>
      <c r="AY159" s="44" t="n"/>
      <c r="AZ159" s="44" t="n"/>
      <c r="BA159" s="44" t="n"/>
      <c r="BB159" s="44" t="n"/>
      <c r="BC159" s="44" t="n"/>
      <c r="BD159" s="44" t="n"/>
    </row>
    <row r="160" ht="15.75" customHeight="1">
      <c r="B160" s="40" t="inlineStr">
        <is>
          <t>Budgeted (Monthly)</t>
        </is>
      </c>
      <c r="C160" s="40" t="n"/>
      <c r="D160" s="10" t="inlineStr">
        <is>
          <t>$k</t>
        </is>
      </c>
      <c r="E160" s="44" t="n"/>
      <c r="F160" s="44" t="n"/>
      <c r="G160" s="44" t="n"/>
      <c r="H160" s="44" t="n">
        <v>56.66666666666667</v>
      </c>
      <c r="I160" s="44" t="n"/>
      <c r="J160" s="44" t="n"/>
      <c r="K160" s="44" t="n"/>
      <c r="L160" s="44" t="n">
        <v>56.66666666666667</v>
      </c>
      <c r="M160" s="44" t="n"/>
      <c r="N160" s="44" t="n"/>
      <c r="O160" s="44" t="n"/>
      <c r="P160" s="44" t="n"/>
      <c r="Q160" s="44" t="n">
        <v>56.66666666666667</v>
      </c>
      <c r="R160" s="44" t="n"/>
      <c r="S160" s="44" t="n"/>
      <c r="T160" s="44" t="n"/>
      <c r="U160" s="44" t="n">
        <v>56.66666666666667</v>
      </c>
      <c r="V160" s="44" t="n"/>
      <c r="W160" s="44" t="n"/>
      <c r="X160" s="44" t="n"/>
      <c r="Y160" s="44" t="n"/>
      <c r="Z160" s="44" t="n">
        <v>56.66666666666667</v>
      </c>
      <c r="AA160" s="44" t="n"/>
      <c r="AB160" s="44" t="n"/>
      <c r="AC160" s="44" t="n"/>
      <c r="AD160" s="44" t="n">
        <v>56.66666666666667</v>
      </c>
      <c r="AE160" s="44" t="n"/>
      <c r="AF160" s="44" t="n"/>
      <c r="AG160" s="44" t="n"/>
      <c r="AH160" s="44" t="n">
        <v>56.66666666666667</v>
      </c>
      <c r="AI160" s="44" t="n"/>
      <c r="AJ160" s="44" t="n"/>
      <c r="AK160" s="44" t="n"/>
      <c r="AL160" s="44" t="n"/>
      <c r="AM160" s="44" t="n">
        <v>56.66666666666667</v>
      </c>
      <c r="AN160" s="44" t="n"/>
      <c r="AO160" s="44" t="n"/>
      <c r="AP160" s="44" t="n"/>
      <c r="AQ160" s="44" t="n">
        <v>56.66666666666667</v>
      </c>
      <c r="AR160" s="44" t="n"/>
      <c r="AS160" s="44" t="n"/>
      <c r="AT160" s="44" t="n"/>
      <c r="AU160" s="44" t="n">
        <v>73.33333333333334</v>
      </c>
      <c r="AV160" s="44" t="n"/>
      <c r="AW160" s="44" t="n"/>
      <c r="AX160" s="44" t="n"/>
      <c r="AY160" s="44" t="n"/>
      <c r="AZ160" s="44" t="n">
        <v>73.33333333333334</v>
      </c>
      <c r="BA160" s="44" t="n"/>
      <c r="BB160" s="44" t="n"/>
      <c r="BC160" s="44" t="n"/>
      <c r="BD160" s="44" t="n">
        <v>73.33333333333334</v>
      </c>
    </row>
    <row r="161">
      <c r="B161" t="inlineStr">
        <is>
          <t>As % of budget - this month</t>
        </is>
      </c>
      <c r="D161" s="6" t="inlineStr">
        <is>
          <t>%</t>
        </is>
      </c>
      <c r="E161" s="43">
        <f>IFERROR(E159/E160,"")</f>
        <v/>
      </c>
      <c r="F161" s="43">
        <f>IFERROR(F159/F160,"")</f>
        <v/>
      </c>
      <c r="G161" s="43">
        <f>IFERROR(G159/G160,"")</f>
        <v/>
      </c>
      <c r="H161" s="43">
        <f>IFERROR(H159/H160,"")</f>
        <v/>
      </c>
      <c r="I161" s="43">
        <f>IFERROR(I159/I160,"")</f>
        <v/>
      </c>
      <c r="J161" s="43">
        <f>IFERROR(J159/J160,"")</f>
        <v/>
      </c>
      <c r="K161" s="43">
        <f>IFERROR(K159/K160,"")</f>
        <v/>
      </c>
      <c r="L161" s="43">
        <f>IFERROR(L159/L160,"")</f>
        <v/>
      </c>
      <c r="M161" s="43">
        <f>IFERROR(M159/M160,"")</f>
        <v/>
      </c>
      <c r="N161" s="43">
        <f>IFERROR(N159/N160,"")</f>
        <v/>
      </c>
      <c r="O161" s="43">
        <f>IFERROR(O159/O160,"")</f>
        <v/>
      </c>
      <c r="P161" s="43">
        <f>IFERROR(P159/P160,"")</f>
        <v/>
      </c>
      <c r="Q161" s="43">
        <f>IFERROR(Q159/Q160,"")</f>
        <v/>
      </c>
      <c r="R161" s="43">
        <f>IFERROR(R159/R160,"")</f>
        <v/>
      </c>
      <c r="S161" s="43">
        <f>IFERROR(S159/S160,"")</f>
        <v/>
      </c>
      <c r="T161" s="43">
        <f>IFERROR(T159/T160,"")</f>
        <v/>
      </c>
      <c r="U161" s="43">
        <f>IFERROR(U159/U160,"")</f>
        <v/>
      </c>
      <c r="V161" s="43">
        <f>IFERROR(V159/V160,"")</f>
        <v/>
      </c>
      <c r="W161" s="43">
        <f>IFERROR(W159/W160,"")</f>
        <v/>
      </c>
      <c r="X161" s="43">
        <f>IFERROR(X159/X160,"")</f>
        <v/>
      </c>
      <c r="Y161" s="43">
        <f>IFERROR(Y159/Y160,"")</f>
        <v/>
      </c>
      <c r="Z161" s="43">
        <f>IFERROR(Z159/Z160,"")</f>
        <v/>
      </c>
      <c r="AA161" s="43">
        <f>IFERROR(AA159/AA160,"")</f>
        <v/>
      </c>
      <c r="AB161" s="43">
        <f>IFERROR(AB159/AB160,"")</f>
        <v/>
      </c>
      <c r="AC161" s="43">
        <f>IFERROR(AC159/AC160,"")</f>
        <v/>
      </c>
      <c r="AD161" s="43">
        <f>IFERROR(AD159/AD160,"")</f>
        <v/>
      </c>
      <c r="AE161" s="43">
        <f>IFERROR(AE159/AE160,"")</f>
        <v/>
      </c>
      <c r="AF161" s="43">
        <f>IFERROR(AF159/AF160,"")</f>
        <v/>
      </c>
      <c r="AG161" s="43">
        <f>IFERROR(AG159/AG160,"")</f>
        <v/>
      </c>
      <c r="AH161" s="43">
        <f>IFERROR(AH159/AH160,"")</f>
        <v/>
      </c>
      <c r="AI161" s="43">
        <f>IFERROR(AI159/AI160,"")</f>
        <v/>
      </c>
      <c r="AJ161" s="43">
        <f>IFERROR(AJ159/AJ160,"")</f>
        <v/>
      </c>
      <c r="AK161" s="43">
        <f>IFERROR(AK159/AK160,"")</f>
        <v/>
      </c>
      <c r="AL161" s="43">
        <f>IFERROR(AL159/AL160,"")</f>
        <v/>
      </c>
      <c r="AM161" s="43">
        <f>IFERROR(AM159/AM160,"")</f>
        <v/>
      </c>
      <c r="AN161" s="43">
        <f>IFERROR(AN159/AN160,"")</f>
        <v/>
      </c>
      <c r="AO161" s="43">
        <f>IFERROR(AO159/AO160,"")</f>
        <v/>
      </c>
      <c r="AP161" s="43">
        <f>IFERROR(AP159/AP160,"")</f>
        <v/>
      </c>
      <c r="AQ161" s="43">
        <f>IFERROR(AQ159/AQ160,"")</f>
        <v/>
      </c>
      <c r="AR161" s="43">
        <f>IFERROR(AR159/AR160,"")</f>
        <v/>
      </c>
      <c r="AS161" s="43">
        <f>IFERROR(AS159/AS160,"")</f>
        <v/>
      </c>
      <c r="AT161" s="43">
        <f>IFERROR(AT159/AT160,"")</f>
        <v/>
      </c>
      <c r="AU161" s="43">
        <f>IFERROR(AU159/AU160,"")</f>
        <v/>
      </c>
      <c r="AV161" s="43">
        <f>IFERROR(AV159/AV160,"")</f>
        <v/>
      </c>
      <c r="AW161" s="43">
        <f>IFERROR(AW159/AW160,"")</f>
        <v/>
      </c>
      <c r="AX161" s="43">
        <f>IFERROR(AX159/AX160,"")</f>
        <v/>
      </c>
      <c r="AY161" s="43">
        <f>IFERROR(AY159/AY160,"")</f>
        <v/>
      </c>
      <c r="AZ161" s="43">
        <f>IFERROR(AZ159/AZ160,"")</f>
        <v/>
      </c>
      <c r="BA161" s="43">
        <f>IFERROR(BA159/BA160,"")</f>
        <v/>
      </c>
      <c r="BB161" s="43">
        <f>IFERROR(BB159/BB160,"")</f>
        <v/>
      </c>
      <c r="BC161" s="43">
        <f>IFERROR(BC159/BC160,"")</f>
        <v/>
      </c>
      <c r="BD161" s="43">
        <f>IFERROR(BD159/BD160,"")</f>
        <v/>
      </c>
    </row>
    <row r="162">
      <c r="B162" t="inlineStr">
        <is>
          <t>As % of budget - YTD</t>
        </is>
      </c>
      <c r="D162" s="6" t="inlineStr">
        <is>
          <t>%</t>
        </is>
      </c>
      <c r="E162" s="43">
        <f>IFERROR(SUM($E$159:E159)/SUM($E$160:E160),"")</f>
        <v/>
      </c>
      <c r="F162" s="43">
        <f>IFERROR(SUM($E$159:F159)/SUM($E$160:F160),"")</f>
        <v/>
      </c>
      <c r="G162" s="43">
        <f>IFERROR(SUM($E$159:G159)/SUM($E$160:G160),"")</f>
        <v/>
      </c>
      <c r="H162" s="43">
        <f>IFERROR(SUM($E$159:H159)/SUM($E$160:H160),"")</f>
        <v/>
      </c>
      <c r="I162" s="43">
        <f>IFERROR(SUM($E$159:I159)/SUM($E$160:I160),"")</f>
        <v/>
      </c>
      <c r="J162" s="43">
        <f>IFERROR(SUM($E$159:J159)/SUM($E$160:J160),"")</f>
        <v/>
      </c>
      <c r="K162" s="43">
        <f>IFERROR(SUM($E$159:K159)/SUM($E$160:K160),"")</f>
        <v/>
      </c>
      <c r="L162" s="43">
        <f>IFERROR(SUM($E$159:L159)/SUM($E$160:L160),"")</f>
        <v/>
      </c>
      <c r="M162" s="43">
        <f>IFERROR(SUM($E$159:M159)/SUM($E$160:M160),"")</f>
        <v/>
      </c>
      <c r="N162" s="43">
        <f>IFERROR(SUM($E$159:N159)/SUM($E$160:N160),"")</f>
        <v/>
      </c>
      <c r="O162" s="43">
        <f>IFERROR(SUM($E$159:O159)/SUM($E$160:O160),"")</f>
        <v/>
      </c>
      <c r="P162" s="43">
        <f>IFERROR(SUM($E$159:P159)/SUM($E$160:P160),"")</f>
        <v/>
      </c>
      <c r="Q162" s="43">
        <f>IFERROR(SUM($E$159:Q159)/SUM($E$160:Q160),"")</f>
        <v/>
      </c>
      <c r="R162" s="43">
        <f>IFERROR(SUM($E$159:R159)/SUM($E$160:R160),"")</f>
        <v/>
      </c>
      <c r="S162" s="43">
        <f>IFERROR(SUM($E$159:S159)/SUM($E$160:S160),"")</f>
        <v/>
      </c>
      <c r="T162" s="43">
        <f>IFERROR(SUM($E$159:T159)/SUM($E$160:T160),"")</f>
        <v/>
      </c>
      <c r="U162" s="43">
        <f>IFERROR(SUM($E$159:U159)/SUM($E$160:U160),"")</f>
        <v/>
      </c>
      <c r="V162" s="43">
        <f>IFERROR(SUM($E$159:V159)/SUM($E$160:V160),"")</f>
        <v/>
      </c>
      <c r="W162" s="43">
        <f>IFERROR(SUM($E$159:W159)/SUM($E$160:W160),"")</f>
        <v/>
      </c>
      <c r="X162" s="43">
        <f>IFERROR(SUM($E$159:X159)/SUM($E$160:X160),"")</f>
        <v/>
      </c>
      <c r="Y162" s="43">
        <f>IFERROR(SUM($E$159:Y159)/SUM($E$160:Y160),"")</f>
        <v/>
      </c>
      <c r="Z162" s="43">
        <f>IFERROR(SUM($E$159:Z159)/SUM($E$160:Z160),"")</f>
        <v/>
      </c>
      <c r="AA162" s="43">
        <f>IFERROR(SUM($E$159:AA159)/SUM($E$160:AA160),"")</f>
        <v/>
      </c>
      <c r="AB162" s="43">
        <f>IFERROR(SUM($E$159:AB159)/SUM($E$160:AB160),"")</f>
        <v/>
      </c>
      <c r="AC162" s="43">
        <f>IFERROR(SUM($E$159:AC159)/SUM($E$160:AC160),"")</f>
        <v/>
      </c>
      <c r="AD162" s="43">
        <f>IFERROR(SUM($E$159:AD159)/SUM($E$160:AD160),"")</f>
        <v/>
      </c>
      <c r="AE162" s="43">
        <f>IFERROR(SUM($E$159:AE159)/SUM($E$160:AE160),"")</f>
        <v/>
      </c>
      <c r="AF162" s="43">
        <f>IFERROR(SUM($E$159:AF159)/SUM($E$160:AF160),"")</f>
        <v/>
      </c>
      <c r="AG162" s="43">
        <f>IFERROR(SUM($E$159:AG159)/SUM($E$160:AG160),"")</f>
        <v/>
      </c>
      <c r="AH162" s="43">
        <f>IFERROR(SUM($E$159:AH159)/SUM($E$160:AH160),"")</f>
        <v/>
      </c>
      <c r="AI162" s="43">
        <f>IFERROR(SUM($E$159:AI159)/SUM($E$160:AI160),"")</f>
        <v/>
      </c>
      <c r="AJ162" s="43">
        <f>IFERROR(SUM($E$159:AJ159)/SUM($E$160:AJ160),"")</f>
        <v/>
      </c>
      <c r="AK162" s="43">
        <f>IFERROR(SUM($E$159:AK159)/SUM($E$160:AK160),"")</f>
        <v/>
      </c>
      <c r="AL162" s="43">
        <f>IFERROR(SUM($E$159:AL159)/SUM($E$160:AL160),"")</f>
        <v/>
      </c>
      <c r="AM162" s="43">
        <f>IFERROR(SUM($E$159:AM159)/SUM($E$160:AM160),"")</f>
        <v/>
      </c>
      <c r="AN162" s="43">
        <f>IFERROR(SUM($E$159:AN159)/SUM($E$160:AN160),"")</f>
        <v/>
      </c>
      <c r="AO162" s="43">
        <f>IFERROR(SUM($E$159:AO159)/SUM($E$160:AO160),"")</f>
        <v/>
      </c>
      <c r="AP162" s="43">
        <f>IFERROR(SUM($E$159:AP159)/SUM($E$160:AP160),"")</f>
        <v/>
      </c>
      <c r="AQ162" s="43">
        <f>IFERROR(SUM($E$159:AQ159)/SUM($E$160:AQ160),"")</f>
        <v/>
      </c>
      <c r="AR162" s="43">
        <f>IFERROR(SUM($E$159:AR159)/SUM($E$160:AR160),"")</f>
        <v/>
      </c>
      <c r="AS162" s="43">
        <f>IFERROR(SUM($E$159:AS159)/SUM($E$160:AS160),"")</f>
        <v/>
      </c>
      <c r="AT162" s="43">
        <f>IFERROR(SUM($E$159:AT159)/SUM($E$160:AT160),"")</f>
        <v/>
      </c>
      <c r="AU162" s="43">
        <f>IFERROR(SUM($E$159:AU159)/SUM($E$160:AU160),"")</f>
        <v/>
      </c>
      <c r="AV162" s="43">
        <f>IFERROR(SUM($E$159:AV159)/SUM($E$160:AV160),"")</f>
        <v/>
      </c>
      <c r="AW162" s="43">
        <f>IFERROR(SUM($E$159:AW159)/SUM($E$160:AW160),"")</f>
        <v/>
      </c>
      <c r="AX162" s="43">
        <f>IFERROR(SUM($E$159:AX159)/SUM($E$160:AX160),"")</f>
        <v/>
      </c>
      <c r="AY162" s="43">
        <f>IFERROR(SUM($E$159:AY159)/SUM($E$160:AY160),"")</f>
        <v/>
      </c>
      <c r="AZ162" s="43">
        <f>IFERROR(SUM($E$159:AZ159)/SUM($E$160:AZ160),"")</f>
        <v/>
      </c>
      <c r="BA162" s="43">
        <f>IFERROR(SUM($E$159:BA159)/SUM($E$160:BA160),"")</f>
        <v/>
      </c>
      <c r="BB162" s="43">
        <f>IFERROR(SUM($E$159:BB159)/SUM($E$160:BB160),"")</f>
        <v/>
      </c>
      <c r="BC162" s="43">
        <f>IFERROR(SUM($E$159:BC159)/SUM($E$160:BC160),"")</f>
        <v/>
      </c>
      <c r="BD162" s="43">
        <f>IFERROR(SUM($E$159:BD159)/SUM($E$160:BD160),"")</f>
        <v/>
      </c>
    </row>
    <row r="163"/>
    <row r="164"/>
    <row r="165" customFormat="1" s="38">
      <c r="A165" s="37" t="inlineStr">
        <is>
          <t>TikTok Shop</t>
        </is>
      </c>
      <c r="D165" s="39" t="n"/>
    </row>
    <row r="166">
      <c r="A166" s="1" t="inlineStr">
        <is>
          <t>Sell-in value</t>
        </is>
      </c>
      <c r="D166" s="24" t="inlineStr">
        <is>
          <t>$k</t>
        </is>
      </c>
      <c r="E166" s="42" t="n">
        <v>328.4168911862</v>
      </c>
      <c r="F166" s="42" t="n">
        <v>209.989</v>
      </c>
      <c r="G166" s="42" t="n">
        <v>189.466</v>
      </c>
      <c r="H166" s="42" t="n">
        <v>190.482</v>
      </c>
      <c r="I166" s="42" t="n">
        <v>269.9673460942</v>
      </c>
      <c r="J166" s="42" t="n">
        <v>114.952</v>
      </c>
      <c r="K166" s="42" t="n">
        <v>200.984</v>
      </c>
      <c r="L166" s="42" t="n">
        <v>312.18</v>
      </c>
      <c r="M166" s="42" t="n">
        <v>416.6206320925</v>
      </c>
      <c r="N166" s="42" t="n">
        <v>185.849</v>
      </c>
      <c r="O166" s="42" t="n">
        <v>161.798</v>
      </c>
      <c r="P166" s="42" t="n">
        <v>264.673</v>
      </c>
      <c r="Q166" s="42" t="n">
        <v>301.588</v>
      </c>
      <c r="R166" s="42" t="n">
        <v>243.9297069575</v>
      </c>
      <c r="S166" s="42" t="n">
        <v>118.327</v>
      </c>
      <c r="T166" s="42" t="n">
        <v>207.45</v>
      </c>
      <c r="U166" s="42" t="n">
        <v>222.691</v>
      </c>
      <c r="V166" s="42" t="n">
        <v>273.13858402</v>
      </c>
      <c r="W166" s="42" t="n">
        <v>97.93000000000001</v>
      </c>
      <c r="X166" s="42" t="n">
        <v>96.291</v>
      </c>
      <c r="Y166" s="42" t="n">
        <v>199.012</v>
      </c>
      <c r="Z166" s="42" t="n">
        <v>262.069097147</v>
      </c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</row>
    <row r="167" customFormat="1" s="4">
      <c r="A167" s="3" t="n"/>
      <c r="B167" s="4" t="inlineStr">
        <is>
          <t>% of Total - YTD</t>
        </is>
      </c>
      <c r="D167" s="33" t="inlineStr">
        <is>
          <t>%</t>
        </is>
      </c>
      <c r="E167" s="43">
        <f>IFERROR(SUM($E$166:E166)/SUM($E$3:E3),"")</f>
        <v/>
      </c>
      <c r="F167" s="43">
        <f>IFERROR(SUM($E$166:F166)/SUM($E$3:F3),"")</f>
        <v/>
      </c>
      <c r="G167" s="43">
        <f>IFERROR(SUM($E$166:G166)/SUM($E$3:G3),"")</f>
        <v/>
      </c>
      <c r="H167" s="43">
        <f>IFERROR(SUM($E$166:H166)/SUM($E$3:H3),"")</f>
        <v/>
      </c>
      <c r="I167" s="43">
        <f>IFERROR(SUM($E$166:I166)/SUM($E$3:I3),"")</f>
        <v/>
      </c>
      <c r="J167" s="43">
        <f>IFERROR(SUM($E$166:J166)/SUM($E$3:J3),"")</f>
        <v/>
      </c>
      <c r="K167" s="43">
        <f>IFERROR(SUM($E$166:K166)/SUM($E$3:K3),"")</f>
        <v/>
      </c>
      <c r="L167" s="43">
        <f>IFERROR(SUM($E$166:L166)/SUM($E$3:L3),"")</f>
        <v/>
      </c>
      <c r="M167" s="43">
        <f>IFERROR(SUM($E$166:M166)/SUM($E$3:M3),"")</f>
        <v/>
      </c>
      <c r="N167" s="43">
        <f>IFERROR(SUM($E$166:N166)/SUM($E$3:N3),"")</f>
        <v/>
      </c>
      <c r="O167" s="43">
        <f>IFERROR(SUM($E$166:O166)/SUM($E$3:O3),"")</f>
        <v/>
      </c>
      <c r="P167" s="43">
        <f>IFERROR(SUM($E$166:P166)/SUM($E$3:P3),"")</f>
        <v/>
      </c>
      <c r="Q167" s="43">
        <f>IFERROR(SUM($E$166:Q166)/SUM($E$3:Q3),"")</f>
        <v/>
      </c>
      <c r="R167" s="43">
        <f>IFERROR(SUM($E$166:R166)/SUM($E$3:R3),"")</f>
        <v/>
      </c>
      <c r="S167" s="43">
        <f>IFERROR(SUM($E$166:S166)/SUM($E$3:S3),"")</f>
        <v/>
      </c>
      <c r="T167" s="43">
        <f>IFERROR(SUM($E$166:T166)/SUM($E$3:T3),"")</f>
        <v/>
      </c>
      <c r="U167" s="43">
        <f>IFERROR(SUM($E$166:U166)/SUM($E$3:U3),"")</f>
        <v/>
      </c>
      <c r="V167" s="43">
        <f>IFERROR(SUM($E$166:V166)/SUM($E$3:V3),"")</f>
        <v/>
      </c>
      <c r="W167" s="43">
        <f>IFERROR(SUM($E$166:W166)/SUM($E$3:W3),"")</f>
        <v/>
      </c>
      <c r="X167" s="43">
        <f>IFERROR(SUM($E$166:X166)/SUM($E$3:X3),"")</f>
        <v/>
      </c>
      <c r="Y167" s="43">
        <f>IFERROR(SUM($E$166:Y166)/SUM($E$3:Y3),"")</f>
        <v/>
      </c>
      <c r="Z167" s="43">
        <f>IFERROR(SUM($E$166:Z166)/SUM($E$3:Z3),"")</f>
        <v/>
      </c>
      <c r="AA167" s="43" t="n"/>
      <c r="AB167" s="43" t="n"/>
      <c r="AC167" s="43" t="n"/>
      <c r="AD167" s="43" t="n"/>
      <c r="AE167" s="43" t="n"/>
      <c r="AF167" s="43" t="n"/>
      <c r="AG167" s="43" t="n"/>
      <c r="AH167" s="43" t="n"/>
      <c r="AI167" s="43" t="n"/>
      <c r="AJ167" s="43" t="n"/>
      <c r="AK167" s="43" t="n"/>
      <c r="AL167" s="43" t="n"/>
      <c r="AM167" s="43" t="n"/>
      <c r="AN167" s="43" t="n"/>
      <c r="AO167" s="43" t="n"/>
      <c r="AP167" s="43" t="n"/>
      <c r="AQ167" s="43" t="n"/>
      <c r="AR167" s="43" t="n"/>
      <c r="AS167" s="43" t="n"/>
      <c r="AT167" s="43" t="n"/>
      <c r="AU167" s="43" t="n"/>
      <c r="AV167" s="43" t="n"/>
      <c r="AW167" s="43" t="n"/>
      <c r="AX167" s="43" t="n"/>
      <c r="AY167" s="43" t="n"/>
      <c r="AZ167" s="43" t="n"/>
      <c r="BA167" s="43" t="n"/>
      <c r="BB167" s="43" t="n"/>
      <c r="BC167" s="43" t="n"/>
      <c r="BD167" s="43" t="n"/>
    </row>
    <row r="168" customFormat="1" s="7">
      <c r="B168" s="7" t="inlineStr">
        <is>
          <t>% of Target</t>
        </is>
      </c>
      <c r="D168" s="8" t="inlineStr">
        <is>
          <t>%</t>
        </is>
      </c>
      <c r="E168" s="43">
        <f>IFERROR(E166/E169,"")</f>
        <v/>
      </c>
      <c r="F168" s="43">
        <f>IFERROR(F166/F169,"")</f>
        <v/>
      </c>
      <c r="G168" s="43">
        <f>IFERROR(G166/G169,"")</f>
        <v/>
      </c>
      <c r="H168" s="43">
        <f>IFERROR(H166/H169,"")</f>
        <v/>
      </c>
      <c r="I168" s="43">
        <f>IFERROR(I166/I169,"")</f>
        <v/>
      </c>
      <c r="J168" s="43">
        <f>IFERROR(J166/J169,"")</f>
        <v/>
      </c>
      <c r="K168" s="43">
        <f>IFERROR(K166/K169,"")</f>
        <v/>
      </c>
      <c r="L168" s="43">
        <f>IFERROR(L166/L169,"")</f>
        <v/>
      </c>
      <c r="M168" s="43">
        <f>IFERROR(M166/M169,"")</f>
        <v/>
      </c>
      <c r="N168" s="43">
        <f>IFERROR(N166/N169,"")</f>
        <v/>
      </c>
      <c r="O168" s="43">
        <f>IFERROR(O166/O169,"")</f>
        <v/>
      </c>
      <c r="P168" s="43">
        <f>IFERROR(P166/P169,"")</f>
        <v/>
      </c>
      <c r="Q168" s="43">
        <f>IFERROR(Q166/Q169,"")</f>
        <v/>
      </c>
      <c r="R168" s="43">
        <f>IFERROR(R166/R169,"")</f>
        <v/>
      </c>
      <c r="S168" s="43">
        <f>IFERROR(S166/S169,"")</f>
        <v/>
      </c>
      <c r="T168" s="43">
        <f>IFERROR(T166/T169,"")</f>
        <v/>
      </c>
      <c r="U168" s="43">
        <f>IFERROR(U166/U169,"")</f>
        <v/>
      </c>
      <c r="V168" s="43">
        <f>IFERROR(V166/V169,"")</f>
        <v/>
      </c>
      <c r="W168" s="43">
        <f>IFERROR(W166/W169,"")</f>
        <v/>
      </c>
      <c r="X168" s="43">
        <f>IFERROR(X166/X169,"")</f>
        <v/>
      </c>
      <c r="Y168" s="43">
        <f>IFERROR(Y166/Y169,"")</f>
        <v/>
      </c>
      <c r="Z168" s="43">
        <f>IFERROR(Z166/Z169,"")</f>
        <v/>
      </c>
      <c r="AA168" s="43" t="n"/>
      <c r="AB168" s="43" t="n"/>
      <c r="AC168" s="43" t="n"/>
      <c r="AD168" s="43" t="n"/>
      <c r="AE168" s="43" t="n"/>
      <c r="AF168" s="43" t="n"/>
      <c r="AG168" s="43" t="n"/>
      <c r="AH168" s="43" t="n"/>
      <c r="AI168" s="43" t="n"/>
      <c r="AJ168" s="43" t="n"/>
      <c r="AK168" s="43" t="n"/>
      <c r="AL168" s="43" t="n"/>
      <c r="AM168" s="43" t="n"/>
      <c r="AN168" s="43" t="n"/>
      <c r="AO168" s="43" t="n"/>
      <c r="AP168" s="43" t="n"/>
      <c r="AQ168" s="43" t="n"/>
      <c r="AR168" s="43" t="n"/>
      <c r="AS168" s="43" t="n"/>
      <c r="AT168" s="43" t="n"/>
      <c r="AU168" s="43" t="n"/>
      <c r="AV168" s="43" t="n"/>
      <c r="AW168" s="43" t="n"/>
      <c r="AX168" s="43" t="n"/>
      <c r="AY168" s="43" t="n"/>
      <c r="AZ168" s="43" t="n"/>
      <c r="BA168" s="43" t="n"/>
      <c r="BB168" s="43" t="n"/>
      <c r="BC168" s="43" t="n"/>
      <c r="BD168" s="43" t="n"/>
    </row>
    <row r="169" customFormat="1" s="40">
      <c r="B169" s="40" t="inlineStr">
        <is>
          <t>Target</t>
        </is>
      </c>
      <c r="D169" s="10" t="inlineStr">
        <is>
          <t>$k</t>
        </is>
      </c>
      <c r="E169" s="42" t="n">
        <v>121.107370688</v>
      </c>
      <c r="F169" s="42" t="n">
        <v>211.937898704</v>
      </c>
      <c r="G169" s="42" t="n">
        <v>211.937898704</v>
      </c>
      <c r="H169" s="42" t="n">
        <v>211.937898704</v>
      </c>
      <c r="I169" s="42" t="n">
        <v>207.298172362</v>
      </c>
      <c r="J169" s="42" t="n">
        <v>179.46125</v>
      </c>
      <c r="K169" s="42" t="n">
        <v>179.46125</v>
      </c>
      <c r="L169" s="42" t="n">
        <v>179.46125</v>
      </c>
      <c r="M169" s="42" t="n">
        <v>179.133470148</v>
      </c>
      <c r="N169" s="42" t="n">
        <v>177.165355346</v>
      </c>
      <c r="O169" s="42" t="n">
        <v>177.165355346</v>
      </c>
      <c r="P169" s="42" t="n">
        <v>177.165355346</v>
      </c>
      <c r="Q169" s="42" t="n">
        <v>177.165355346</v>
      </c>
      <c r="R169" s="42" t="n">
        <v>156.164717381</v>
      </c>
      <c r="S169" s="42" t="n">
        <v>147.763955575</v>
      </c>
      <c r="T169" s="42" t="n">
        <v>147.763955575</v>
      </c>
      <c r="U169" s="42" t="n">
        <v>147.763955575</v>
      </c>
      <c r="V169" s="42" t="n">
        <v>168.270997583</v>
      </c>
      <c r="W169" s="42" t="n">
        <v>195.613931352</v>
      </c>
      <c r="X169" s="42" t="n">
        <v>195.613931352</v>
      </c>
      <c r="Y169" s="42" t="n">
        <v>195.613931352</v>
      </c>
      <c r="Z169" s="42" t="n">
        <v>195.613931352</v>
      </c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</row>
    <row r="170"/>
    <row r="171">
      <c r="A171" s="1" t="inlineStr">
        <is>
          <t xml:space="preserve">Sell-through units </t>
        </is>
      </c>
      <c r="D171" s="24" t="inlineStr">
        <is>
          <t>#</t>
        </is>
      </c>
      <c r="E171" s="42" t="n">
        <v>5901</v>
      </c>
      <c r="F171" s="42" t="n">
        <v>4405</v>
      </c>
      <c r="G171" s="42" t="n">
        <v>4553</v>
      </c>
      <c r="H171" s="42" t="n">
        <v>4473</v>
      </c>
      <c r="I171" s="42" t="n">
        <v>4702</v>
      </c>
      <c r="J171" s="42" t="n">
        <v>3447</v>
      </c>
      <c r="K171" s="42" t="n">
        <v>3964</v>
      </c>
      <c r="L171" s="42" t="n">
        <v>6882</v>
      </c>
      <c r="M171" s="42" t="n">
        <v>8157</v>
      </c>
      <c r="N171" s="42" t="n">
        <v>4407</v>
      </c>
      <c r="O171" s="42" t="n">
        <v>3800</v>
      </c>
      <c r="P171" s="42" t="n">
        <v>5747</v>
      </c>
      <c r="Q171" s="42" t="n">
        <v>6181</v>
      </c>
      <c r="R171" s="42" t="n">
        <v>4242</v>
      </c>
      <c r="S171" s="42" t="n">
        <v>3153</v>
      </c>
      <c r="T171" s="42" t="n">
        <v>4865</v>
      </c>
      <c r="U171" s="42" t="n">
        <v>4766</v>
      </c>
      <c r="V171" s="42" t="n">
        <v>5137</v>
      </c>
      <c r="W171" s="42" t="n">
        <v>2243</v>
      </c>
      <c r="X171" s="42" t="n">
        <v>2469</v>
      </c>
      <c r="Y171" s="42" t="n">
        <v>3796</v>
      </c>
      <c r="Z171" s="42" t="n">
        <v>4862</v>
      </c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</row>
    <row r="172" customFormat="1" s="4">
      <c r="A172" s="3" t="n"/>
      <c r="B172" s="4" t="inlineStr">
        <is>
          <t>% of Total - YTD</t>
        </is>
      </c>
      <c r="D172" s="33" t="inlineStr">
        <is>
          <t>%</t>
        </is>
      </c>
      <c r="E172" s="43">
        <f>IFERROR(SUM($E$171:E171)/SUM($E$4:E4),"")</f>
        <v/>
      </c>
      <c r="F172" s="43">
        <f>IFERROR(SUM($E$171:F171)/SUM($E$4:F4),"")</f>
        <v/>
      </c>
      <c r="G172" s="43">
        <f>IFERROR(SUM($E$171:G171)/SUM($E$4:G4),"")</f>
        <v/>
      </c>
      <c r="H172" s="43">
        <f>IFERROR(SUM($E$171:H171)/SUM($E$4:H4),"")</f>
        <v/>
      </c>
      <c r="I172" s="43">
        <f>IFERROR(SUM($E$171:I171)/SUM($E$4:I4),"")</f>
        <v/>
      </c>
      <c r="J172" s="43">
        <f>IFERROR(SUM($E$171:J171)/SUM($E$4:J4),"")</f>
        <v/>
      </c>
      <c r="K172" s="43">
        <f>IFERROR(SUM($E$171:K171)/SUM($E$4:K4),"")</f>
        <v/>
      </c>
      <c r="L172" s="43">
        <f>IFERROR(SUM($E$171:L171)/SUM($E$4:L4),"")</f>
        <v/>
      </c>
      <c r="M172" s="43">
        <f>IFERROR(SUM($E$171:M171)/SUM($E$4:M4),"")</f>
        <v/>
      </c>
      <c r="N172" s="43">
        <f>IFERROR(SUM($E$171:N171)/SUM($E$4:N4),"")</f>
        <v/>
      </c>
      <c r="O172" s="43">
        <f>IFERROR(SUM($E$171:O171)/SUM($E$4:O4),"")</f>
        <v/>
      </c>
      <c r="P172" s="43">
        <f>IFERROR(SUM($E$171:P171)/SUM($E$4:P4),"")</f>
        <v/>
      </c>
      <c r="Q172" s="43">
        <f>IFERROR(SUM($E$171:Q171)/SUM($E$4:Q4),"")</f>
        <v/>
      </c>
      <c r="R172" s="43">
        <f>IFERROR(SUM($E$171:R171)/SUM($E$4:R4),"")</f>
        <v/>
      </c>
      <c r="S172" s="43">
        <f>IFERROR(SUM($E$171:S171)/SUM($E$4:S4),"")</f>
        <v/>
      </c>
      <c r="T172" s="43">
        <f>IFERROR(SUM($E$171:T171)/SUM($E$4:T4),"")</f>
        <v/>
      </c>
      <c r="U172" s="43">
        <f>IFERROR(SUM($E$171:U171)/SUM($E$4:U4),"")</f>
        <v/>
      </c>
      <c r="V172" s="43">
        <f>IFERROR(SUM($E$171:V171)/SUM($E$4:V4),"")</f>
        <v/>
      </c>
      <c r="W172" s="43">
        <f>IFERROR(SUM($E$171:W171)/SUM($E$4:W4),"")</f>
        <v/>
      </c>
      <c r="X172" s="43">
        <f>IFERROR(SUM($E$171:X171)/SUM($E$4:X4),"")</f>
        <v/>
      </c>
      <c r="Y172" s="43">
        <f>IFERROR(SUM($E$171:Y171)/SUM($E$4:Y4),"")</f>
        <v/>
      </c>
      <c r="Z172" s="43">
        <f>IFERROR(SUM($E$171:Z171)/SUM($E$4:Z4),"")</f>
        <v/>
      </c>
      <c r="AA172" s="43" t="n"/>
      <c r="AB172" s="43" t="n"/>
      <c r="AC172" s="43" t="n"/>
      <c r="AD172" s="43" t="n"/>
      <c r="AE172" s="43" t="n"/>
      <c r="AF172" s="43" t="n"/>
      <c r="AG172" s="43" t="n"/>
      <c r="AH172" s="43" t="n"/>
      <c r="AI172" s="43" t="n"/>
      <c r="AJ172" s="43" t="n"/>
      <c r="AK172" s="43" t="n"/>
      <c r="AL172" s="43" t="n"/>
      <c r="AM172" s="43" t="n"/>
      <c r="AN172" s="43" t="n"/>
      <c r="AO172" s="43" t="n"/>
      <c r="AP172" s="43" t="n"/>
      <c r="AQ172" s="43" t="n"/>
      <c r="AR172" s="43" t="n"/>
      <c r="AS172" s="43" t="n"/>
      <c r="AT172" s="43" t="n"/>
      <c r="AU172" s="43" t="n"/>
      <c r="AV172" s="43" t="n"/>
      <c r="AW172" s="43" t="n"/>
      <c r="AX172" s="43" t="n"/>
      <c r="AY172" s="43" t="n"/>
      <c r="AZ172" s="43" t="n"/>
      <c r="BA172" s="43" t="n"/>
      <c r="BB172" s="43" t="n"/>
      <c r="BC172" s="43" t="n"/>
      <c r="BD172" s="43" t="n"/>
    </row>
    <row r="173" customFormat="1" s="16">
      <c r="A173" s="15" t="n"/>
      <c r="B173" s="16" t="inlineStr">
        <is>
          <t>% of Target</t>
        </is>
      </c>
      <c r="D173" s="17" t="inlineStr">
        <is>
          <t>%</t>
        </is>
      </c>
      <c r="E173" s="43">
        <f>IFERROR(E171/E174,"")</f>
        <v/>
      </c>
      <c r="F173" s="43">
        <f>IFERROR(F171/F174,"")</f>
        <v/>
      </c>
      <c r="G173" s="43">
        <f>IFERROR(G171/G174,"")</f>
        <v/>
      </c>
      <c r="H173" s="43">
        <f>IFERROR(H171/H174,"")</f>
        <v/>
      </c>
      <c r="I173" s="43">
        <f>IFERROR(I171/I174,"")</f>
        <v/>
      </c>
      <c r="J173" s="43">
        <f>IFERROR(J171/J174,"")</f>
        <v/>
      </c>
      <c r="K173" s="43">
        <f>IFERROR(K171/K174,"")</f>
        <v/>
      </c>
      <c r="L173" s="43">
        <f>IFERROR(L171/L174,"")</f>
        <v/>
      </c>
      <c r="M173" s="43">
        <f>IFERROR(M171/M174,"")</f>
        <v/>
      </c>
      <c r="N173" s="43">
        <f>IFERROR(N171/N174,"")</f>
        <v/>
      </c>
      <c r="O173" s="43">
        <f>IFERROR(O171/O174,"")</f>
        <v/>
      </c>
      <c r="P173" s="43">
        <f>IFERROR(P171/P174,"")</f>
        <v/>
      </c>
      <c r="Q173" s="43">
        <f>IFERROR(Q171/Q174,"")</f>
        <v/>
      </c>
      <c r="R173" s="43">
        <f>IFERROR(R171/R174,"")</f>
        <v/>
      </c>
      <c r="S173" s="43">
        <f>IFERROR(S171/S174,"")</f>
        <v/>
      </c>
      <c r="T173" s="43">
        <f>IFERROR(T171/T174,"")</f>
        <v/>
      </c>
      <c r="U173" s="43">
        <f>IFERROR(U171/U174,"")</f>
        <v/>
      </c>
      <c r="V173" s="43">
        <f>IFERROR(V171/V174,"")</f>
        <v/>
      </c>
      <c r="W173" s="43">
        <f>IFERROR(W171/W174,"")</f>
        <v/>
      </c>
      <c r="X173" s="43">
        <f>IFERROR(X171/X174,"")</f>
        <v/>
      </c>
      <c r="Y173" s="43">
        <f>IFERROR(Y171/Y174,"")</f>
        <v/>
      </c>
      <c r="Z173" s="43">
        <f>IFERROR(Z171/Z174,"")</f>
        <v/>
      </c>
      <c r="AA173" s="43" t="n"/>
      <c r="AB173" s="43" t="n"/>
      <c r="AC173" s="43" t="n"/>
      <c r="AD173" s="43" t="n"/>
      <c r="AE173" s="43" t="n"/>
      <c r="AF173" s="43" t="n"/>
      <c r="AG173" s="43" t="n"/>
      <c r="AH173" s="43" t="n"/>
      <c r="AI173" s="43" t="n"/>
      <c r="AJ173" s="43" t="n"/>
      <c r="AK173" s="43" t="n"/>
      <c r="AL173" s="43" t="n"/>
      <c r="AM173" s="43" t="n"/>
      <c r="AN173" s="43" t="n"/>
      <c r="AO173" s="43" t="n"/>
      <c r="AP173" s="43" t="n"/>
      <c r="AQ173" s="43" t="n"/>
      <c r="AR173" s="43" t="n"/>
      <c r="AS173" s="43" t="n"/>
      <c r="AT173" s="43" t="n"/>
      <c r="AU173" s="43" t="n"/>
      <c r="AV173" s="43" t="n"/>
      <c r="AW173" s="43" t="n"/>
      <c r="AX173" s="43" t="n"/>
      <c r="AY173" s="43" t="n"/>
      <c r="AZ173" s="43" t="n"/>
      <c r="BA173" s="43" t="n"/>
      <c r="BB173" s="43" t="n"/>
      <c r="BC173" s="43" t="n"/>
      <c r="BD173" s="43" t="n"/>
    </row>
    <row r="174" customFormat="1" s="13">
      <c r="A174" s="12" t="n"/>
      <c r="B174" s="13" t="inlineStr">
        <is>
          <t>Target</t>
        </is>
      </c>
      <c r="D174" s="14" t="inlineStr">
        <is>
          <t>#</t>
        </is>
      </c>
      <c r="E174" s="42" t="n"/>
      <c r="F174" s="42" t="n">
        <v>6299</v>
      </c>
      <c r="G174" s="42" t="n">
        <v>3542</v>
      </c>
      <c r="H174" s="42" t="n">
        <v>3136</v>
      </c>
      <c r="I174" s="42" t="n">
        <v>2995</v>
      </c>
      <c r="J174" s="42" t="n">
        <v>3429</v>
      </c>
      <c r="K174" s="42" t="n">
        <v>3278</v>
      </c>
      <c r="L174" s="42" t="n">
        <v>3175</v>
      </c>
      <c r="M174" s="42" t="n">
        <v>3265</v>
      </c>
      <c r="N174" s="42" t="n">
        <v>2659</v>
      </c>
      <c r="O174" s="42" t="n">
        <v>2692</v>
      </c>
      <c r="P174" s="42" t="n">
        <v>2582</v>
      </c>
      <c r="Q174" s="42" t="n">
        <v>6251</v>
      </c>
      <c r="R174" s="42" t="n">
        <v>2516</v>
      </c>
      <c r="S174" s="42" t="n">
        <v>3264</v>
      </c>
      <c r="T174" s="42" t="n">
        <v>2846</v>
      </c>
      <c r="U174" s="42" t="n">
        <v>2850</v>
      </c>
      <c r="V174" s="42" t="n">
        <v>2780</v>
      </c>
      <c r="W174" s="42" t="n">
        <v>1866</v>
      </c>
      <c r="X174" s="42" t="n">
        <v>5691</v>
      </c>
      <c r="Y174" s="42" t="n">
        <v>5701</v>
      </c>
      <c r="Z174" s="42" t="n">
        <v>2372</v>
      </c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</row>
    <row r="175">
      <c r="C175" s="11" t="inlineStr">
        <is>
          <t xml:space="preserve">Cam </t>
        </is>
      </c>
      <c r="D175" s="6" t="inlineStr">
        <is>
          <t>#</t>
        </is>
      </c>
      <c r="E175" s="42" t="n">
        <v>2914</v>
      </c>
      <c r="F175" s="42" t="n">
        <v>2338</v>
      </c>
      <c r="G175" s="42" t="n">
        <v>2777</v>
      </c>
      <c r="H175" s="42" t="n">
        <v>2627</v>
      </c>
      <c r="I175" s="42" t="n">
        <v>2722</v>
      </c>
      <c r="J175" s="42" t="n">
        <v>1940</v>
      </c>
      <c r="K175" s="42" t="n">
        <v>2448</v>
      </c>
      <c r="L175" s="42" t="n">
        <v>4336</v>
      </c>
      <c r="M175" s="42" t="n">
        <v>5136</v>
      </c>
      <c r="N175" s="42" t="n">
        <v>2395</v>
      </c>
      <c r="O175" s="42" t="n">
        <v>2079</v>
      </c>
      <c r="P175" s="42" t="n">
        <v>3265</v>
      </c>
      <c r="Q175" s="42" t="n">
        <v>3463</v>
      </c>
      <c r="R175" s="42" t="n">
        <v>2135</v>
      </c>
      <c r="S175" s="42" t="n">
        <v>1398</v>
      </c>
      <c r="T175" s="42" t="n">
        <v>3130</v>
      </c>
      <c r="U175" s="42" t="n">
        <v>2591</v>
      </c>
      <c r="V175" s="42" t="n">
        <v>2255</v>
      </c>
      <c r="W175" s="42" t="n">
        <v>1183</v>
      </c>
      <c r="X175" s="42" t="n">
        <v>1244</v>
      </c>
      <c r="Y175" s="42" t="n">
        <v>1931</v>
      </c>
      <c r="Z175" s="42" t="n">
        <v>2519</v>
      </c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</row>
    <row r="176">
      <c r="C176" s="11" t="inlineStr">
        <is>
          <t>Non Cam</t>
        </is>
      </c>
      <c r="D176" s="6" t="inlineStr">
        <is>
          <t>#</t>
        </is>
      </c>
      <c r="E176" s="42" t="n">
        <v>2987</v>
      </c>
      <c r="F176" s="42" t="n">
        <v>2067</v>
      </c>
      <c r="G176" s="42" t="n">
        <v>1776</v>
      </c>
      <c r="H176" s="42" t="n">
        <v>1846</v>
      </c>
      <c r="I176" s="42" t="n">
        <v>1980</v>
      </c>
      <c r="J176" s="42" t="n">
        <v>1507</v>
      </c>
      <c r="K176" s="42" t="n">
        <v>1516</v>
      </c>
      <c r="L176" s="42" t="n">
        <v>2546</v>
      </c>
      <c r="M176" s="42" t="n">
        <v>3021</v>
      </c>
      <c r="N176" s="42" t="n">
        <v>2012</v>
      </c>
      <c r="O176" s="42" t="n">
        <v>1721</v>
      </c>
      <c r="P176" s="42" t="n">
        <v>2482</v>
      </c>
      <c r="Q176" s="42" t="n">
        <v>2718</v>
      </c>
      <c r="R176" s="42" t="n">
        <v>2107</v>
      </c>
      <c r="S176" s="42" t="n">
        <v>1755</v>
      </c>
      <c r="T176" s="42" t="n">
        <v>1735</v>
      </c>
      <c r="U176" s="42" t="n">
        <v>2175</v>
      </c>
      <c r="V176" s="42" t="n">
        <v>2882</v>
      </c>
      <c r="W176" s="42" t="n">
        <v>1060</v>
      </c>
      <c r="X176" s="42" t="n">
        <v>1225</v>
      </c>
      <c r="Y176" s="42" t="n">
        <v>1865</v>
      </c>
      <c r="Z176" s="42" t="n">
        <v>2343</v>
      </c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</row>
    <row r="177">
      <c r="C177" s="6" t="n"/>
    </row>
    <row r="178" customFormat="1" s="1">
      <c r="A178" s="1" t="inlineStr">
        <is>
          <t xml:space="preserve">Promo </t>
        </is>
      </c>
      <c r="D178" s="24" t="inlineStr">
        <is>
          <t>$k</t>
        </is>
      </c>
      <c r="E178" s="44" t="n">
        <v>44.67041</v>
      </c>
      <c r="F178" s="44" t="n">
        <v>22.18212</v>
      </c>
      <c r="G178" s="44" t="n">
        <v>29.00855</v>
      </c>
      <c r="H178" s="44" t="n">
        <v>29.42086</v>
      </c>
      <c r="I178" s="44" t="n">
        <v>35.08533</v>
      </c>
      <c r="J178" s="44" t="n">
        <v>8.85036</v>
      </c>
      <c r="K178" s="44" t="n">
        <v>17.51459</v>
      </c>
      <c r="L178" s="44" t="n">
        <v>48.73032</v>
      </c>
      <c r="M178" s="44" t="n">
        <v>57.54705000000001</v>
      </c>
      <c r="N178" s="44" t="n">
        <v>16.11398</v>
      </c>
      <c r="O178" s="44" t="n">
        <v>7.36188</v>
      </c>
      <c r="P178" s="44" t="n">
        <v>34.55707</v>
      </c>
      <c r="Q178" s="44" t="n">
        <v>48.75215</v>
      </c>
      <c r="R178" s="44" t="n">
        <v>18.90543</v>
      </c>
      <c r="S178" s="44" t="n">
        <v>4.91811</v>
      </c>
      <c r="T178" s="44" t="n">
        <v>15.30413</v>
      </c>
      <c r="U178" s="44" t="n">
        <v>32.61127</v>
      </c>
      <c r="V178" s="44" t="n">
        <v>42.59935</v>
      </c>
      <c r="W178" s="44" t="n">
        <v>4.751390000000001</v>
      </c>
      <c r="X178" s="44" t="n">
        <v>4.0914</v>
      </c>
      <c r="Y178" s="44" t="n">
        <v>29.69274</v>
      </c>
      <c r="Z178" s="44" t="n">
        <v>39.31711</v>
      </c>
      <c r="AA178" s="44" t="n"/>
      <c r="AB178" s="44" t="n"/>
      <c r="AC178" s="44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  <c r="AQ178" s="44" t="n"/>
      <c r="AR178" s="44" t="n"/>
      <c r="AS178" s="44" t="n"/>
      <c r="AT178" s="44" t="n"/>
      <c r="AU178" s="44" t="n"/>
      <c r="AV178" s="44" t="n"/>
      <c r="AW178" s="44" t="n"/>
      <c r="AX178" s="44" t="n"/>
      <c r="AY178" s="44" t="n"/>
      <c r="AZ178" s="44" t="n"/>
      <c r="BA178" s="44" t="n"/>
      <c r="BB178" s="44" t="n"/>
      <c r="BC178" s="44" t="n"/>
      <c r="BD178" s="44" t="n"/>
    </row>
    <row r="179" ht="15.75" customFormat="1" customHeight="1" s="1">
      <c r="B179" s="41" t="inlineStr">
        <is>
          <t>Finance Actuals (Monthly)</t>
        </is>
      </c>
      <c r="D179" s="32" t="inlineStr">
        <is>
          <t>$k</t>
        </is>
      </c>
    </row>
    <row r="180" customFormat="1" s="40">
      <c r="B180" s="40" t="inlineStr">
        <is>
          <t>Budgeted (Monthly)</t>
        </is>
      </c>
      <c r="D180" s="10" t="inlineStr">
        <is>
          <t>$k</t>
        </is>
      </c>
      <c r="H180" t="n">
        <v>66.67209603489979</v>
      </c>
      <c r="L180" t="n">
        <v>51.59123322641948</v>
      </c>
      <c r="Q180" t="n">
        <v>52.69869839668941</v>
      </c>
      <c r="U180" t="n">
        <v>41.65774272207034</v>
      </c>
      <c r="Z180" t="n">
        <v>58.97775773556774</v>
      </c>
      <c r="AD180" t="n">
        <v>54.02665873645324</v>
      </c>
      <c r="AH180" t="n">
        <v>100.7972372036713</v>
      </c>
      <c r="AM180" t="n">
        <v>45.90416509779239</v>
      </c>
      <c r="AQ180" t="n">
        <v>68.32736876380628</v>
      </c>
      <c r="AU180" t="n">
        <v>170.7816230303037</v>
      </c>
      <c r="AZ180" t="n">
        <v>196.0246219502299</v>
      </c>
      <c r="BD180" t="n">
        <v>77.67697508665465</v>
      </c>
    </row>
    <row r="181">
      <c r="B181" t="inlineStr">
        <is>
          <t>As % of budget - this month</t>
        </is>
      </c>
      <c r="D181" s="6" t="inlineStr">
        <is>
          <t>%</t>
        </is>
      </c>
      <c r="E181">
        <f>IFERROR(E179/E180,"")</f>
        <v/>
      </c>
      <c r="F181">
        <f>IFERROR(F179/F180,"")</f>
        <v/>
      </c>
      <c r="G181">
        <f>IFERROR(G179/G180,"")</f>
        <v/>
      </c>
      <c r="H181">
        <f>IFERROR(H179/H180,"")</f>
        <v/>
      </c>
      <c r="I181">
        <f>IFERROR(I179/I180,"")</f>
        <v/>
      </c>
      <c r="J181">
        <f>IFERROR(J179/J180,"")</f>
        <v/>
      </c>
      <c r="K181">
        <f>IFERROR(K179/K180,"")</f>
        <v/>
      </c>
      <c r="L181">
        <f>IFERROR(L179/L180,"")</f>
        <v/>
      </c>
      <c r="M181">
        <f>IFERROR(M179/M180,"")</f>
        <v/>
      </c>
      <c r="N181">
        <f>IFERROR(N179/N180,"")</f>
        <v/>
      </c>
      <c r="O181">
        <f>IFERROR(O179/O180,"")</f>
        <v/>
      </c>
      <c r="P181">
        <f>IFERROR(P179/P180,"")</f>
        <v/>
      </c>
      <c r="Q181">
        <f>IFERROR(Q179/Q180,"")</f>
        <v/>
      </c>
      <c r="R181">
        <f>IFERROR(R179/R180,"")</f>
        <v/>
      </c>
      <c r="S181">
        <f>IFERROR(S179/S180,"")</f>
        <v/>
      </c>
      <c r="T181">
        <f>IFERROR(T179/T180,"")</f>
        <v/>
      </c>
      <c r="U181">
        <f>IFERROR(U179/U180,"")</f>
        <v/>
      </c>
      <c r="V181">
        <f>IFERROR(V179/V180,"")</f>
        <v/>
      </c>
      <c r="W181">
        <f>IFERROR(W179/W180,"")</f>
        <v/>
      </c>
      <c r="X181">
        <f>IFERROR(X179/X180,"")</f>
        <v/>
      </c>
      <c r="Y181">
        <f>IFERROR(Y179/Y180,"")</f>
        <v/>
      </c>
      <c r="Z181">
        <f>IFERROR(Z179/Z180,"")</f>
        <v/>
      </c>
      <c r="AA181">
        <f>IFERROR(AA179/AA180,"")</f>
        <v/>
      </c>
      <c r="AB181">
        <f>IFERROR(AB179/AB180,"")</f>
        <v/>
      </c>
      <c r="AC181">
        <f>IFERROR(AC179/AC180,"")</f>
        <v/>
      </c>
      <c r="AD181">
        <f>IFERROR(AD179/AD180,"")</f>
        <v/>
      </c>
      <c r="AE181">
        <f>IFERROR(AE179/AE180,"")</f>
        <v/>
      </c>
      <c r="AF181">
        <f>IFERROR(AF179/AF180,"")</f>
        <v/>
      </c>
      <c r="AG181">
        <f>IFERROR(AG179/AG180,"")</f>
        <v/>
      </c>
      <c r="AH181">
        <f>IFERROR(AH179/AH180,"")</f>
        <v/>
      </c>
      <c r="AI181">
        <f>IFERROR(AI179/AI180,"")</f>
        <v/>
      </c>
      <c r="AJ181">
        <f>IFERROR(AJ179/AJ180,"")</f>
        <v/>
      </c>
      <c r="AK181">
        <f>IFERROR(AK179/AK180,"")</f>
        <v/>
      </c>
      <c r="AL181">
        <f>IFERROR(AL179/AL180,"")</f>
        <v/>
      </c>
      <c r="AM181">
        <f>IFERROR(AM179/AM180,"")</f>
        <v/>
      </c>
      <c r="AN181">
        <f>IFERROR(AN179/AN180,"")</f>
        <v/>
      </c>
      <c r="AO181">
        <f>IFERROR(AO179/AO180,"")</f>
        <v/>
      </c>
      <c r="AP181">
        <f>IFERROR(AP179/AP180,"")</f>
        <v/>
      </c>
      <c r="AQ181">
        <f>IFERROR(AQ179/AQ180,"")</f>
        <v/>
      </c>
      <c r="AR181">
        <f>IFERROR(AR179/AR180,"")</f>
        <v/>
      </c>
      <c r="AS181">
        <f>IFERROR(AS179/AS180,"")</f>
        <v/>
      </c>
      <c r="AT181">
        <f>IFERROR(AT179/AT180,"")</f>
        <v/>
      </c>
      <c r="AU181">
        <f>IFERROR(AU179/AU180,"")</f>
        <v/>
      </c>
      <c r="AV181">
        <f>IFERROR(AV179/AV180,"")</f>
        <v/>
      </c>
      <c r="AW181">
        <f>IFERROR(AW179/AW180,"")</f>
        <v/>
      </c>
      <c r="AX181">
        <f>IFERROR(AX179/AX180,"")</f>
        <v/>
      </c>
      <c r="AY181">
        <f>IFERROR(AY179/AY180,"")</f>
        <v/>
      </c>
      <c r="AZ181">
        <f>IFERROR(AZ179/AZ180,"")</f>
        <v/>
      </c>
      <c r="BA181">
        <f>IFERROR(BA179/BA180,"")</f>
        <v/>
      </c>
      <c r="BB181">
        <f>IFERROR(BB179/BB180,"")</f>
        <v/>
      </c>
      <c r="BC181">
        <f>IFERROR(BC179/BC180,"")</f>
        <v/>
      </c>
      <c r="BD181">
        <f>IFERROR(BD179/BD180,"")</f>
        <v/>
      </c>
    </row>
    <row r="182">
      <c r="B182" t="inlineStr">
        <is>
          <t>As % of budget - YTD</t>
        </is>
      </c>
      <c r="D182" s="6" t="inlineStr">
        <is>
          <t>%</t>
        </is>
      </c>
      <c r="E182">
        <f>IFERROR(SUM($E$179:E179)/SUM($E$180:E180),"")</f>
        <v/>
      </c>
      <c r="F182">
        <f>IFERROR(SUM($E$179:F179)/SUM($E$180:F180),"")</f>
        <v/>
      </c>
      <c r="G182">
        <f>IFERROR(SUM($E$179:G179)/SUM($E$180:G180),"")</f>
        <v/>
      </c>
      <c r="H182">
        <f>IFERROR(SUM($E$179:H179)/SUM($E$180:H180),"")</f>
        <v/>
      </c>
      <c r="I182">
        <f>IFERROR(SUM($E$179:I179)/SUM($E$180:I180),"")</f>
        <v/>
      </c>
      <c r="J182">
        <f>IFERROR(SUM($E$179:J179)/SUM($E$180:J180),"")</f>
        <v/>
      </c>
      <c r="K182">
        <f>IFERROR(SUM($E$179:K179)/SUM($E$180:K180),"")</f>
        <v/>
      </c>
      <c r="L182">
        <f>IFERROR(SUM($E$179:L179)/SUM($E$180:L180),"")</f>
        <v/>
      </c>
      <c r="M182">
        <f>IFERROR(SUM($E$179:M179)/SUM($E$180:M180),"")</f>
        <v/>
      </c>
      <c r="N182">
        <f>IFERROR(SUM($E$179:N179)/SUM($E$180:N180),"")</f>
        <v/>
      </c>
      <c r="O182">
        <f>IFERROR(SUM($E$179:O179)/SUM($E$180:O180),"")</f>
        <v/>
      </c>
      <c r="P182">
        <f>IFERROR(SUM($E$179:P179)/SUM($E$180:P180),"")</f>
        <v/>
      </c>
      <c r="Q182">
        <f>IFERROR(SUM($E$179:Q179)/SUM($E$180:Q180),"")</f>
        <v/>
      </c>
      <c r="R182">
        <f>IFERROR(SUM($E$179:R179)/SUM($E$180:R180),"")</f>
        <v/>
      </c>
      <c r="S182">
        <f>IFERROR(SUM($E$179:S179)/SUM($E$180:S180),"")</f>
        <v/>
      </c>
      <c r="T182">
        <f>IFERROR(SUM($E$179:T179)/SUM($E$180:T180),"")</f>
        <v/>
      </c>
      <c r="U182">
        <f>IFERROR(SUM($E$179:U179)/SUM($E$180:U180),"")</f>
        <v/>
      </c>
      <c r="V182">
        <f>IFERROR(SUM($E$179:V179)/SUM($E$180:V180),"")</f>
        <v/>
      </c>
      <c r="W182">
        <f>IFERROR(SUM($E$179:W179)/SUM($E$180:W180),"")</f>
        <v/>
      </c>
      <c r="X182">
        <f>IFERROR(SUM($E$179:X179)/SUM($E$180:X180),"")</f>
        <v/>
      </c>
      <c r="Y182">
        <f>IFERROR(SUM($E$179:Y179)/SUM($E$180:Y180),"")</f>
        <v/>
      </c>
      <c r="Z182">
        <f>IFERROR(SUM($E$179:Z179)/SUM($E$180:Z180),"")</f>
        <v/>
      </c>
      <c r="AA182">
        <f>IFERROR(SUM($E$179:AA179)/SUM($E$180:AA180),"")</f>
        <v/>
      </c>
      <c r="AB182">
        <f>IFERROR(SUM($E$179:AB179)/SUM($E$180:AB180),"")</f>
        <v/>
      </c>
      <c r="AC182">
        <f>IFERROR(SUM($E$179:AC179)/SUM($E$180:AC180),"")</f>
        <v/>
      </c>
      <c r="AD182">
        <f>IFERROR(SUM($E$179:AD179)/SUM($E$180:AD180),"")</f>
        <v/>
      </c>
      <c r="AE182">
        <f>IFERROR(SUM($E$179:AE179)/SUM($E$180:AE180),"")</f>
        <v/>
      </c>
      <c r="AF182">
        <f>IFERROR(SUM($E$179:AF179)/SUM($E$180:AF180),"")</f>
        <v/>
      </c>
      <c r="AG182">
        <f>IFERROR(SUM($E$179:AG179)/SUM($E$180:AG180),"")</f>
        <v/>
      </c>
      <c r="AH182">
        <f>IFERROR(SUM($E$179:AH179)/SUM($E$180:AH180),"")</f>
        <v/>
      </c>
      <c r="AI182">
        <f>IFERROR(SUM($E$179:AI179)/SUM($E$180:AI180),"")</f>
        <v/>
      </c>
      <c r="AJ182">
        <f>IFERROR(SUM($E$179:AJ179)/SUM($E$180:AJ180),"")</f>
        <v/>
      </c>
      <c r="AK182">
        <f>IFERROR(SUM($E$179:AK179)/SUM($E$180:AK180),"")</f>
        <v/>
      </c>
      <c r="AL182">
        <f>IFERROR(SUM($E$179:AL179)/SUM($E$180:AL180),"")</f>
        <v/>
      </c>
      <c r="AM182">
        <f>IFERROR(SUM($E$179:AM179)/SUM($E$180:AM180),"")</f>
        <v/>
      </c>
      <c r="AN182">
        <f>IFERROR(SUM($E$179:AN179)/SUM($E$180:AN180),"")</f>
        <v/>
      </c>
      <c r="AO182">
        <f>IFERROR(SUM($E$179:AO179)/SUM($E$180:AO180),"")</f>
        <v/>
      </c>
      <c r="AP182">
        <f>IFERROR(SUM($E$179:AP179)/SUM($E$180:AP180),"")</f>
        <v/>
      </c>
      <c r="AQ182">
        <f>IFERROR(SUM($E$179:AQ179)/SUM($E$180:AQ180),"")</f>
        <v/>
      </c>
      <c r="AR182">
        <f>IFERROR(SUM($E$179:AR179)/SUM($E$180:AR180),"")</f>
        <v/>
      </c>
      <c r="AS182">
        <f>IFERROR(SUM($E$179:AS179)/SUM($E$180:AS180),"")</f>
        <v/>
      </c>
      <c r="AT182">
        <f>IFERROR(SUM($E$179:AT179)/SUM($E$180:AT180),"")</f>
        <v/>
      </c>
      <c r="AU182">
        <f>IFERROR(SUM($E$179:AU179)/SUM($E$180:AU180),"")</f>
        <v/>
      </c>
      <c r="AV182">
        <f>IFERROR(SUM($E$179:AV179)/SUM($E$180:AV180),"")</f>
        <v/>
      </c>
      <c r="AW182">
        <f>IFERROR(SUM($E$179:AW179)/SUM($E$180:AW180),"")</f>
        <v/>
      </c>
      <c r="AX182">
        <f>IFERROR(SUM($E$179:AX179)/SUM($E$180:AX180),"")</f>
        <v/>
      </c>
      <c r="AY182">
        <f>IFERROR(SUM($E$179:AY179)/SUM($E$180:AY180),"")</f>
        <v/>
      </c>
      <c r="AZ182">
        <f>IFERROR(SUM($E$179:AZ179)/SUM($E$180:AZ180),"")</f>
        <v/>
      </c>
      <c r="BA182">
        <f>IFERROR(SUM($E$179:BA179)/SUM($E$180:BA180),"")</f>
        <v/>
      </c>
      <c r="BB182">
        <f>IFERROR(SUM($E$179:BB179)/SUM($E$180:BB180),"")</f>
        <v/>
      </c>
      <c r="BC182">
        <f>IFERROR(SUM($E$179:BC179)/SUM($E$180:BC180),"")</f>
        <v/>
      </c>
      <c r="BD182">
        <f>IFERROR(SUM($E$179:BD179)/SUM($E$180:BD180),"")</f>
        <v/>
      </c>
    </row>
    <row r="184" customFormat="1" s="1">
      <c r="A184" s="1" t="inlineStr">
        <is>
          <t>Ads</t>
        </is>
      </c>
      <c r="D184" s="24" t="inlineStr">
        <is>
          <t>$k</t>
        </is>
      </c>
      <c r="E184" t="n">
        <v>54.4255</v>
      </c>
      <c r="F184" t="n">
        <v>38.51414</v>
      </c>
      <c r="G184" t="n">
        <v>36.04068</v>
      </c>
      <c r="H184" t="n">
        <v>39.34256</v>
      </c>
      <c r="I184" t="n">
        <v>47.3189</v>
      </c>
      <c r="J184" t="n">
        <v>26.57542</v>
      </c>
      <c r="K184" t="n">
        <v>28.53181</v>
      </c>
      <c r="L184" t="n">
        <v>53.06933</v>
      </c>
      <c r="M184" t="n">
        <v>74.18224000000001</v>
      </c>
      <c r="N184" t="n">
        <v>40.59018</v>
      </c>
      <c r="O184" t="n">
        <v>33.00131</v>
      </c>
      <c r="P184" t="n">
        <v>51.236</v>
      </c>
      <c r="Q184" t="n">
        <v>64.90655000000001</v>
      </c>
      <c r="R184" t="n">
        <v>37.60924</v>
      </c>
      <c r="S184" t="n">
        <v>26.63017</v>
      </c>
      <c r="T184" t="n">
        <v>39.15215</v>
      </c>
      <c r="U184" t="n">
        <v>44.35764</v>
      </c>
      <c r="V184" t="n">
        <v>54.72473</v>
      </c>
      <c r="W184" t="n">
        <v>8.374000000000001</v>
      </c>
      <c r="X184" t="n">
        <v>10.33057</v>
      </c>
      <c r="Y184" t="n">
        <v>41.81375</v>
      </c>
      <c r="Z184" t="n">
        <v>50.55479</v>
      </c>
    </row>
    <row r="185" ht="15.75" customFormat="1" customHeight="1" s="1">
      <c r="B185" s="41" t="inlineStr">
        <is>
          <t>Finance Actuals (Monthly)</t>
        </is>
      </c>
      <c r="D185" s="32" t="inlineStr">
        <is>
          <t>$k</t>
        </is>
      </c>
    </row>
    <row r="186" ht="15.75" customHeight="1">
      <c r="B186" s="40" t="inlineStr">
        <is>
          <t>Budgeted (Monthly)</t>
        </is>
      </c>
      <c r="C186" s="40" t="n"/>
      <c r="D186" s="10" t="inlineStr">
        <is>
          <t>$k</t>
        </is>
      </c>
      <c r="H186" t="n">
        <v>159.1227600026032</v>
      </c>
      <c r="L186" t="n">
        <v>82.46673343111851</v>
      </c>
      <c r="Q186" t="n">
        <v>128.7440416851451</v>
      </c>
      <c r="U186" t="n">
        <v>80.55575050193988</v>
      </c>
      <c r="Z186" t="n">
        <v>152.8480377042177</v>
      </c>
      <c r="AD186" t="n">
        <v>137.156306744519</v>
      </c>
      <c r="AH186" t="n">
        <v>115.1800030589649</v>
      </c>
      <c r="AM186" t="n">
        <v>103.6353020641332</v>
      </c>
      <c r="AQ186" t="n">
        <v>153.0253453986776</v>
      </c>
      <c r="AU186" t="n">
        <v>225.0910727691456</v>
      </c>
      <c r="AZ186" t="n">
        <v>277.6628041764977</v>
      </c>
      <c r="BD186" t="n">
        <v>200.8885724753731</v>
      </c>
    </row>
    <row r="187">
      <c r="B187" t="inlineStr">
        <is>
          <t>As % of budget - this month</t>
        </is>
      </c>
      <c r="D187" s="6" t="inlineStr">
        <is>
          <t>%</t>
        </is>
      </c>
      <c r="E187">
        <f>IFERROR(E185/E186,"")</f>
        <v/>
      </c>
      <c r="F187">
        <f>IFERROR(F185/F186,"")</f>
        <v/>
      </c>
      <c r="G187">
        <f>IFERROR(G185/G186,"")</f>
        <v/>
      </c>
      <c r="H187">
        <f>IFERROR(H185/H186,"")</f>
        <v/>
      </c>
      <c r="I187">
        <f>IFERROR(I185/I186,"")</f>
        <v/>
      </c>
      <c r="J187">
        <f>IFERROR(J185/J186,"")</f>
        <v/>
      </c>
      <c r="K187">
        <f>IFERROR(K185/K186,"")</f>
        <v/>
      </c>
      <c r="L187">
        <f>IFERROR(L185/L186,"")</f>
        <v/>
      </c>
      <c r="M187">
        <f>IFERROR(M185/M186,"")</f>
        <v/>
      </c>
      <c r="N187">
        <f>IFERROR(N185/N186,"")</f>
        <v/>
      </c>
      <c r="O187">
        <f>IFERROR(O185/O186,"")</f>
        <v/>
      </c>
      <c r="P187">
        <f>IFERROR(P185/P186,"")</f>
        <v/>
      </c>
      <c r="Q187">
        <f>IFERROR(Q185/Q186,"")</f>
        <v/>
      </c>
      <c r="R187">
        <f>IFERROR(R185/R186,"")</f>
        <v/>
      </c>
      <c r="S187">
        <f>IFERROR(S185/S186,"")</f>
        <v/>
      </c>
      <c r="T187">
        <f>IFERROR(T185/T186,"")</f>
        <v/>
      </c>
      <c r="U187">
        <f>IFERROR(U185/U186,"")</f>
        <v/>
      </c>
      <c r="V187">
        <f>IFERROR(V185/V186,"")</f>
        <v/>
      </c>
      <c r="W187">
        <f>IFERROR(W185/W186,"")</f>
        <v/>
      </c>
      <c r="X187">
        <f>IFERROR(X185/X186,"")</f>
        <v/>
      </c>
      <c r="Y187">
        <f>IFERROR(Y185/Y186,"")</f>
        <v/>
      </c>
      <c r="Z187">
        <f>IFERROR(Z185/Z186,"")</f>
        <v/>
      </c>
      <c r="AA187">
        <f>IFERROR(AA185/AA186,"")</f>
        <v/>
      </c>
      <c r="AB187">
        <f>IFERROR(AB185/AB186,"")</f>
        <v/>
      </c>
      <c r="AC187">
        <f>IFERROR(AC185/AC186,"")</f>
        <v/>
      </c>
      <c r="AD187">
        <f>IFERROR(AD185/AD186,"")</f>
        <v/>
      </c>
      <c r="AE187">
        <f>IFERROR(AE185/AE186,"")</f>
        <v/>
      </c>
      <c r="AF187">
        <f>IFERROR(AF185/AF186,"")</f>
        <v/>
      </c>
      <c r="AG187">
        <f>IFERROR(AG185/AG186,"")</f>
        <v/>
      </c>
      <c r="AH187">
        <f>IFERROR(AH185/AH186,"")</f>
        <v/>
      </c>
      <c r="AI187">
        <f>IFERROR(AI185/AI186,"")</f>
        <v/>
      </c>
      <c r="AJ187">
        <f>IFERROR(AJ185/AJ186,"")</f>
        <v/>
      </c>
      <c r="AK187">
        <f>IFERROR(AK185/AK186,"")</f>
        <v/>
      </c>
      <c r="AL187">
        <f>IFERROR(AL185/AL186,"")</f>
        <v/>
      </c>
      <c r="AM187">
        <f>IFERROR(AM185/AM186,"")</f>
        <v/>
      </c>
      <c r="AN187">
        <f>IFERROR(AN185/AN186,"")</f>
        <v/>
      </c>
      <c r="AO187">
        <f>IFERROR(AO185/AO186,"")</f>
        <v/>
      </c>
      <c r="AP187">
        <f>IFERROR(AP185/AP186,"")</f>
        <v/>
      </c>
      <c r="AQ187">
        <f>IFERROR(AQ185/AQ186,"")</f>
        <v/>
      </c>
      <c r="AR187">
        <f>IFERROR(AR185/AR186,"")</f>
        <v/>
      </c>
      <c r="AS187">
        <f>IFERROR(AS185/AS186,"")</f>
        <v/>
      </c>
      <c r="AT187">
        <f>IFERROR(AT185/AT186,"")</f>
        <v/>
      </c>
      <c r="AU187">
        <f>IFERROR(AU185/AU186,"")</f>
        <v/>
      </c>
      <c r="AV187">
        <f>IFERROR(AV185/AV186,"")</f>
        <v/>
      </c>
      <c r="AW187">
        <f>IFERROR(AW185/AW186,"")</f>
        <v/>
      </c>
      <c r="AX187">
        <f>IFERROR(AX185/AX186,"")</f>
        <v/>
      </c>
      <c r="AY187">
        <f>IFERROR(AY185/AY186,"")</f>
        <v/>
      </c>
      <c r="AZ187">
        <f>IFERROR(AZ185/AZ186,"")</f>
        <v/>
      </c>
      <c r="BA187">
        <f>IFERROR(BA185/BA186,"")</f>
        <v/>
      </c>
      <c r="BB187">
        <f>IFERROR(BB185/BB186,"")</f>
        <v/>
      </c>
      <c r="BC187">
        <f>IFERROR(BC185/BC186,"")</f>
        <v/>
      </c>
      <c r="BD187">
        <f>IFERROR(BD185/BD186,"")</f>
        <v/>
      </c>
    </row>
    <row r="188">
      <c r="B188" t="inlineStr">
        <is>
          <t>As % of budget - YTD</t>
        </is>
      </c>
      <c r="D188" s="6" t="inlineStr">
        <is>
          <t>%</t>
        </is>
      </c>
      <c r="E188">
        <f>IFERROR(SUM($E$185:E185)/SUM($E$186:E186),"")</f>
        <v/>
      </c>
      <c r="F188">
        <f>IFERROR(SUM($E$185:F185)/SUM($E$186:F186),"")</f>
        <v/>
      </c>
      <c r="G188">
        <f>IFERROR(SUM($E$185:G185)/SUM($E$186:G186),"")</f>
        <v/>
      </c>
      <c r="H188">
        <f>IFERROR(SUM($E$185:H185)/SUM($E$186:H186),"")</f>
        <v/>
      </c>
      <c r="I188">
        <f>IFERROR(SUM($E$185:I185)/SUM($E$186:I186),"")</f>
        <v/>
      </c>
      <c r="J188">
        <f>IFERROR(SUM($E$185:J185)/SUM($E$186:J186),"")</f>
        <v/>
      </c>
      <c r="K188">
        <f>IFERROR(SUM($E$185:K185)/SUM($E$186:K186),"")</f>
        <v/>
      </c>
      <c r="L188">
        <f>IFERROR(SUM($E$185:L185)/SUM($E$186:L186),"")</f>
        <v/>
      </c>
      <c r="M188">
        <f>IFERROR(SUM($E$185:M185)/SUM($E$186:M186),"")</f>
        <v/>
      </c>
      <c r="N188">
        <f>IFERROR(SUM($E$185:N185)/SUM($E$186:N186),"")</f>
        <v/>
      </c>
      <c r="O188">
        <f>IFERROR(SUM($E$185:O185)/SUM($E$186:O186),"")</f>
        <v/>
      </c>
      <c r="P188">
        <f>IFERROR(SUM($E$185:P185)/SUM($E$186:P186),"")</f>
        <v/>
      </c>
      <c r="Q188">
        <f>IFERROR(SUM($E$185:Q185)/SUM($E$186:Q186),"")</f>
        <v/>
      </c>
      <c r="R188">
        <f>IFERROR(SUM($E$185:R185)/SUM($E$186:R186),"")</f>
        <v/>
      </c>
      <c r="S188">
        <f>IFERROR(SUM($E$185:S185)/SUM($E$186:S186),"")</f>
        <v/>
      </c>
      <c r="T188">
        <f>IFERROR(SUM($E$185:T185)/SUM($E$186:T186),"")</f>
        <v/>
      </c>
      <c r="U188">
        <f>IFERROR(SUM($E$185:U185)/SUM($E$186:U186),"")</f>
        <v/>
      </c>
      <c r="V188">
        <f>IFERROR(SUM($E$185:V185)/SUM($E$186:V186),"")</f>
        <v/>
      </c>
      <c r="W188">
        <f>IFERROR(SUM($E$185:W185)/SUM($E$186:W186),"")</f>
        <v/>
      </c>
      <c r="X188">
        <f>IFERROR(SUM($E$185:X185)/SUM($E$186:X186),"")</f>
        <v/>
      </c>
      <c r="Y188">
        <f>IFERROR(SUM($E$185:Y185)/SUM($E$186:Y186),"")</f>
        <v/>
      </c>
      <c r="Z188">
        <f>IFERROR(SUM($E$185:Z185)/SUM($E$186:Z186),"")</f>
        <v/>
      </c>
      <c r="AA188">
        <f>IFERROR(SUM($E$185:AA185)/SUM($E$186:AA186),"")</f>
        <v/>
      </c>
      <c r="AB188">
        <f>IFERROR(SUM($E$185:AB185)/SUM($E$186:AB186),"")</f>
        <v/>
      </c>
      <c r="AC188">
        <f>IFERROR(SUM($E$185:AC185)/SUM($E$186:AC186),"")</f>
        <v/>
      </c>
      <c r="AD188">
        <f>IFERROR(SUM($E$185:AD185)/SUM($E$186:AD186),"")</f>
        <v/>
      </c>
      <c r="AE188">
        <f>IFERROR(SUM($E$185:AE185)/SUM($E$186:AE186),"")</f>
        <v/>
      </c>
      <c r="AF188">
        <f>IFERROR(SUM($E$185:AF185)/SUM($E$186:AF186),"")</f>
        <v/>
      </c>
      <c r="AG188">
        <f>IFERROR(SUM($E$185:AG185)/SUM($E$186:AG186),"")</f>
        <v/>
      </c>
      <c r="AH188">
        <f>IFERROR(SUM($E$185:AH185)/SUM($E$186:AH186),"")</f>
        <v/>
      </c>
      <c r="AI188">
        <f>IFERROR(SUM($E$185:AI185)/SUM($E$186:AI186),"")</f>
        <v/>
      </c>
      <c r="AJ188">
        <f>IFERROR(SUM($E$185:AJ185)/SUM($E$186:AJ186),"")</f>
        <v/>
      </c>
      <c r="AK188">
        <f>IFERROR(SUM($E$185:AK185)/SUM($E$186:AK186),"")</f>
        <v/>
      </c>
      <c r="AL188">
        <f>IFERROR(SUM($E$185:AL185)/SUM($E$186:AL186),"")</f>
        <v/>
      </c>
      <c r="AM188">
        <f>IFERROR(SUM($E$185:AM185)/SUM($E$186:AM186),"")</f>
        <v/>
      </c>
      <c r="AN188">
        <f>IFERROR(SUM($E$185:AN185)/SUM($E$186:AN186),"")</f>
        <v/>
      </c>
      <c r="AO188">
        <f>IFERROR(SUM($E$185:AO185)/SUM($E$186:AO186),"")</f>
        <v/>
      </c>
      <c r="AP188">
        <f>IFERROR(SUM($E$185:AP185)/SUM($E$186:AP186),"")</f>
        <v/>
      </c>
      <c r="AQ188">
        <f>IFERROR(SUM($E$185:AQ185)/SUM($E$186:AQ186),"")</f>
        <v/>
      </c>
      <c r="AR188">
        <f>IFERROR(SUM($E$185:AR185)/SUM($E$186:AR186),"")</f>
        <v/>
      </c>
      <c r="AS188">
        <f>IFERROR(SUM($E$185:AS185)/SUM($E$186:AS186),"")</f>
        <v/>
      </c>
      <c r="AT188">
        <f>IFERROR(SUM($E$185:AT185)/SUM($E$186:AT186),"")</f>
        <v/>
      </c>
      <c r="AU188">
        <f>IFERROR(SUM($E$185:AU185)/SUM($E$186:AU186),"")</f>
        <v/>
      </c>
      <c r="AV188">
        <f>IFERROR(SUM($E$185:AV185)/SUM($E$186:AV186),"")</f>
        <v/>
      </c>
      <c r="AW188">
        <f>IFERROR(SUM($E$185:AW185)/SUM($E$186:AW186),"")</f>
        <v/>
      </c>
      <c r="AX188">
        <f>IFERROR(SUM($E$185:AX185)/SUM($E$186:AX186),"")</f>
        <v/>
      </c>
      <c r="AY188">
        <f>IFERROR(SUM($E$185:AY185)/SUM($E$186:AY186),"")</f>
        <v/>
      </c>
      <c r="AZ188">
        <f>IFERROR(SUM($E$185:AZ185)/SUM($E$186:AZ186),"")</f>
        <v/>
      </c>
      <c r="BA188">
        <f>IFERROR(SUM($E$185:BA185)/SUM($E$186:BA186),"")</f>
        <v/>
      </c>
      <c r="BB188">
        <f>IFERROR(SUM($E$185:BB185)/SUM($E$186:BB186),"")</f>
        <v/>
      </c>
      <c r="BC188">
        <f>IFERROR(SUM($E$185:BC185)/SUM($E$186:BC186),"")</f>
        <v/>
      </c>
      <c r="BD188">
        <f>IFERROR(SUM($E$185:BD185)/SUM($E$186:BD186),"")</f>
        <v/>
      </c>
    </row>
    <row r="190" ht="15.75" customFormat="1" customHeight="1" s="1">
      <c r="A190" s="1" t="inlineStr">
        <is>
          <t>Other Marketing - Commissions &amp; Samples, etc.</t>
        </is>
      </c>
      <c r="D190" s="24" t="inlineStr">
        <is>
          <t>$k</t>
        </is>
      </c>
    </row>
    <row r="191" ht="15.75" customFormat="1" customHeight="1" s="1">
      <c r="B191" s="41" t="inlineStr">
        <is>
          <t>Finance Actuals (Monthly)</t>
        </is>
      </c>
      <c r="D191" s="32" t="inlineStr">
        <is>
          <t>$k</t>
        </is>
      </c>
    </row>
    <row r="192" ht="15.75" customHeight="1">
      <c r="B192" s="40" t="inlineStr">
        <is>
          <t>Budgeted (Monthly)</t>
        </is>
      </c>
      <c r="C192" s="40" t="n"/>
      <c r="D192" s="10" t="inlineStr">
        <is>
          <t>$k</t>
        </is>
      </c>
      <c r="H192" t="n">
        <v>136.8333333333333</v>
      </c>
      <c r="L192" t="n">
        <v>136.8333333333333</v>
      </c>
      <c r="Q192" t="n">
        <v>136.8333333333333</v>
      </c>
      <c r="U192" t="n">
        <v>136.8333333333333</v>
      </c>
      <c r="Z192" t="n">
        <v>136.8333333333333</v>
      </c>
      <c r="AD192" t="n">
        <v>136.8333333333333</v>
      </c>
      <c r="AH192" t="n">
        <v>136.8333333333333</v>
      </c>
      <c r="AM192" t="n">
        <v>136.8333333333333</v>
      </c>
      <c r="AQ192" t="n">
        <v>136.8333333333333</v>
      </c>
      <c r="AU192" t="n">
        <v>136.8333333333333</v>
      </c>
      <c r="AZ192" t="n">
        <v>136.8333333333333</v>
      </c>
      <c r="BD192" t="n">
        <v>136.8333333333333</v>
      </c>
    </row>
    <row r="193">
      <c r="B193" t="inlineStr">
        <is>
          <t>As % of budget - this month</t>
        </is>
      </c>
      <c r="D193" s="6" t="inlineStr">
        <is>
          <t>%</t>
        </is>
      </c>
      <c r="E193">
        <f>IFERROR(E191/E192,"")</f>
        <v/>
      </c>
      <c r="F193">
        <f>IFERROR(F191/F192,"")</f>
        <v/>
      </c>
      <c r="G193">
        <f>IFERROR(G191/G192,"")</f>
        <v/>
      </c>
      <c r="H193">
        <f>IFERROR(H191/H192,"")</f>
        <v/>
      </c>
      <c r="I193">
        <f>IFERROR(I191/I192,"")</f>
        <v/>
      </c>
      <c r="J193">
        <f>IFERROR(J191/J192,"")</f>
        <v/>
      </c>
      <c r="K193">
        <f>IFERROR(K191/K192,"")</f>
        <v/>
      </c>
      <c r="L193">
        <f>IFERROR(L191/L192,"")</f>
        <v/>
      </c>
      <c r="M193">
        <f>IFERROR(M191/M192,"")</f>
        <v/>
      </c>
      <c r="N193">
        <f>IFERROR(N191/N192,"")</f>
        <v/>
      </c>
      <c r="O193">
        <f>IFERROR(O191/O192,"")</f>
        <v/>
      </c>
      <c r="P193">
        <f>IFERROR(P191/P192,"")</f>
        <v/>
      </c>
      <c r="Q193">
        <f>IFERROR(Q191/Q192,"")</f>
        <v/>
      </c>
      <c r="R193">
        <f>IFERROR(R191/R192,"")</f>
        <v/>
      </c>
      <c r="S193">
        <f>IFERROR(S191/S192,"")</f>
        <v/>
      </c>
      <c r="T193">
        <f>IFERROR(T191/T192,"")</f>
        <v/>
      </c>
      <c r="U193">
        <f>IFERROR(U191/U192,"")</f>
        <v/>
      </c>
      <c r="V193">
        <f>IFERROR(V191/V192,"")</f>
        <v/>
      </c>
      <c r="W193">
        <f>IFERROR(W191/W192,"")</f>
        <v/>
      </c>
      <c r="X193">
        <f>IFERROR(X191/X192,"")</f>
        <v/>
      </c>
      <c r="Y193">
        <f>IFERROR(Y191/Y192,"")</f>
        <v/>
      </c>
      <c r="Z193">
        <f>IFERROR(Z191/Z192,"")</f>
        <v/>
      </c>
      <c r="AA193">
        <f>IFERROR(AA191/AA192,"")</f>
        <v/>
      </c>
      <c r="AB193">
        <f>IFERROR(AB191/AB192,"")</f>
        <v/>
      </c>
      <c r="AC193">
        <f>IFERROR(AC191/AC192,"")</f>
        <v/>
      </c>
      <c r="AD193">
        <f>IFERROR(AD191/AD192,"")</f>
        <v/>
      </c>
      <c r="AE193">
        <f>IFERROR(AE191/AE192,"")</f>
        <v/>
      </c>
      <c r="AF193">
        <f>IFERROR(AF191/AF192,"")</f>
        <v/>
      </c>
      <c r="AG193">
        <f>IFERROR(AG191/AG192,"")</f>
        <v/>
      </c>
      <c r="AH193">
        <f>IFERROR(AH191/AH192,"")</f>
        <v/>
      </c>
      <c r="AI193">
        <f>IFERROR(AI191/AI192,"")</f>
        <v/>
      </c>
      <c r="AJ193">
        <f>IFERROR(AJ191/AJ192,"")</f>
        <v/>
      </c>
      <c r="AK193">
        <f>IFERROR(AK191/AK192,"")</f>
        <v/>
      </c>
      <c r="AL193">
        <f>IFERROR(AL191/AL192,"")</f>
        <v/>
      </c>
      <c r="AM193">
        <f>IFERROR(AM191/AM192,"")</f>
        <v/>
      </c>
      <c r="AN193">
        <f>IFERROR(AN191/AN192,"")</f>
        <v/>
      </c>
      <c r="AO193">
        <f>IFERROR(AO191/AO192,"")</f>
        <v/>
      </c>
      <c r="AP193">
        <f>IFERROR(AP191/AP192,"")</f>
        <v/>
      </c>
      <c r="AQ193">
        <f>IFERROR(AQ191/AQ192,"")</f>
        <v/>
      </c>
      <c r="AR193">
        <f>IFERROR(AR191/AR192,"")</f>
        <v/>
      </c>
      <c r="AS193">
        <f>IFERROR(AS191/AS192,"")</f>
        <v/>
      </c>
      <c r="AT193">
        <f>IFERROR(AT191/AT192,"")</f>
        <v/>
      </c>
      <c r="AU193">
        <f>IFERROR(AU191/AU192,"")</f>
        <v/>
      </c>
      <c r="AV193">
        <f>IFERROR(AV191/AV192,"")</f>
        <v/>
      </c>
      <c r="AW193">
        <f>IFERROR(AW191/AW192,"")</f>
        <v/>
      </c>
      <c r="AX193">
        <f>IFERROR(AX191/AX192,"")</f>
        <v/>
      </c>
      <c r="AY193">
        <f>IFERROR(AY191/AY192,"")</f>
        <v/>
      </c>
      <c r="AZ193">
        <f>IFERROR(AZ191/AZ192,"")</f>
        <v/>
      </c>
      <c r="BA193">
        <f>IFERROR(BA191/BA192,"")</f>
        <v/>
      </c>
      <c r="BB193">
        <f>IFERROR(BB191/BB192,"")</f>
        <v/>
      </c>
      <c r="BC193">
        <f>IFERROR(BC191/BC192,"")</f>
        <v/>
      </c>
      <c r="BD193">
        <f>IFERROR(BD191/BD192,"")</f>
        <v/>
      </c>
    </row>
    <row r="194">
      <c r="B194" t="inlineStr">
        <is>
          <t>As % of budget - YTD</t>
        </is>
      </c>
      <c r="D194" s="6" t="inlineStr">
        <is>
          <t>%</t>
        </is>
      </c>
      <c r="E194">
        <f>IFERROR(SUM($E$191:E191)/SUM($E$192:E192),"")</f>
        <v/>
      </c>
      <c r="F194">
        <f>IFERROR(SUM($E$191:F191)/SUM($E$192:F192),"")</f>
        <v/>
      </c>
      <c r="G194">
        <f>IFERROR(SUM($E$191:G191)/SUM($E$192:G192),"")</f>
        <v/>
      </c>
      <c r="H194">
        <f>IFERROR(SUM($E$191:H191)/SUM($E$192:H192),"")</f>
        <v/>
      </c>
      <c r="I194">
        <f>IFERROR(SUM($E$191:I191)/SUM($E$192:I192),"")</f>
        <v/>
      </c>
      <c r="J194">
        <f>IFERROR(SUM($E$191:J191)/SUM($E$192:J192),"")</f>
        <v/>
      </c>
      <c r="K194">
        <f>IFERROR(SUM($E$191:K191)/SUM($E$192:K192),"")</f>
        <v/>
      </c>
      <c r="L194">
        <f>IFERROR(SUM($E$191:L191)/SUM($E$192:L192),"")</f>
        <v/>
      </c>
      <c r="M194">
        <f>IFERROR(SUM($E$191:M191)/SUM($E$192:M192),"")</f>
        <v/>
      </c>
      <c r="N194">
        <f>IFERROR(SUM($E$191:N191)/SUM($E$192:N192),"")</f>
        <v/>
      </c>
      <c r="O194">
        <f>IFERROR(SUM($E$191:O191)/SUM($E$192:O192),"")</f>
        <v/>
      </c>
      <c r="P194">
        <f>IFERROR(SUM($E$191:P191)/SUM($E$192:P192),"")</f>
        <v/>
      </c>
      <c r="Q194">
        <f>IFERROR(SUM($E$191:Q191)/SUM($E$192:Q192),"")</f>
        <v/>
      </c>
      <c r="R194">
        <f>IFERROR(SUM($E$191:R191)/SUM($E$192:R192),"")</f>
        <v/>
      </c>
      <c r="S194">
        <f>IFERROR(SUM($E$191:S191)/SUM($E$192:S192),"")</f>
        <v/>
      </c>
      <c r="T194">
        <f>IFERROR(SUM($E$191:T191)/SUM($E$192:T192),"")</f>
        <v/>
      </c>
      <c r="U194">
        <f>IFERROR(SUM($E$191:U191)/SUM($E$192:U192),"")</f>
        <v/>
      </c>
      <c r="V194">
        <f>IFERROR(SUM($E$191:V191)/SUM($E$192:V192),"")</f>
        <v/>
      </c>
      <c r="W194">
        <f>IFERROR(SUM($E$191:W191)/SUM($E$192:W192),"")</f>
        <v/>
      </c>
      <c r="X194">
        <f>IFERROR(SUM($E$191:X191)/SUM($E$192:X192),"")</f>
        <v/>
      </c>
      <c r="Y194">
        <f>IFERROR(SUM($E$191:Y191)/SUM($E$192:Y192),"")</f>
        <v/>
      </c>
      <c r="Z194">
        <f>IFERROR(SUM($E$191:Z191)/SUM($E$192:Z192),"")</f>
        <v/>
      </c>
      <c r="AA194">
        <f>IFERROR(SUM($E$191:AA191)/SUM($E$192:AA192),"")</f>
        <v/>
      </c>
      <c r="AB194">
        <f>IFERROR(SUM($E$191:AB191)/SUM($E$192:AB192),"")</f>
        <v/>
      </c>
      <c r="AC194">
        <f>IFERROR(SUM($E$191:AC191)/SUM($E$192:AC192),"")</f>
        <v/>
      </c>
      <c r="AD194">
        <f>IFERROR(SUM($E$191:AD191)/SUM($E$192:AD192),"")</f>
        <v/>
      </c>
      <c r="AE194">
        <f>IFERROR(SUM($E$191:AE191)/SUM($E$192:AE192),"")</f>
        <v/>
      </c>
      <c r="AF194">
        <f>IFERROR(SUM($E$191:AF191)/SUM($E$192:AF192),"")</f>
        <v/>
      </c>
      <c r="AG194">
        <f>IFERROR(SUM($E$191:AG191)/SUM($E$192:AG192),"")</f>
        <v/>
      </c>
      <c r="AH194">
        <f>IFERROR(SUM($E$191:AH191)/SUM($E$192:AH192),"")</f>
        <v/>
      </c>
      <c r="AI194">
        <f>IFERROR(SUM($E$191:AI191)/SUM($E$192:AI192),"")</f>
        <v/>
      </c>
      <c r="AJ194">
        <f>IFERROR(SUM($E$191:AJ191)/SUM($E$192:AJ192),"")</f>
        <v/>
      </c>
      <c r="AK194">
        <f>IFERROR(SUM($E$191:AK191)/SUM($E$192:AK192),"")</f>
        <v/>
      </c>
      <c r="AL194">
        <f>IFERROR(SUM($E$191:AL191)/SUM($E$192:AL192),"")</f>
        <v/>
      </c>
      <c r="AM194">
        <f>IFERROR(SUM($E$191:AM191)/SUM($E$192:AM192),"")</f>
        <v/>
      </c>
      <c r="AN194">
        <f>IFERROR(SUM($E$191:AN191)/SUM($E$192:AN192),"")</f>
        <v/>
      </c>
      <c r="AO194">
        <f>IFERROR(SUM($E$191:AO191)/SUM($E$192:AO192),"")</f>
        <v/>
      </c>
      <c r="AP194">
        <f>IFERROR(SUM($E$191:AP191)/SUM($E$192:AP192),"")</f>
        <v/>
      </c>
      <c r="AQ194">
        <f>IFERROR(SUM($E$191:AQ191)/SUM($E$192:AQ192),"")</f>
        <v/>
      </c>
      <c r="AR194">
        <f>IFERROR(SUM($E$191:AR191)/SUM($E$192:AR192),"")</f>
        <v/>
      </c>
      <c r="AS194">
        <f>IFERROR(SUM($E$191:AS191)/SUM($E$192:AS192),"")</f>
        <v/>
      </c>
      <c r="AT194">
        <f>IFERROR(SUM($E$191:AT191)/SUM($E$192:AT192),"")</f>
        <v/>
      </c>
      <c r="AU194">
        <f>IFERROR(SUM($E$191:AU191)/SUM($E$192:AU192),"")</f>
        <v/>
      </c>
      <c r="AV194">
        <f>IFERROR(SUM($E$191:AV191)/SUM($E$192:AV192),"")</f>
        <v/>
      </c>
      <c r="AW194">
        <f>IFERROR(SUM($E$191:AW191)/SUM($E$192:AW192),"")</f>
        <v/>
      </c>
      <c r="AX194">
        <f>IFERROR(SUM($E$191:AX191)/SUM($E$192:AX192),"")</f>
        <v/>
      </c>
      <c r="AY194">
        <f>IFERROR(SUM($E$191:AY191)/SUM($E$192:AY192),"")</f>
        <v/>
      </c>
      <c r="AZ194">
        <f>IFERROR(SUM($E$191:AZ191)/SUM($E$192:AZ192),"")</f>
        <v/>
      </c>
      <c r="BA194">
        <f>IFERROR(SUM($E$191:BA191)/SUM($E$192:BA192),"")</f>
        <v/>
      </c>
      <c r="BB194">
        <f>IFERROR(SUM($E$191:BB191)/SUM($E$192:BB192),"")</f>
        <v/>
      </c>
      <c r="BC194">
        <f>IFERROR(SUM($E$191:BC191)/SUM($E$192:BC192),"")</f>
        <v/>
      </c>
      <c r="BD194">
        <f>IFERROR(SUM($E$191:BD191)/SUM($E$192:BD192),"")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2026-06-04T04:06:57Z</dcterms:modified>
</cp:coreProperties>
</file>