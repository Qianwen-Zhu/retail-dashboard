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b val="1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  <font>
      <name val="Aptos Narrow (Body)"/>
      <b val="1"/>
      <color theme="1"/>
      <sz val="12"/>
    </font>
    <font>
      <name val="Aptos Narrow"/>
      <color theme="1"/>
      <sz val="12"/>
    </font>
    <font>
      <name val="Aptos Narrow"/>
      <b val="1"/>
      <color theme="1"/>
      <sz val="12"/>
    </font>
    <font>
      <name val="Aptos Narrow"/>
      <color theme="4"/>
      <sz val="12"/>
    </font>
    <font>
      <name val="Aptos Narrow"/>
      <color theme="0" tint="-0.499984740745262"/>
      <sz val="12"/>
    </font>
    <font>
      <name val="Aptos Narrow"/>
      <i val="1"/>
      <color theme="1"/>
      <sz val="12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center"/>
    </xf>
    <xf numFmtId="0" fontId="11" fillId="3" borderId="0" pivotButton="0" quotePrefix="0" xfId="0"/>
    <xf numFmtId="0" fontId="12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1" fillId="4" borderId="0" pivotButton="0" quotePrefix="0" xfId="0"/>
    <xf numFmtId="0" fontId="12" fillId="4" borderId="0" applyAlignment="1" pivotButton="0" quotePrefix="0" xfId="0">
      <alignment horizontal="center"/>
    </xf>
    <xf numFmtId="0" fontId="1" fillId="5" borderId="0" pivotButton="0" quotePrefix="0" xfId="0"/>
    <xf numFmtId="0" fontId="11" fillId="5" borderId="0" pivotButton="0" quotePrefix="0" xfId="0"/>
    <xf numFmtId="0" fontId="12" fillId="5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1" fillId="6" borderId="0" pivotButton="0" quotePrefix="0" xfId="0"/>
    <xf numFmtId="0" fontId="12" fillId="6" borderId="0" applyAlignment="1" pivotButton="0" quotePrefix="0" xfId="0">
      <alignment horizontal="center"/>
    </xf>
    <xf numFmtId="0" fontId="1" fillId="7" borderId="0" pivotButton="0" quotePrefix="0" xfId="0"/>
    <xf numFmtId="0" fontId="11" fillId="7" borderId="0" pivotButton="0" quotePrefix="0" xfId="0"/>
    <xf numFmtId="0" fontId="12" fillId="7" borderId="0" applyAlignment="1" pivotButton="0" quotePrefix="0" xfId="0">
      <alignment horizontal="center"/>
    </xf>
    <xf numFmtId="0" fontId="1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4" fillId="8" borderId="0" pivotButton="0" quotePrefix="0" xfId="0"/>
    <xf numFmtId="0" fontId="9" fillId="8" borderId="0" applyAlignment="1" pivotButton="0" quotePrefix="0" xfId="0">
      <alignment horizontal="center"/>
    </xf>
    <xf numFmtId="0" fontId="9" fillId="8" borderId="0" pivotButton="0" quotePrefix="0" xfId="0"/>
    <xf numFmtId="0" fontId="5" fillId="8" borderId="0" pivotButton="0" quotePrefix="0" xfId="0"/>
    <xf numFmtId="0" fontId="7" fillId="8" borderId="0" applyAlignment="1" pivotButton="0" quotePrefix="0" xfId="0">
      <alignment horizont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3" fontId="15" fillId="0" borderId="0" pivotButton="0" quotePrefix="0" xfId="0"/>
    <xf numFmtId="3" fontId="16" fillId="0" borderId="0" pivotButton="0" quotePrefix="0" xfId="0"/>
    <xf numFmtId="9" fontId="17" fillId="0" borderId="0" pivotButton="0" quotePrefix="0" xfId="0"/>
    <xf numFmtId="3" fontId="18" fillId="0" borderId="0" pivotButton="0" quotePrefix="0" xfId="0"/>
    <xf numFmtId="9" fontId="15" fillId="0" borderId="0" pivotButton="0" quotePrefix="0" xfId="0"/>
    <xf numFmtId="9" fontId="18" fillId="0" borderId="0" pivotButton="0" quotePrefix="0" xfId="0"/>
    <xf numFmtId="9" fontId="19" fillId="0" borderId="0" pivotButton="0" quotePrefix="0" xfId="0"/>
    <xf numFmtId="3" fontId="16" fillId="8" borderId="0" pivotButton="0" quotePrefix="0" xfId="0"/>
    <xf numFmtId="9" fontId="15" fillId="8" borderId="0" pivotButton="0" quotePrefix="0" xfId="0"/>
    <xf numFmtId="9" fontId="17" fillId="8" borderId="0" pivotButton="0" quotePrefix="0" xfId="0"/>
    <xf numFmtId="9" fontId="18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CAC tracker</author>
    <author>tc={B79BA3E3-E585-964D-9C92-483DFB65026F}</author>
    <author>tc={017799DC-20F9-774D-B346-E298DE127B5D}</author>
    <author>tc={634ACAA1-0E94-4376-ACB7-71D8813F2AF1}</author>
    <author>tc={82AF0F11-C6B4-F04D-A9ED-3915416AF9D9}</author>
    <author>tc={386011EC-DBE4-41A2-83DF-66AEF797BEDD}</author>
    <author>tc={1AFEDADD-C365-E749-8232-528FAE26FA5F}</author>
    <author>tc={7DA3C9F3-4C95-4438-8FD7-0EA0ADAF259C}</author>
    <author>tc={380AB180-B1D9-2D42-90D3-AB6531D1AE69}</author>
    <author>tc={67A3F2EF-43BD-4596-8C9E-95EE0B936536}</author>
    <author>tc={4D860FE9-95F1-44AC-8668-2173C60219B6}</author>
    <author>tc={7D78CC43-3312-0244-804C-8514DA03F6E7}</author>
  </authors>
  <commentList>
    <comment ref="B16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B4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4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57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7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88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99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9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24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35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5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6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71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9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1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11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12"/>
  <sheetViews>
    <sheetView tabSelected="1" workbookViewId="0">
      <pane xSplit="4" ySplit="6" topLeftCell="E41" activePane="bottomRight" state="frozen"/>
      <selection pane="bottomRight" activeCell="A48" sqref="A44:XFD48"/>
      <selection pane="bottomLeft" activeCell="A7" sqref="A7"/>
      <selection pane="topRight" activeCell="E1" sqref="E1"/>
    </sheetView>
  </sheetViews>
  <sheetFormatPr baseColWidth="8" defaultColWidth="11" defaultRowHeight="15.95"/>
  <cols>
    <col width="34.25" bestFit="1" customWidth="1" min="1" max="1"/>
    <col width="17" customWidth="1" min="2" max="2"/>
    <col width="8" customWidth="1" min="3" max="3"/>
    <col width="8" customWidth="1" style="6" min="4" max="4"/>
    <col width="8.625" customWidth="1" min="5" max="5"/>
  </cols>
  <sheetData>
    <row r="1" ht="15.75" customFormat="1" customHeight="1" s="1">
      <c r="B1" s="4" t="inlineStr">
        <is>
          <t>Weeks ending</t>
        </is>
      </c>
      <c r="C1" s="4" t="n"/>
      <c r="D1" s="5" t="n"/>
      <c r="E1" s="2" t="n">
        <v>46026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 ht="15.75" customHeight="1">
      <c r="A2" s="1" t="n"/>
      <c r="D2" s="5" t="inlineStr">
        <is>
          <t>Unit</t>
        </is>
      </c>
    </row>
    <row r="3" ht="15.75" customFormat="1" customHeight="1" s="31">
      <c r="A3" s="31" t="inlineStr">
        <is>
          <t>Sell-in value -- all channels, incl. Int;l</t>
        </is>
      </c>
      <c r="D3" s="32" t="inlineStr">
        <is>
          <t>$k</t>
        </is>
      </c>
      <c r="E3" s="51" t="n">
        <v>4956.05008929662</v>
      </c>
      <c r="F3" s="51" t="n">
        <v>2237.4512113112</v>
      </c>
      <c r="G3" s="51" t="n">
        <v>2335.4586737674</v>
      </c>
      <c r="H3" s="51" t="n">
        <v>1649.07083781414</v>
      </c>
      <c r="I3" s="51" t="n">
        <v>4150.7015449296</v>
      </c>
      <c r="J3" s="51" t="n">
        <v>2442.7975764364</v>
      </c>
      <c r="K3" s="51" t="n">
        <v>2422.39902996014</v>
      </c>
      <c r="L3" s="51" t="n">
        <v>3638.85222668684</v>
      </c>
      <c r="M3" s="51" t="n">
        <v>3854.504668764</v>
      </c>
      <c r="N3" s="51" t="n">
        <v>5146.87236335751</v>
      </c>
      <c r="O3" s="51" t="n">
        <v>1873.12654342892</v>
      </c>
      <c r="P3" s="51" t="n">
        <v>3799.64861455711</v>
      </c>
      <c r="Q3" s="51" t="n">
        <v>2194.51577538332</v>
      </c>
      <c r="R3" s="51" t="n">
        <v>2690.88277960665</v>
      </c>
      <c r="S3" s="51" t="n">
        <v>2624.02298683649</v>
      </c>
      <c r="T3" s="51" t="n">
        <v>3427.01404612472</v>
      </c>
      <c r="U3" s="51" t="n">
        <v>3319.94226771397</v>
      </c>
      <c r="V3" s="51" t="n">
        <v>4744.59565836478</v>
      </c>
      <c r="W3" s="51" t="n">
        <v>5035.0203536147</v>
      </c>
      <c r="X3" s="51" t="n">
        <v>2871.07439712839</v>
      </c>
      <c r="Y3" s="51" t="n">
        <v>7353.19002671799</v>
      </c>
      <c r="Z3" s="51" t="n">
        <v>2421.73377689049</v>
      </c>
      <c r="AA3" s="51" t="n">
        <v>3367.28869934177</v>
      </c>
      <c r="AB3" s="51" t="n">
        <v>3940.33572160591</v>
      </c>
      <c r="AC3" s="51" t="n">
        <v>3457.98138264356</v>
      </c>
      <c r="AD3" s="51" t="n">
        <v>5206.61822490854</v>
      </c>
      <c r="AE3" s="51" t="n"/>
      <c r="AF3" s="51" t="n"/>
      <c r="AG3" s="51" t="n"/>
      <c r="AH3" s="51" t="n"/>
      <c r="AI3" s="51" t="n"/>
      <c r="AJ3" s="51" t="n"/>
      <c r="AK3" s="51" t="n"/>
      <c r="AL3" s="51" t="n"/>
      <c r="AM3" s="51" t="n"/>
      <c r="AN3" s="51" t="n"/>
      <c r="AO3" s="51" t="n"/>
      <c r="AP3" s="51" t="n"/>
      <c r="AQ3" s="51" t="n"/>
      <c r="AR3" s="51" t="n"/>
      <c r="AS3" s="51" t="n"/>
      <c r="AT3" s="51" t="n"/>
      <c r="AU3" s="51" t="n"/>
      <c r="AV3" s="51" t="n"/>
      <c r="AW3" s="51" t="n"/>
      <c r="AX3" s="51" t="n"/>
      <c r="AY3" s="51" t="n"/>
      <c r="AZ3" s="51" t="n"/>
      <c r="BA3" s="51" t="n"/>
      <c r="BB3" s="51" t="n"/>
      <c r="BC3" s="51" t="n"/>
      <c r="BD3" s="51" t="n"/>
      <c r="BE3" s="51" t="n"/>
    </row>
    <row r="4" ht="15.75" customFormat="1" customHeight="1" s="31">
      <c r="A4" s="31" t="inlineStr">
        <is>
          <t>Sell-through units -- all channels, incl. Int;l</t>
        </is>
      </c>
      <c r="D4" s="32" t="inlineStr">
        <is>
          <t>#</t>
        </is>
      </c>
      <c r="E4" s="51" t="n">
        <v>151092</v>
      </c>
      <c r="F4" s="51" t="n">
        <v>86489</v>
      </c>
      <c r="G4" s="51" t="n">
        <v>86832</v>
      </c>
      <c r="H4" s="51" t="n">
        <v>74266</v>
      </c>
      <c r="I4" s="51" t="n">
        <v>70348</v>
      </c>
      <c r="J4" s="51" t="n">
        <v>73177</v>
      </c>
      <c r="K4" s="51" t="n">
        <v>79963</v>
      </c>
      <c r="L4" s="51" t="n">
        <v>85942</v>
      </c>
      <c r="M4" s="51" t="n">
        <v>102606</v>
      </c>
      <c r="N4" s="51" t="n">
        <v>82583</v>
      </c>
      <c r="O4" s="51" t="n">
        <v>80885</v>
      </c>
      <c r="P4" s="51" t="n">
        <v>78769</v>
      </c>
      <c r="Q4" s="51" t="n">
        <v>95259</v>
      </c>
      <c r="R4" s="51" t="n">
        <v>86669</v>
      </c>
      <c r="S4" s="51" t="n">
        <v>86035</v>
      </c>
      <c r="T4" s="51" t="n">
        <v>91779</v>
      </c>
      <c r="U4" s="51" t="n">
        <v>73041</v>
      </c>
      <c r="V4" s="51" t="n">
        <v>79014</v>
      </c>
      <c r="W4" s="51" t="n">
        <v>73092</v>
      </c>
      <c r="X4" s="51" t="n">
        <v>74602</v>
      </c>
      <c r="Y4" s="51" t="n">
        <v>89317</v>
      </c>
      <c r="Z4" s="51" t="n">
        <v>83983</v>
      </c>
      <c r="AA4" s="51" t="n">
        <v>79864</v>
      </c>
      <c r="AB4" s="51" t="n">
        <v>78032</v>
      </c>
      <c r="AC4" s="51" t="n">
        <v>102993</v>
      </c>
      <c r="AD4" s="51" t="n">
        <v>171334</v>
      </c>
      <c r="AE4" s="51" t="n"/>
      <c r="AF4" s="51" t="n"/>
      <c r="AG4" s="51" t="n"/>
      <c r="AH4" s="51" t="n"/>
      <c r="AI4" s="51" t="n"/>
      <c r="AJ4" s="51" t="n"/>
      <c r="AK4" s="51" t="n"/>
      <c r="AL4" s="51" t="n"/>
      <c r="AM4" s="51" t="n"/>
      <c r="AN4" s="51" t="n"/>
      <c r="AO4" s="51" t="n"/>
      <c r="AP4" s="51" t="n"/>
      <c r="AQ4" s="51" t="n"/>
      <c r="AR4" s="51" t="n"/>
      <c r="AS4" s="51" t="n"/>
      <c r="AT4" s="51" t="n"/>
      <c r="AU4" s="51" t="n"/>
      <c r="AV4" s="51" t="n"/>
      <c r="AW4" s="51" t="n"/>
      <c r="AX4" s="51" t="n"/>
      <c r="AY4" s="51" t="n"/>
      <c r="AZ4" s="51" t="n"/>
      <c r="BA4" s="51" t="n"/>
      <c r="BB4" s="51" t="n"/>
      <c r="BC4" s="51" t="n"/>
      <c r="BD4" s="51" t="n"/>
      <c r="BE4" s="51" t="n"/>
    </row>
    <row r="5" ht="15.75" customFormat="1" customHeight="1" s="31">
      <c r="A5" s="31" t="inlineStr">
        <is>
          <t>New Customers -- all channels, incl. Int;l</t>
        </is>
      </c>
      <c r="D5" s="32" t="inlineStr">
        <is>
          <t># ppl</t>
        </is>
      </c>
      <c r="E5" s="51" t="n">
        <v>31917</v>
      </c>
      <c r="F5" s="51" t="n">
        <v>29726</v>
      </c>
      <c r="G5" s="51" t="n">
        <v>27296</v>
      </c>
      <c r="H5" s="51" t="n">
        <v>24916</v>
      </c>
      <c r="I5" s="51" t="n">
        <v>22553</v>
      </c>
      <c r="J5" s="51" t="n">
        <v>23949</v>
      </c>
      <c r="K5" s="51" t="n">
        <v>24003</v>
      </c>
      <c r="L5" s="51" t="n">
        <v>25882</v>
      </c>
      <c r="M5" s="51" t="n">
        <v>26430</v>
      </c>
      <c r="N5" s="51" t="n">
        <v>27237</v>
      </c>
      <c r="O5" s="51" t="n">
        <v>26206</v>
      </c>
      <c r="P5" s="51" t="n">
        <v>24836</v>
      </c>
      <c r="Q5" s="51" t="n">
        <v>26298</v>
      </c>
      <c r="R5" s="51" t="n">
        <v>26821</v>
      </c>
      <c r="S5" s="51" t="n">
        <v>26145</v>
      </c>
      <c r="T5" s="51" t="n">
        <v>26511</v>
      </c>
      <c r="U5" s="51" t="n">
        <v>25456</v>
      </c>
      <c r="V5" s="51" t="n">
        <v>24824</v>
      </c>
      <c r="W5" s="51" t="n">
        <v>24498</v>
      </c>
      <c r="X5" s="51" t="n">
        <v>24033</v>
      </c>
      <c r="Y5" s="51" t="n">
        <v>24727</v>
      </c>
      <c r="Z5" s="51" t="n">
        <v>25823</v>
      </c>
      <c r="AA5" s="51" t="n">
        <v>26239</v>
      </c>
      <c r="AB5" s="51" t="n">
        <v>25269</v>
      </c>
      <c r="AC5" s="51" t="n">
        <v>26792</v>
      </c>
      <c r="AD5" s="51" t="n">
        <v>30497</v>
      </c>
      <c r="AE5" s="51" t="n"/>
      <c r="AF5" s="51" t="n"/>
      <c r="AG5" s="51" t="n"/>
      <c r="AH5" s="51" t="n"/>
      <c r="AI5" s="51" t="n"/>
      <c r="AJ5" s="51" t="n"/>
      <c r="AK5" s="51" t="n"/>
      <c r="AL5" s="51" t="n"/>
      <c r="AM5" s="51" t="n"/>
      <c r="AN5" s="51" t="n"/>
      <c r="AO5" s="51" t="n"/>
      <c r="AP5" s="51" t="n"/>
      <c r="AQ5" s="51" t="n"/>
      <c r="AR5" s="51" t="n"/>
      <c r="AS5" s="51" t="n"/>
      <c r="AT5" s="51" t="n"/>
      <c r="AU5" s="51" t="n"/>
      <c r="AV5" s="51" t="n"/>
      <c r="AW5" s="51" t="n"/>
      <c r="AX5" s="51" t="n"/>
      <c r="AY5" s="51" t="n"/>
      <c r="AZ5" s="51" t="n"/>
      <c r="BA5" s="51" t="n"/>
      <c r="BB5" s="51" t="n"/>
      <c r="BC5" s="51" t="n"/>
      <c r="BD5" s="51" t="n"/>
      <c r="BE5" s="51" t="n"/>
    </row>
    <row r="6" ht="6.95" customHeight="1">
      <c r="A6" s="1" t="n"/>
      <c r="D6" s="5" t="n"/>
    </row>
    <row r="7" ht="15.75" customFormat="1" customHeight="1" s="19">
      <c r="A7" s="18" t="inlineStr">
        <is>
          <t>Total Retail and TTS  (excl. Amazon 3P &amp; International)</t>
        </is>
      </c>
      <c r="D7" s="20" t="n"/>
    </row>
    <row r="8" ht="15.75" customHeight="1">
      <c r="A8" s="1" t="inlineStr">
        <is>
          <t>Sell-in value</t>
        </is>
      </c>
      <c r="D8" s="24" t="inlineStr">
        <is>
          <t>$k</t>
        </is>
      </c>
      <c r="E8" s="52">
        <f>E30+E78+E114+E150+E180</f>
        <v/>
      </c>
      <c r="F8" s="52">
        <f>F30+F78+F114+F150+F180</f>
        <v/>
      </c>
      <c r="G8" s="52">
        <f>G30+G78+G114+G150+G180</f>
        <v/>
      </c>
      <c r="H8" s="52">
        <f>H30+H78+H114+H150+H180</f>
        <v/>
      </c>
      <c r="I8" s="52">
        <f>I30+I78+I114+I150+I180</f>
        <v/>
      </c>
      <c r="J8" s="52">
        <f>J30+J78+J114+J150+J180</f>
        <v/>
      </c>
      <c r="K8" s="52">
        <f>K30+K78+K114+K150+K180</f>
        <v/>
      </c>
      <c r="L8" s="52">
        <f>L30+L78+L114+L150+L180</f>
        <v/>
      </c>
      <c r="M8" s="52">
        <f>M30+M78+M114+M150+M180</f>
        <v/>
      </c>
      <c r="N8" s="52">
        <f>N30+N78+N114+N150+N180</f>
        <v/>
      </c>
      <c r="O8" s="52">
        <f>O30+O78+O114+O150+O180</f>
        <v/>
      </c>
      <c r="P8" s="52">
        <f>P30+P78+P114+P150+P180</f>
        <v/>
      </c>
      <c r="Q8" s="52">
        <f>Q30+Q78+Q114+Q150+Q180</f>
        <v/>
      </c>
      <c r="R8" s="52">
        <f>R30+R78+R114+R150+R180</f>
        <v/>
      </c>
      <c r="S8" s="52">
        <f>S30+S78+S114+S150+S180</f>
        <v/>
      </c>
      <c r="T8" s="52">
        <f>T30+T78+T114+T150+T180</f>
        <v/>
      </c>
      <c r="U8" s="52">
        <f>U30+U78+U114+U150+U180</f>
        <v/>
      </c>
      <c r="V8" s="52">
        <f>V30+V78+V114+V150+V180</f>
        <v/>
      </c>
      <c r="W8" s="52">
        <f>W30+W78+W114+W150+W180</f>
        <v/>
      </c>
      <c r="X8" s="52">
        <f>X30+X78+X114+X150+X180</f>
        <v/>
      </c>
      <c r="Y8" s="52">
        <f>Y30+Y78+Y114+Y150+Y180</f>
        <v/>
      </c>
      <c r="Z8" s="52">
        <f>Z30+Z78+Z114+Z150+Z180</f>
        <v/>
      </c>
      <c r="AA8" s="52">
        <f>AA30+AA78+AA114+AA150+AA180</f>
        <v/>
      </c>
      <c r="AB8" s="52">
        <f>AB30+AB78+AB114+AB150+AB180</f>
        <v/>
      </c>
      <c r="AC8" s="52">
        <f>AC30+AC78+AC114+AC150+AC180</f>
        <v/>
      </c>
      <c r="AD8" s="52">
        <f>AD30+AD78+AD114+AD150+AD180</f>
        <v/>
      </c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2" t="n"/>
      <c r="BB8" s="52" t="n"/>
      <c r="BC8" s="52" t="n"/>
      <c r="BD8" s="52" t="n"/>
      <c r="BE8" s="52" t="n"/>
    </row>
    <row r="9" ht="15.75" customFormat="1" customHeight="1" s="7">
      <c r="B9" s="7" t="inlineStr">
        <is>
          <t>% of Target</t>
        </is>
      </c>
      <c r="D9" s="8" t="inlineStr">
        <is>
          <t>%</t>
        </is>
      </c>
      <c r="E9" s="53">
        <f>IFERROR(E8/E11,"")</f>
        <v/>
      </c>
      <c r="F9" s="53">
        <f>IFERROR(F8/F11,"")</f>
        <v/>
      </c>
      <c r="G9" s="53">
        <f>IFERROR(G8/G11,"")</f>
        <v/>
      </c>
      <c r="H9" s="53">
        <f>IFERROR(H8/H11,"")</f>
        <v/>
      </c>
      <c r="I9" s="53">
        <f>IFERROR(I8/I11,"")</f>
        <v/>
      </c>
      <c r="J9" s="53">
        <f>IFERROR(J8/J11,"")</f>
        <v/>
      </c>
      <c r="K9" s="53">
        <f>IFERROR(K8/K11,"")</f>
        <v/>
      </c>
      <c r="L9" s="53">
        <f>IFERROR(L8/L11,"")</f>
        <v/>
      </c>
      <c r="M9" s="53">
        <f>IFERROR(M8/M11,"")</f>
        <v/>
      </c>
      <c r="N9" s="53">
        <f>IFERROR(N8/N11,"")</f>
        <v/>
      </c>
      <c r="O9" s="53">
        <f>IFERROR(O8/O11,"")</f>
        <v/>
      </c>
      <c r="P9" s="53">
        <f>IFERROR(P8/P11,"")</f>
        <v/>
      </c>
      <c r="Q9" s="53">
        <f>IFERROR(Q8/Q11,"")</f>
        <v/>
      </c>
      <c r="R9" s="53">
        <f>IFERROR(R8/R11,"")</f>
        <v/>
      </c>
      <c r="S9" s="53">
        <f>IFERROR(S8/S11,"")</f>
        <v/>
      </c>
      <c r="T9" s="53">
        <f>IFERROR(T8/T11,"")</f>
        <v/>
      </c>
      <c r="U9" s="53">
        <f>IFERROR(U8/U11,"")</f>
        <v/>
      </c>
      <c r="V9" s="53">
        <f>IFERROR(V8/V11,"")</f>
        <v/>
      </c>
      <c r="W9" s="53">
        <f>IFERROR(W8/W11,"")</f>
        <v/>
      </c>
      <c r="X9" s="53">
        <f>IFERROR(X8/X11,"")</f>
        <v/>
      </c>
      <c r="Y9" s="53">
        <f>IFERROR(Y8/Y11,"")</f>
        <v/>
      </c>
      <c r="Z9" s="53">
        <f>IFERROR(Z8/Z11,"")</f>
        <v/>
      </c>
      <c r="AA9" s="53">
        <f>IFERROR(AA8/AA11,"")</f>
        <v/>
      </c>
      <c r="AB9" s="53">
        <f>IFERROR(AB8/AB11,"")</f>
        <v/>
      </c>
      <c r="AC9" s="53">
        <f>IFERROR(AC8/AC11,"")</f>
        <v/>
      </c>
      <c r="AD9" s="53">
        <f>IFERROR(AD8/AD11,"")</f>
        <v/>
      </c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</row>
    <row r="10" ht="15.75" customFormat="1" customHeight="1" s="7">
      <c r="B10" s="7" t="inlineStr">
        <is>
          <t>% of Target - YTD</t>
        </is>
      </c>
      <c r="D10" s="8" t="inlineStr">
        <is>
          <t>%</t>
        </is>
      </c>
      <c r="E10" s="53">
        <f>IFERROR(SUM($E$8:E8)/SUM($E$11:E11),"")</f>
        <v/>
      </c>
      <c r="F10" s="53">
        <f>IFERROR(SUM($E$8:F8)/SUM($E$11:F11),"")</f>
        <v/>
      </c>
      <c r="G10" s="53">
        <f>IFERROR(SUM($E$8:G8)/SUM($E$11:G11),"")</f>
        <v/>
      </c>
      <c r="H10" s="53">
        <f>IFERROR(SUM($E$8:H8)/SUM($E$11:H11),"")</f>
        <v/>
      </c>
      <c r="I10" s="53">
        <f>IFERROR(SUM($E$8:I8)/SUM($E$11:I11),"")</f>
        <v/>
      </c>
      <c r="J10" s="53">
        <f>IFERROR(SUM($E$8:J8)/SUM($E$11:J11),"")</f>
        <v/>
      </c>
      <c r="K10" s="53">
        <f>IFERROR(SUM($E$8:K8)/SUM($E$11:K11),"")</f>
        <v/>
      </c>
      <c r="L10" s="53">
        <f>IFERROR(SUM($E$8:L8)/SUM($E$11:L11),"")</f>
        <v/>
      </c>
      <c r="M10" s="53">
        <f>IFERROR(SUM($E$8:M8)/SUM($E$11:M11),"")</f>
        <v/>
      </c>
      <c r="N10" s="53">
        <f>IFERROR(SUM($E$8:N8)/SUM($E$11:N11),"")</f>
        <v/>
      </c>
      <c r="O10" s="53">
        <f>IFERROR(SUM($E$8:O8)/SUM($E$11:O11),"")</f>
        <v/>
      </c>
      <c r="P10" s="53">
        <f>IFERROR(SUM($E$8:P8)/SUM($E$11:P11),"")</f>
        <v/>
      </c>
      <c r="Q10" s="53">
        <f>IFERROR(SUM($E$8:Q8)/SUM($E$11:Q11),"")</f>
        <v/>
      </c>
      <c r="R10" s="53">
        <f>IFERROR(SUM($E$8:R8)/SUM($E$11:R11),"")</f>
        <v/>
      </c>
      <c r="S10" s="53">
        <f>IFERROR(SUM($E$8:S8)/SUM($E$11:S11),"")</f>
        <v/>
      </c>
      <c r="T10" s="53">
        <f>IFERROR(SUM($E$8:T8)/SUM($E$11:T11),"")</f>
        <v/>
      </c>
      <c r="U10" s="53">
        <f>IFERROR(SUM($E$8:U8)/SUM($E$11:U11),"")</f>
        <v/>
      </c>
      <c r="V10" s="53">
        <f>IFERROR(SUM($E$8:V8)/SUM($E$11:V11),"")</f>
        <v/>
      </c>
      <c r="W10" s="53">
        <f>IFERROR(SUM($E$8:W8)/SUM($E$11:W11),"")</f>
        <v/>
      </c>
      <c r="X10" s="53">
        <f>IFERROR(SUM($E$8:X8)/SUM($E$11:X11),"")</f>
        <v/>
      </c>
      <c r="Y10" s="53">
        <f>IFERROR(SUM($E$8:Y8)/SUM($E$11:Y11),"")</f>
        <v/>
      </c>
      <c r="Z10" s="53">
        <f>IFERROR(SUM($E$8:Z8)/SUM($E$11:Z11),"")</f>
        <v/>
      </c>
      <c r="AA10" s="53">
        <f>IFERROR(SUM($E$8:AA8)/SUM($E$11:AA11),"")</f>
        <v/>
      </c>
      <c r="AB10" s="53">
        <f>IFERROR(SUM($E$8:AB8)/SUM($E$11:AB11),"")</f>
        <v/>
      </c>
      <c r="AC10" s="53">
        <f>IFERROR(SUM($E$8:AC8)/SUM($E$11:AC11),"")</f>
        <v/>
      </c>
      <c r="AD10" s="53">
        <f>IFERROR(SUM($E$8:AD8)/SUM($E$11:AD11),"")</f>
        <v/>
      </c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</row>
    <row r="11" ht="15.75" customFormat="1" customHeight="1" s="9">
      <c r="B11" s="9" t="inlineStr">
        <is>
          <t>Target</t>
        </is>
      </c>
      <c r="D11" s="10" t="inlineStr">
        <is>
          <t>$k</t>
        </is>
      </c>
      <c r="E11" s="54">
        <f>E34+E82+E118+E154+E184</f>
        <v/>
      </c>
      <c r="F11" s="54">
        <f>F34+F82+F118+F154+F184</f>
        <v/>
      </c>
      <c r="G11" s="54">
        <f>G34+G82+G118+G154+G184</f>
        <v/>
      </c>
      <c r="H11" s="54">
        <f>H34+H82+H118+H154+H184</f>
        <v/>
      </c>
      <c r="I11" s="54">
        <f>I34+I82+I118+I154+I184</f>
        <v/>
      </c>
      <c r="J11" s="54">
        <f>J34+J82+J118+J154+J184</f>
        <v/>
      </c>
      <c r="K11" s="54">
        <f>K34+K82+K118+K154+K184</f>
        <v/>
      </c>
      <c r="L11" s="54">
        <f>L34+L82+L118+L154+L184</f>
        <v/>
      </c>
      <c r="M11" s="54">
        <f>M34+M82+M118+M154+M184</f>
        <v/>
      </c>
      <c r="N11" s="54">
        <f>N34+N82+N118+N154+N184</f>
        <v/>
      </c>
      <c r="O11" s="54">
        <f>O34+O82+O118+O154+O184</f>
        <v/>
      </c>
      <c r="P11" s="54">
        <f>P34+P82+P118+P154+P184</f>
        <v/>
      </c>
      <c r="Q11" s="54">
        <f>Q34+Q82+Q118+Q154+Q184</f>
        <v/>
      </c>
      <c r="R11" s="54">
        <f>R34+R82+R118+R154+R184</f>
        <v/>
      </c>
      <c r="S11" s="54">
        <f>S34+S82+S118+S154+S184</f>
        <v/>
      </c>
      <c r="T11" s="54">
        <f>T34+T82+T118+T154+T184</f>
        <v/>
      </c>
      <c r="U11" s="54">
        <f>U34+U82+U118+U154+U184</f>
        <v/>
      </c>
      <c r="V11" s="54">
        <f>V34+V82+V118+V154+V184</f>
        <v/>
      </c>
      <c r="W11" s="54">
        <f>W34+W82+W118+W154+W184</f>
        <v/>
      </c>
      <c r="X11" s="54">
        <f>X34+X82+X118+X154+X184</f>
        <v/>
      </c>
      <c r="Y11" s="54">
        <f>Y34+Y82+Y118+Y154+Y184</f>
        <v/>
      </c>
      <c r="Z11" s="54">
        <f>Z34+Z82+Z118+Z154+Z184</f>
        <v/>
      </c>
      <c r="AA11" s="54">
        <f>AA34+AA82+AA118+AA154+AA184</f>
        <v/>
      </c>
      <c r="AB11" s="54">
        <f>AB34+AB82+AB118+AB154+AB184</f>
        <v/>
      </c>
      <c r="AC11" s="54">
        <f>AC34+AC82+AC118+AC154+AC184</f>
        <v/>
      </c>
      <c r="AD11" s="54">
        <f>AD34+AD82+AD118+AD154+AD184</f>
        <v/>
      </c>
      <c r="AE11" s="54">
        <f>AE34+AE82+AE118+AE154+AE184</f>
        <v/>
      </c>
      <c r="AF11" s="54">
        <f>AF34+AF82+AF118+AF154+AF184</f>
        <v/>
      </c>
      <c r="AG11" s="54">
        <f>AG34+AG82+AG118+AG154+AG184</f>
        <v/>
      </c>
      <c r="AH11" s="54">
        <f>AH34+AH82+AH118+AH154+AH184</f>
        <v/>
      </c>
      <c r="AI11" s="54">
        <f>AI34+AI82+AI118+AI154+AI184</f>
        <v/>
      </c>
      <c r="AJ11" s="54">
        <f>AJ34+AJ82+AJ118+AJ154+AJ184</f>
        <v/>
      </c>
      <c r="AK11" s="54">
        <f>AK34+AK82+AK118+AK154+AK184</f>
        <v/>
      </c>
      <c r="AL11" s="54">
        <f>AL34+AL82+AL118+AL154+AL184</f>
        <v/>
      </c>
      <c r="AM11" s="54">
        <f>AM34+AM82+AM118+AM154+AM184</f>
        <v/>
      </c>
      <c r="AN11" s="54">
        <f>AN34+AN82+AN118+AN154+AN184</f>
        <v/>
      </c>
      <c r="AO11" s="54">
        <f>AO34+AO82+AO118+AO154+AO184</f>
        <v/>
      </c>
      <c r="AP11" s="54">
        <f>AP34+AP82+AP118+AP154+AP184</f>
        <v/>
      </c>
      <c r="AQ11" s="54">
        <f>AQ34+AQ82+AQ118+AQ154+AQ184</f>
        <v/>
      </c>
      <c r="AR11" s="54">
        <f>AR34+AR82+AR118+AR154+AR184</f>
        <v/>
      </c>
      <c r="AS11" s="54">
        <f>AS34+AS82+AS118+AS154+AS184</f>
        <v/>
      </c>
      <c r="AT11" s="54">
        <f>AT34+AT82+AT118+AT154+AT184</f>
        <v/>
      </c>
      <c r="AU11" s="54">
        <f>AU34+AU82+AU118+AU154+AU184</f>
        <v/>
      </c>
      <c r="AV11" s="54">
        <f>AV34+AV82+AV118+AV154+AV184</f>
        <v/>
      </c>
      <c r="AW11" s="54">
        <f>AW34+AW82+AW118+AW154+AW184</f>
        <v/>
      </c>
      <c r="AX11" s="54">
        <f>AX34+AX82+AX118+AX154+AX184</f>
        <v/>
      </c>
      <c r="AY11" s="54">
        <f>AY34+AY82+AY118+AY154+AY184</f>
        <v/>
      </c>
      <c r="AZ11" s="54">
        <f>AZ34+AZ82+AZ118+AZ154+AZ184</f>
        <v/>
      </c>
      <c r="BA11" s="54">
        <f>BA34+BA82+BA118+BA154+BA184</f>
        <v/>
      </c>
      <c r="BB11" s="54">
        <f>BB34+BB82+BB118+BB154+BB184</f>
        <v/>
      </c>
      <c r="BC11" s="54">
        <f>BC34+BC82+BC118+BC154+BC184</f>
        <v/>
      </c>
      <c r="BD11" s="54">
        <f>BD34+BD82+BD118+BD154+BD184</f>
        <v/>
      </c>
      <c r="BE11" s="54">
        <f>BE34+BE82+BE118+BE154+BE184</f>
        <v/>
      </c>
    </row>
    <row r="12" ht="15.75" customHeight="1"/>
    <row r="13" ht="15.75" customHeight="1">
      <c r="A13" s="1" t="inlineStr">
        <is>
          <t xml:space="preserve">Sell-through units </t>
        </is>
      </c>
      <c r="D13" s="24" t="inlineStr">
        <is>
          <t>#</t>
        </is>
      </c>
      <c r="E13" s="52">
        <f>E36+E84+E120+E156+E186</f>
        <v/>
      </c>
      <c r="F13" s="52">
        <f>F36+F84+F120+F156+F186</f>
        <v/>
      </c>
      <c r="G13" s="52">
        <f>G36+G84+G120+G156+G186</f>
        <v/>
      </c>
      <c r="H13" s="52">
        <f>H36+H84+H120+H156+H186</f>
        <v/>
      </c>
      <c r="I13" s="52">
        <f>I36+I84+I120+I156+I186</f>
        <v/>
      </c>
      <c r="J13" s="52">
        <f>J36+J84+J120+J156+J186</f>
        <v/>
      </c>
      <c r="K13" s="52">
        <f>K36+K84+K120+K156+K186</f>
        <v/>
      </c>
      <c r="L13" s="52">
        <f>L36+L84+L120+L156+L186</f>
        <v/>
      </c>
      <c r="M13" s="52">
        <f>M36+M84+M120+M156+M186</f>
        <v/>
      </c>
      <c r="N13" s="52">
        <f>N36+N84+N120+N156+N186</f>
        <v/>
      </c>
      <c r="O13" s="52">
        <f>O36+O84+O120+O156+O186</f>
        <v/>
      </c>
      <c r="P13" s="52">
        <f>P36+P84+P120+P156+P186</f>
        <v/>
      </c>
      <c r="Q13" s="52">
        <f>Q36+Q84+Q120+Q156+Q186</f>
        <v/>
      </c>
      <c r="R13" s="52">
        <f>R36+R84+R120+R156+R186</f>
        <v/>
      </c>
      <c r="S13" s="52">
        <f>S36+S84+S120+S156+S186</f>
        <v/>
      </c>
      <c r="T13" s="52">
        <f>T36+T84+T120+T156+T186</f>
        <v/>
      </c>
      <c r="U13" s="52">
        <f>U36+U84+U120+U156+U186</f>
        <v/>
      </c>
      <c r="V13" s="52">
        <f>V36+V84+V120+V156+V186</f>
        <v/>
      </c>
      <c r="W13" s="52">
        <f>W36+W84+W120+W156+W186</f>
        <v/>
      </c>
      <c r="X13" s="52">
        <f>X36+X84+X120+X156+X186</f>
        <v/>
      </c>
      <c r="Y13" s="52">
        <f>Y36+Y84+Y120+Y156+Y186</f>
        <v/>
      </c>
      <c r="Z13" s="52">
        <f>Z36+Z84+Z120+Z156+Z186</f>
        <v/>
      </c>
      <c r="AA13" s="52">
        <f>AA36+AA84+AA120+AA156+AA186</f>
        <v/>
      </c>
      <c r="AB13" s="52">
        <f>AB36+AB84+AB120+AB156+AB186</f>
        <v/>
      </c>
      <c r="AC13" s="52">
        <f>AC36+AC84+AC120+AC156+AC186</f>
        <v/>
      </c>
      <c r="AD13" s="52">
        <f>AD36+AD84+AD120+AD156+AD186</f>
        <v/>
      </c>
      <c r="AE13" s="52" t="n"/>
      <c r="AF13" s="52" t="n"/>
      <c r="AG13" s="52" t="n"/>
      <c r="AH13" s="52" t="n"/>
      <c r="AI13" s="52" t="n"/>
      <c r="AJ13" s="52" t="n"/>
      <c r="AK13" s="52" t="n"/>
      <c r="AL13" s="52" t="n"/>
      <c r="AM13" s="52" t="n"/>
      <c r="AN13" s="52" t="n"/>
      <c r="AO13" s="52" t="n"/>
      <c r="AP13" s="52" t="n"/>
      <c r="AQ13" s="52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  <c r="BB13" s="52" t="n"/>
      <c r="BC13" s="52" t="n"/>
      <c r="BD13" s="52" t="n"/>
      <c r="BE13" s="52" t="n"/>
    </row>
    <row r="14" ht="15.75" customFormat="1" customHeight="1" s="16">
      <c r="A14" s="15" t="n"/>
      <c r="B14" s="16" t="inlineStr">
        <is>
          <t>% of Target</t>
        </is>
      </c>
      <c r="D14" s="17" t="inlineStr">
        <is>
          <t>%</t>
        </is>
      </c>
      <c r="E14" s="53">
        <f>IFERROR(E13/E16,"")</f>
        <v/>
      </c>
      <c r="F14" s="53">
        <f>IFERROR(F13/F16,"")</f>
        <v/>
      </c>
      <c r="G14" s="53">
        <f>IFERROR(G13/G16,"")</f>
        <v/>
      </c>
      <c r="H14" s="53">
        <f>IFERROR(H13/H16,"")</f>
        <v/>
      </c>
      <c r="I14" s="53">
        <f>IFERROR(I13/I16,"")</f>
        <v/>
      </c>
      <c r="J14" s="53">
        <f>IFERROR(J13/J16,"")</f>
        <v/>
      </c>
      <c r="K14" s="53">
        <f>IFERROR(K13/K16,"")</f>
        <v/>
      </c>
      <c r="L14" s="53">
        <f>IFERROR(L13/L16,"")</f>
        <v/>
      </c>
      <c r="M14" s="53">
        <f>IFERROR(M13/M16,"")</f>
        <v/>
      </c>
      <c r="N14" s="53">
        <f>IFERROR(N13/N16,"")</f>
        <v/>
      </c>
      <c r="O14" s="53">
        <f>IFERROR(O13/O16,"")</f>
        <v/>
      </c>
      <c r="P14" s="53">
        <f>IFERROR(P13/P16,"")</f>
        <v/>
      </c>
      <c r="Q14" s="53">
        <f>IFERROR(Q13/Q16,"")</f>
        <v/>
      </c>
      <c r="R14" s="53">
        <f>IFERROR(R13/R16,"")</f>
        <v/>
      </c>
      <c r="S14" s="53">
        <f>IFERROR(S13/S16,"")</f>
        <v/>
      </c>
      <c r="T14" s="53">
        <f>IFERROR(T13/T16,"")</f>
        <v/>
      </c>
      <c r="U14" s="53">
        <f>IFERROR(U13/U16,"")</f>
        <v/>
      </c>
      <c r="V14" s="53">
        <f>IFERROR(V13/V16,"")</f>
        <v/>
      </c>
      <c r="W14" s="53">
        <f>IFERROR(W13/W16,"")</f>
        <v/>
      </c>
      <c r="X14" s="53">
        <f>IFERROR(X13/X16,"")</f>
        <v/>
      </c>
      <c r="Y14" s="53">
        <f>IFERROR(Y13/Y16,"")</f>
        <v/>
      </c>
      <c r="Z14" s="53">
        <f>IFERROR(Z13/Z16,"")</f>
        <v/>
      </c>
      <c r="AA14" s="53">
        <f>IFERROR(AA13/AA16,"")</f>
        <v/>
      </c>
      <c r="AB14" s="53">
        <f>IFERROR(AB13/AB16,"")</f>
        <v/>
      </c>
      <c r="AC14" s="53">
        <f>IFERROR(AC13/AC16,"")</f>
        <v/>
      </c>
      <c r="AD14" s="53">
        <f>IFERROR(AD13/AD16,"")</f>
        <v/>
      </c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</row>
    <row r="15" ht="15.75" customFormat="1" customHeight="1" s="16">
      <c r="A15" s="15" t="n"/>
      <c r="B15" s="7" t="inlineStr">
        <is>
          <t>% of Target - YTD</t>
        </is>
      </c>
      <c r="D15" s="8" t="inlineStr">
        <is>
          <t>%</t>
        </is>
      </c>
      <c r="E15" s="53">
        <f>IFERROR(SUM($E$13:E13)/SUM($E$16:E16),"")</f>
        <v/>
      </c>
      <c r="F15" s="53">
        <f>IFERROR(SUM($E$13:F13)/SUM($E$16:F16),"")</f>
        <v/>
      </c>
      <c r="G15" s="53">
        <f>IFERROR(SUM($E$13:G13)/SUM($E$16:G16),"")</f>
        <v/>
      </c>
      <c r="H15" s="53">
        <f>IFERROR(SUM($E$13:H13)/SUM($E$16:H16),"")</f>
        <v/>
      </c>
      <c r="I15" s="53">
        <f>IFERROR(SUM($E$13:I13)/SUM($E$16:I16),"")</f>
        <v/>
      </c>
      <c r="J15" s="53">
        <f>IFERROR(SUM($E$13:J13)/SUM($E$16:J16),"")</f>
        <v/>
      </c>
      <c r="K15" s="53">
        <f>IFERROR(SUM($E$13:K13)/SUM($E$16:K16),"")</f>
        <v/>
      </c>
      <c r="L15" s="53">
        <f>IFERROR(SUM($E$13:L13)/SUM($E$16:L16),"")</f>
        <v/>
      </c>
      <c r="M15" s="53">
        <f>IFERROR(SUM($E$13:M13)/SUM($E$16:M16),"")</f>
        <v/>
      </c>
      <c r="N15" s="53">
        <f>IFERROR(SUM($E$13:N13)/SUM($E$16:N16),"")</f>
        <v/>
      </c>
      <c r="O15" s="53">
        <f>IFERROR(SUM($E$13:O13)/SUM($E$16:O16),"")</f>
        <v/>
      </c>
      <c r="P15" s="53">
        <f>IFERROR(SUM($E$13:P13)/SUM($E$16:P16),"")</f>
        <v/>
      </c>
      <c r="Q15" s="53">
        <f>IFERROR(SUM($E$13:Q13)/SUM($E$16:Q16),"")</f>
        <v/>
      </c>
      <c r="R15" s="53">
        <f>IFERROR(SUM($E$13:R13)/SUM($E$16:R16),"")</f>
        <v/>
      </c>
      <c r="S15" s="53">
        <f>IFERROR(SUM($E$13:S13)/SUM($E$16:S16),"")</f>
        <v/>
      </c>
      <c r="T15" s="53">
        <f>IFERROR(SUM($E$13:T13)/SUM($E$16:T16),"")</f>
        <v/>
      </c>
      <c r="U15" s="53">
        <f>IFERROR(SUM($E$13:U13)/SUM($E$16:U16),"")</f>
        <v/>
      </c>
      <c r="V15" s="53">
        <f>IFERROR(SUM($E$13:V13)/SUM($E$16:V16),"")</f>
        <v/>
      </c>
      <c r="W15" s="53">
        <f>IFERROR(SUM($E$13:W13)/SUM($E$16:W16),"")</f>
        <v/>
      </c>
      <c r="X15" s="53">
        <f>IFERROR(SUM($E$13:X13)/SUM($E$16:X16),"")</f>
        <v/>
      </c>
      <c r="Y15" s="53">
        <f>IFERROR(SUM($E$13:Y13)/SUM($E$16:Y16),"")</f>
        <v/>
      </c>
      <c r="Z15" s="53">
        <f>IFERROR(SUM($E$13:Z13)/SUM($E$16:Z16),"")</f>
        <v/>
      </c>
      <c r="AA15" s="53">
        <f>IFERROR(SUM($E$13:AA13)/SUM($E$16:AA16),"")</f>
        <v/>
      </c>
      <c r="AB15" s="53">
        <f>IFERROR(SUM($E$13:AB13)/SUM($E$16:AB16),"")</f>
        <v/>
      </c>
      <c r="AC15" s="53">
        <f>IFERROR(SUM($E$13:AC13)/SUM($E$16:AC16),"")</f>
        <v/>
      </c>
      <c r="AD15" s="53">
        <f>IFERROR(SUM($E$13:AD13)/SUM($E$16:AD16),"")</f>
        <v/>
      </c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</row>
    <row r="16" ht="15.75" customFormat="1" customHeight="1" s="13">
      <c r="A16" s="12" t="n"/>
      <c r="B16" s="13" t="inlineStr">
        <is>
          <t>Target</t>
        </is>
      </c>
      <c r="D16" s="14" t="inlineStr">
        <is>
          <t>#</t>
        </is>
      </c>
      <c r="E16" s="54">
        <f>E40+E88+E124+E160+E190</f>
        <v/>
      </c>
      <c r="F16" s="54">
        <f>F40+F88+F124+F160+F190</f>
        <v/>
      </c>
      <c r="G16" s="54">
        <f>G40+G88+G124+G160+G190</f>
        <v/>
      </c>
      <c r="H16" s="54">
        <f>H40+H88+H124+H160+H190</f>
        <v/>
      </c>
      <c r="I16" s="54">
        <f>I40+I88+I124+I160+I190</f>
        <v/>
      </c>
      <c r="J16" s="54">
        <f>J40+J88+J124+J160+J190</f>
        <v/>
      </c>
      <c r="K16" s="54">
        <f>K40+K88+K124+K160+K190</f>
        <v/>
      </c>
      <c r="L16" s="54">
        <f>L40+L88+L124+L160+L190</f>
        <v/>
      </c>
      <c r="M16" s="54">
        <f>M40+M88+M124+M160+M190</f>
        <v/>
      </c>
      <c r="N16" s="54">
        <f>N40+N88+N124+N160+N190</f>
        <v/>
      </c>
      <c r="O16" s="54">
        <f>O40+O88+O124+O160+O190</f>
        <v/>
      </c>
      <c r="P16" s="54">
        <f>P40+P88+P124+P160+P190</f>
        <v/>
      </c>
      <c r="Q16" s="54">
        <f>Q40+Q88+Q124+Q160+Q190</f>
        <v/>
      </c>
      <c r="R16" s="54">
        <f>R40+R88+R124+R160+R190</f>
        <v/>
      </c>
      <c r="S16" s="54">
        <f>S40+S88+S124+S160+S190</f>
        <v/>
      </c>
      <c r="T16" s="54">
        <f>T40+T88+T124+T160+T190</f>
        <v/>
      </c>
      <c r="U16" s="54">
        <f>U40+U88+U124+U160+U190</f>
        <v/>
      </c>
      <c r="V16" s="54">
        <f>V40+V88+V124+V160+V190</f>
        <v/>
      </c>
      <c r="W16" s="54">
        <f>W40+W88+W124+W160+W190</f>
        <v/>
      </c>
      <c r="X16" s="54">
        <f>X40+X88+X124+X160+X190</f>
        <v/>
      </c>
      <c r="Y16" s="54">
        <f>Y40+Y88+Y124+Y160+Y190</f>
        <v/>
      </c>
      <c r="Z16" s="54">
        <f>Z40+Z88+Z124+Z160+Z190</f>
        <v/>
      </c>
      <c r="AA16" s="54">
        <f>AA40+AA88+AA124+AA160+AA190</f>
        <v/>
      </c>
      <c r="AB16" s="54">
        <f>AB40+AB88+AB124+AB160+AB190</f>
        <v/>
      </c>
      <c r="AC16" s="54">
        <f>AC40+AC88+AC124+AC160+AC190</f>
        <v/>
      </c>
      <c r="AD16" s="54">
        <f>AD40+AD88+AD124+AD160+AD190</f>
        <v/>
      </c>
      <c r="AE16" s="54">
        <f>AE40+AE88+AE124+AE160+AE190</f>
        <v/>
      </c>
      <c r="AF16" s="54">
        <f>AF40+AF88+AF124+AF160+AF190</f>
        <v/>
      </c>
      <c r="AG16" s="54">
        <f>AG40+AG88+AG124+AG160+AG190</f>
        <v/>
      </c>
      <c r="AH16" s="54">
        <f>AH40+AH88+AH124+AH160+AH190</f>
        <v/>
      </c>
      <c r="AI16" s="54">
        <f>AI40+AI88+AI124+AI160+AI190</f>
        <v/>
      </c>
      <c r="AJ16" s="54">
        <f>AJ40+AJ88+AJ124+AJ160+AJ190</f>
        <v/>
      </c>
      <c r="AK16" s="54">
        <f>AK40+AK88+AK124+AK160+AK190</f>
        <v/>
      </c>
      <c r="AL16" s="54">
        <f>AL40+AL88+AL124+AL160+AL190</f>
        <v/>
      </c>
      <c r="AM16" s="54">
        <f>AM40+AM88+AM124+AM160+AM190</f>
        <v/>
      </c>
      <c r="AN16" s="54">
        <f>AN40+AN88+AN124+AN160+AN190</f>
        <v/>
      </c>
      <c r="AO16" s="54">
        <f>AO40+AO88+AO124+AO160+AO190</f>
        <v/>
      </c>
      <c r="AP16" s="54">
        <f>AP40+AP88+AP124+AP160+AP190</f>
        <v/>
      </c>
      <c r="AQ16" s="54">
        <f>AQ40+AQ88+AQ124+AQ160+AQ190</f>
        <v/>
      </c>
      <c r="AR16" s="54">
        <f>AR40+AR88+AR124+AR160+AR190</f>
        <v/>
      </c>
      <c r="AS16" s="54">
        <f>AS40+AS88+AS124+AS160+AS190</f>
        <v/>
      </c>
      <c r="AT16" s="54">
        <f>AT40+AT88+AT124+AT160+AT190</f>
        <v/>
      </c>
      <c r="AU16" s="54">
        <f>AU40+AU88+AU124+AU160+AU190</f>
        <v/>
      </c>
      <c r="AV16" s="54">
        <f>AV40+AV88+AV124+AV160+AV190</f>
        <v/>
      </c>
      <c r="AW16" s="54">
        <f>AW40+AW88+AW124+AW160+AW190</f>
        <v/>
      </c>
      <c r="AX16" s="54">
        <f>AX40+AX88+AX124+AX160+AX190</f>
        <v/>
      </c>
      <c r="AY16" s="54">
        <f>AY40+AY88+AY124+AY160+AY190</f>
        <v/>
      </c>
      <c r="AZ16" s="54">
        <f>AZ40+AZ88+AZ124+AZ160+AZ190</f>
        <v/>
      </c>
      <c r="BA16" s="54">
        <f>BA40+BA88+BA124+BA160+BA190</f>
        <v/>
      </c>
      <c r="BB16" s="54">
        <f>BB40+BB88+BB124+BB160+BB190</f>
        <v/>
      </c>
      <c r="BC16" s="54">
        <f>BC40+BC88+BC124+BC160+BC190</f>
        <v/>
      </c>
      <c r="BD16" s="54">
        <f>BD40+BD88+BD124+BD160+BD190</f>
        <v/>
      </c>
      <c r="BE16" s="54">
        <f>BE40+BE88+BE124+BE160+BE190</f>
        <v/>
      </c>
    </row>
    <row r="17" ht="15.75" customHeight="1">
      <c r="C17" s="11" t="inlineStr">
        <is>
          <t xml:space="preserve">Cam </t>
        </is>
      </c>
      <c r="D17" s="6" t="inlineStr">
        <is>
          <t>#</t>
        </is>
      </c>
      <c r="E17" s="51">
        <f>E41+E89+E125+E161+E191</f>
        <v/>
      </c>
      <c r="F17" s="51">
        <f>F41+F89+F125+F161+F191</f>
        <v/>
      </c>
      <c r="G17" s="51">
        <f>G41+G89+G125+G161+G191</f>
        <v/>
      </c>
      <c r="H17" s="51">
        <f>H41+H89+H125+H161+H191</f>
        <v/>
      </c>
      <c r="I17" s="51">
        <f>I41+I89+I125+I161+I191</f>
        <v/>
      </c>
      <c r="J17" s="51">
        <f>J41+J89+J125+J161+J191</f>
        <v/>
      </c>
      <c r="K17" s="51">
        <f>K41+K89+K125+K161+K191</f>
        <v/>
      </c>
      <c r="L17" s="51">
        <f>L41+L89+L125+L161+L191</f>
        <v/>
      </c>
      <c r="M17" s="51">
        <f>M41+M89+M125+M161+M191</f>
        <v/>
      </c>
      <c r="N17" s="51">
        <f>N41+N89+N125+N161+N191</f>
        <v/>
      </c>
      <c r="O17" s="51">
        <f>O41+O89+O125+O161+O191</f>
        <v/>
      </c>
      <c r="P17" s="51">
        <f>P41+P89+P125+P161+P191</f>
        <v/>
      </c>
      <c r="Q17" s="51">
        <f>Q41+Q89+Q125+Q161+Q191</f>
        <v/>
      </c>
      <c r="R17" s="51">
        <f>R41+R89+R125+R161+R191</f>
        <v/>
      </c>
      <c r="S17" s="51">
        <f>S41+S89+S125+S161+S191</f>
        <v/>
      </c>
      <c r="T17" s="51">
        <f>T41+T89+T125+T161+T191</f>
        <v/>
      </c>
      <c r="U17" s="51">
        <f>U41+U89+U125+U161+U191</f>
        <v/>
      </c>
      <c r="V17" s="51">
        <f>V41+V89+V125+V161+V191</f>
        <v/>
      </c>
      <c r="W17" s="51">
        <f>W41+W89+W125+W161+W191</f>
        <v/>
      </c>
      <c r="X17" s="51">
        <f>X41+X89+X125+X161+X191</f>
        <v/>
      </c>
      <c r="Y17" s="51">
        <f>Y41+Y89+Y125+Y161+Y191</f>
        <v/>
      </c>
      <c r="Z17" s="51">
        <f>Z41+Z89+Z125+Z161+Z191</f>
        <v/>
      </c>
      <c r="AA17" s="51">
        <f>AA41+AA89+AA125+AA161+AA191</f>
        <v/>
      </c>
      <c r="AB17" s="51">
        <f>AB41+AB89+AB125+AB161+AB191</f>
        <v/>
      </c>
      <c r="AC17" s="51">
        <f>AC41+AC89+AC125+AC161+AC191</f>
        <v/>
      </c>
      <c r="AD17" s="51">
        <f>AD41+AD89+AD125+AD161+AD191</f>
        <v/>
      </c>
      <c r="AE17" s="51" t="n"/>
      <c r="AF17" s="51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51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</row>
    <row r="18" ht="15.75" customHeight="1">
      <c r="C18" s="11" t="inlineStr">
        <is>
          <t>Non Cam</t>
        </is>
      </c>
      <c r="D18" s="6" t="inlineStr">
        <is>
          <t>#</t>
        </is>
      </c>
      <c r="E18" s="51">
        <f>E42+E90+E126+E162+E192</f>
        <v/>
      </c>
      <c r="F18" s="51">
        <f>F42+F90+F126+F162+F192</f>
        <v/>
      </c>
      <c r="G18" s="51">
        <f>G42+G90+G126+G162+G192</f>
        <v/>
      </c>
      <c r="H18" s="51">
        <f>H42+H90+H126+H162+H192</f>
        <v/>
      </c>
      <c r="I18" s="51">
        <f>I42+I90+I126+I162+I192</f>
        <v/>
      </c>
      <c r="J18" s="51">
        <f>J42+J90+J126+J162+J192</f>
        <v/>
      </c>
      <c r="K18" s="51">
        <f>K42+K90+K126+K162+K192</f>
        <v/>
      </c>
      <c r="L18" s="51">
        <f>L42+L90+L126+L162+L192</f>
        <v/>
      </c>
      <c r="M18" s="51">
        <f>M42+M90+M126+M162+M192</f>
        <v/>
      </c>
      <c r="N18" s="51">
        <f>N42+N90+N126+N162+N192</f>
        <v/>
      </c>
      <c r="O18" s="51">
        <f>O42+O90+O126+O162+O192</f>
        <v/>
      </c>
      <c r="P18" s="51">
        <f>P42+P90+P126+P162+P192</f>
        <v/>
      </c>
      <c r="Q18" s="51">
        <f>Q42+Q90+Q126+Q162+Q192</f>
        <v/>
      </c>
      <c r="R18" s="51">
        <f>R42+R90+R126+R162+R192</f>
        <v/>
      </c>
      <c r="S18" s="51">
        <f>S42+S90+S126+S162+S192</f>
        <v/>
      </c>
      <c r="T18" s="51">
        <f>T42+T90+T126+T162+T192</f>
        <v/>
      </c>
      <c r="U18" s="51">
        <f>U42+U90+U126+U162+U192</f>
        <v/>
      </c>
      <c r="V18" s="51">
        <f>V42+V90+V126+V162+V192</f>
        <v/>
      </c>
      <c r="W18" s="51">
        <f>W42+W90+W126+W162+W192</f>
        <v/>
      </c>
      <c r="X18" s="51">
        <f>X42+X90+X126+X162+X192</f>
        <v/>
      </c>
      <c r="Y18" s="51">
        <f>Y42+Y90+Y126+Y162+Y192</f>
        <v/>
      </c>
      <c r="Z18" s="51">
        <f>Z42+Z90+Z126+Z162+Z192</f>
        <v/>
      </c>
      <c r="AA18" s="51">
        <f>AA42+AA90+AA126+AA162+AA192</f>
        <v/>
      </c>
      <c r="AB18" s="51">
        <f>AB42+AB90+AB126+AB162+AB192</f>
        <v/>
      </c>
      <c r="AC18" s="51">
        <f>AC42+AC90+AC126+AC162+AC192</f>
        <v/>
      </c>
      <c r="AD18" s="51">
        <f>AD42+AD90+AD126+AD162+AD192</f>
        <v/>
      </c>
      <c r="AE18" s="51" t="n"/>
      <c r="AF18" s="51" t="n"/>
      <c r="AG18" s="51" t="n"/>
      <c r="AH18" s="51" t="n"/>
      <c r="AI18" s="51" t="n"/>
      <c r="AJ18" s="51" t="n"/>
      <c r="AK18" s="51" t="n"/>
      <c r="AL18" s="51" t="n"/>
      <c r="AM18" s="51" t="n"/>
      <c r="AN18" s="51" t="n"/>
      <c r="AO18" s="51" t="n"/>
      <c r="AP18" s="51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</row>
    <row r="19" ht="15.75" customHeight="1">
      <c r="C19" s="6" t="n"/>
    </row>
    <row r="20" ht="15.75" customHeight="1">
      <c r="A20" s="1" t="inlineStr">
        <is>
          <t>New Customers</t>
        </is>
      </c>
      <c r="C20" s="6" t="n"/>
      <c r="D20" s="24" t="inlineStr">
        <is>
          <t># ppl</t>
        </is>
      </c>
      <c r="E20" s="52" t="n">
        <v>31335</v>
      </c>
      <c r="F20" s="52" t="n">
        <v>29130</v>
      </c>
      <c r="G20" s="52" t="n">
        <v>26783</v>
      </c>
      <c r="H20" s="52" t="n">
        <v>24489</v>
      </c>
      <c r="I20" s="52" t="n">
        <v>22194</v>
      </c>
      <c r="J20" s="52" t="n">
        <v>23451</v>
      </c>
      <c r="K20" s="52" t="n">
        <v>23505</v>
      </c>
      <c r="L20" s="52" t="n">
        <v>25286</v>
      </c>
      <c r="M20" s="52" t="n">
        <v>25858</v>
      </c>
      <c r="N20" s="52" t="n">
        <v>26675</v>
      </c>
      <c r="O20" s="52" t="n">
        <v>25688</v>
      </c>
      <c r="P20" s="52" t="n">
        <v>24257</v>
      </c>
      <c r="Q20" s="52" t="n">
        <v>25682</v>
      </c>
      <c r="R20" s="52" t="n">
        <v>26231</v>
      </c>
      <c r="S20" s="52" t="n">
        <v>25491</v>
      </c>
      <c r="T20" s="52" t="n">
        <v>25896</v>
      </c>
      <c r="U20" s="52" t="n">
        <v>24841</v>
      </c>
      <c r="V20" s="52" t="n">
        <v>24281</v>
      </c>
      <c r="W20" s="52" t="n">
        <v>23932</v>
      </c>
      <c r="X20" s="52" t="n">
        <v>23433</v>
      </c>
      <c r="Y20" s="52" t="n">
        <v>24074</v>
      </c>
      <c r="Z20" s="52" t="n">
        <v>25201</v>
      </c>
      <c r="AA20" s="52" t="n">
        <v>25698</v>
      </c>
      <c r="AB20" s="52" t="n">
        <v>24781</v>
      </c>
      <c r="AC20" s="52" t="n">
        <v>26314</v>
      </c>
      <c r="AD20" s="52" t="n">
        <v>29940</v>
      </c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  <c r="AS20" s="52" t="n"/>
      <c r="AT20" s="52" t="n"/>
      <c r="AU20" s="52" t="n"/>
      <c r="AV20" s="52" t="n"/>
      <c r="AW20" s="52" t="n"/>
      <c r="AX20" s="52" t="n"/>
      <c r="AY20" s="52" t="n"/>
      <c r="AZ20" s="52" t="n"/>
      <c r="BA20" s="52" t="n"/>
      <c r="BB20" s="52" t="n"/>
      <c r="BC20" s="52" t="n"/>
      <c r="BD20" s="52" t="n"/>
      <c r="BE20" s="52" t="n"/>
    </row>
    <row r="21" ht="15.75" customHeight="1">
      <c r="A21" s="1" t="n"/>
      <c r="B21" t="inlineStr">
        <is>
          <t>As % of all units</t>
        </is>
      </c>
      <c r="C21" s="6" t="n"/>
      <c r="D21" s="6" t="inlineStr">
        <is>
          <t>%</t>
        </is>
      </c>
      <c r="E21" s="55">
        <f>IFERROR(E20/E13,"")</f>
        <v/>
      </c>
      <c r="F21" s="55">
        <f>IFERROR(F20/F13,"")</f>
        <v/>
      </c>
      <c r="G21" s="55">
        <f>IFERROR(G20/G13,"")</f>
        <v/>
      </c>
      <c r="H21" s="55">
        <f>IFERROR(H20/H13,"")</f>
        <v/>
      </c>
      <c r="I21" s="55">
        <f>IFERROR(I20/I13,"")</f>
        <v/>
      </c>
      <c r="J21" s="55">
        <f>IFERROR(J20/J13,"")</f>
        <v/>
      </c>
      <c r="K21" s="55">
        <f>IFERROR(K20/K13,"")</f>
        <v/>
      </c>
      <c r="L21" s="55">
        <f>IFERROR(L20/L13,"")</f>
        <v/>
      </c>
      <c r="M21" s="55">
        <f>IFERROR(M20/M13,"")</f>
        <v/>
      </c>
      <c r="N21" s="55">
        <f>IFERROR(N20/N13,"")</f>
        <v/>
      </c>
      <c r="O21" s="55">
        <f>IFERROR(O20/O13,"")</f>
        <v/>
      </c>
      <c r="P21" s="55">
        <f>IFERROR(P20/P13,"")</f>
        <v/>
      </c>
      <c r="Q21" s="55">
        <f>IFERROR(Q20/Q13,"")</f>
        <v/>
      </c>
      <c r="R21" s="55">
        <f>IFERROR(R20/R13,"")</f>
        <v/>
      </c>
      <c r="S21" s="55">
        <f>IFERROR(S20/S13,"")</f>
        <v/>
      </c>
      <c r="T21" s="55">
        <f>IFERROR(T20/T13,"")</f>
        <v/>
      </c>
      <c r="U21" s="55">
        <f>IFERROR(U20/U13,"")</f>
        <v/>
      </c>
      <c r="V21" s="55">
        <f>IFERROR(V20/V13,"")</f>
        <v/>
      </c>
      <c r="W21" s="55">
        <f>IFERROR(W20/W13,"")</f>
        <v/>
      </c>
      <c r="X21" s="55">
        <f>IFERROR(X20/X13,"")</f>
        <v/>
      </c>
      <c r="Y21" s="55">
        <f>IFERROR(Y20/Y13,"")</f>
        <v/>
      </c>
      <c r="Z21" s="55">
        <f>IFERROR(Z20/Z13,"")</f>
        <v/>
      </c>
      <c r="AA21" s="55">
        <f>IFERROR(AA20/AA13,"")</f>
        <v/>
      </c>
      <c r="AB21" s="55">
        <f>IFERROR(AB20/AB13,"")</f>
        <v/>
      </c>
      <c r="AC21" s="55">
        <f>IFERROR(AC20/AC13,"")</f>
        <v/>
      </c>
      <c r="AD21" s="55">
        <f>IFERROR(AD20/AD13,"")</f>
        <v/>
      </c>
      <c r="AE21" s="55" t="n"/>
      <c r="AF21" s="55" t="n"/>
      <c r="AG21" s="55" t="n"/>
      <c r="AH21" s="55" t="n"/>
      <c r="AI21" s="55" t="n"/>
      <c r="AJ21" s="55" t="n"/>
      <c r="AK21" s="55" t="n"/>
      <c r="AL21" s="55" t="n"/>
      <c r="AM21" s="55" t="n"/>
      <c r="AN21" s="55" t="n"/>
      <c r="AO21" s="55" t="n"/>
      <c r="AP21" s="55" t="n"/>
      <c r="AQ21" s="55" t="n"/>
      <c r="AR21" s="55" t="n"/>
      <c r="AS21" s="55" t="n"/>
      <c r="AT21" s="55" t="n"/>
      <c r="AU21" s="55" t="n"/>
      <c r="AV21" s="55" t="n"/>
      <c r="AW21" s="55" t="n"/>
      <c r="AX21" s="55" t="n"/>
      <c r="AY21" s="55" t="n"/>
      <c r="AZ21" s="55" t="n"/>
      <c r="BA21" s="55" t="n"/>
      <c r="BB21" s="55" t="n"/>
      <c r="BC21" s="55" t="n"/>
      <c r="BD21" s="55" t="n"/>
      <c r="BE21" s="55" t="n"/>
    </row>
    <row r="22" ht="15.75" customHeight="1">
      <c r="B22" s="7" t="inlineStr">
        <is>
          <t>% of Target</t>
        </is>
      </c>
      <c r="C22" s="6" t="n"/>
      <c r="D22" s="17" t="inlineStr">
        <is>
          <t>pp</t>
        </is>
      </c>
      <c r="E22" s="53">
        <f>E21-E24</f>
        <v/>
      </c>
      <c r="F22" s="53">
        <f>F21-F24</f>
        <v/>
      </c>
      <c r="G22" s="53">
        <f>G21-G24</f>
        <v/>
      </c>
      <c r="H22" s="53">
        <f>H21-H24</f>
        <v/>
      </c>
      <c r="I22" s="53">
        <f>I21-I24</f>
        <v/>
      </c>
      <c r="J22" s="53">
        <f>J21-J24</f>
        <v/>
      </c>
      <c r="K22" s="53">
        <f>K21-K24</f>
        <v/>
      </c>
      <c r="L22" s="53">
        <f>L21-L24</f>
        <v/>
      </c>
      <c r="M22" s="53">
        <f>M21-M24</f>
        <v/>
      </c>
      <c r="N22" s="53">
        <f>N21-N24</f>
        <v/>
      </c>
      <c r="O22" s="53">
        <f>O21-O24</f>
        <v/>
      </c>
      <c r="P22" s="53">
        <f>P21-P24</f>
        <v/>
      </c>
      <c r="Q22" s="53">
        <f>Q21-Q24</f>
        <v/>
      </c>
      <c r="R22" s="53">
        <f>R21-R24</f>
        <v/>
      </c>
      <c r="S22" s="53">
        <f>S21-S24</f>
        <v/>
      </c>
      <c r="T22" s="53">
        <f>T21-T24</f>
        <v/>
      </c>
      <c r="U22" s="53">
        <f>U21-U24</f>
        <v/>
      </c>
      <c r="V22" s="53">
        <f>V21-V24</f>
        <v/>
      </c>
      <c r="W22" s="53">
        <f>W21-W24</f>
        <v/>
      </c>
      <c r="X22" s="53">
        <f>X21-X24</f>
        <v/>
      </c>
      <c r="Y22" s="53">
        <f>Y21-Y24</f>
        <v/>
      </c>
      <c r="Z22" s="53">
        <f>Z21-Z24</f>
        <v/>
      </c>
      <c r="AA22" s="53">
        <f>AA21-AA24</f>
        <v/>
      </c>
      <c r="AB22" s="53">
        <f>AB21-AB24</f>
        <v/>
      </c>
      <c r="AC22" s="53">
        <f>AC21-AC24</f>
        <v/>
      </c>
      <c r="AD22" s="53">
        <f>AD21-AD24</f>
        <v/>
      </c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</row>
    <row r="23" ht="15.75" customHeight="1">
      <c r="B23" s="7" t="inlineStr">
        <is>
          <t>% of Target - YTD</t>
        </is>
      </c>
      <c r="C23" s="6" t="n"/>
      <c r="D23" s="17" t="inlineStr">
        <is>
          <t>pp</t>
        </is>
      </c>
      <c r="E23" s="53">
        <f>IFERROR(SUM($E$20:E20)/SUM($E$13:E13)-E24,"")</f>
        <v/>
      </c>
      <c r="F23" s="53">
        <f>IFERROR(SUM($E$20:F20)/SUM($E$13:F13)-F24,"")</f>
        <v/>
      </c>
      <c r="G23" s="53">
        <f>IFERROR(SUM($E$20:G20)/SUM($E$13:G13)-G24,"")</f>
        <v/>
      </c>
      <c r="H23" s="53">
        <f>IFERROR(SUM($E$20:H20)/SUM($E$13:H13)-H24,"")</f>
        <v/>
      </c>
      <c r="I23" s="53">
        <f>IFERROR(SUM($E$20:I20)/SUM($E$13:I13)-I24,"")</f>
        <v/>
      </c>
      <c r="J23" s="53">
        <f>IFERROR(SUM($E$20:J20)/SUM($E$13:J13)-J24,"")</f>
        <v/>
      </c>
      <c r="K23" s="53">
        <f>IFERROR(SUM($E$20:K20)/SUM($E$13:K13)-K24,"")</f>
        <v/>
      </c>
      <c r="L23" s="53">
        <f>IFERROR(SUM($E$20:L20)/SUM($E$13:L13)-L24,"")</f>
        <v/>
      </c>
      <c r="M23" s="53">
        <f>IFERROR(SUM($E$20:M20)/SUM($E$13:M13)-M24,"")</f>
        <v/>
      </c>
      <c r="N23" s="53">
        <f>IFERROR(SUM($E$20:N20)/SUM($E$13:N13)-N24,"")</f>
        <v/>
      </c>
      <c r="O23" s="53">
        <f>IFERROR(SUM($E$20:O20)/SUM($E$13:O13)-O24,"")</f>
        <v/>
      </c>
      <c r="P23" s="53">
        <f>IFERROR(SUM($E$20:P20)/SUM($E$13:P13)-P24,"")</f>
        <v/>
      </c>
      <c r="Q23" s="53">
        <f>IFERROR(SUM($E$20:Q20)/SUM($E$13:Q13)-Q24,"")</f>
        <v/>
      </c>
      <c r="R23" s="53">
        <f>IFERROR(SUM($E$20:R20)/SUM($E$13:R13)-R24,"")</f>
        <v/>
      </c>
      <c r="S23" s="53">
        <f>IFERROR(SUM($E$20:S20)/SUM($E$13:S13)-S24,"")</f>
        <v/>
      </c>
      <c r="T23" s="53">
        <f>IFERROR(SUM($E$20:T20)/SUM($E$13:T13)-T24,"")</f>
        <v/>
      </c>
      <c r="U23" s="53">
        <f>IFERROR(SUM($E$20:U20)/SUM($E$13:U13)-U24,"")</f>
        <v/>
      </c>
      <c r="V23" s="53">
        <f>IFERROR(SUM($E$20:V20)/SUM($E$13:V13)-V24,"")</f>
        <v/>
      </c>
      <c r="W23" s="53">
        <f>IFERROR(SUM($E$20:W20)/SUM($E$13:W13)-W24,"")</f>
        <v/>
      </c>
      <c r="X23" s="53">
        <f>IFERROR(SUM($E$20:X20)/SUM($E$13:X13)-X24,"")</f>
        <v/>
      </c>
      <c r="Y23" s="53">
        <f>IFERROR(SUM($E$20:Y20)/SUM($E$13:Y13)-Y24,"")</f>
        <v/>
      </c>
      <c r="Z23" s="53">
        <f>IFERROR(SUM($E$20:Z20)/SUM($E$13:Z13)-Z24,"")</f>
        <v/>
      </c>
      <c r="AA23" s="53">
        <f>IFERROR(SUM($E$20:AA20)/SUM($E$13:AA13)-AA24,"")</f>
        <v/>
      </c>
      <c r="AB23" s="53">
        <f>IFERROR(SUM($E$20:AB20)/SUM($E$13:AB13)-AB24,"")</f>
        <v/>
      </c>
      <c r="AC23" s="53">
        <f>IFERROR(SUM($E$20:AC20)/SUM($E$13:AC13)-AC24,"")</f>
        <v/>
      </c>
      <c r="AD23" s="53">
        <f>IFERROR(SUM($E$20:AD20)/SUM($E$13:AD13)-AD24,"")</f>
        <v/>
      </c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</row>
    <row r="24" ht="15.75" customHeight="1">
      <c r="B24" s="9" t="inlineStr">
        <is>
          <t>Target</t>
        </is>
      </c>
      <c r="C24" s="6" t="n"/>
      <c r="D24" s="14" t="inlineStr">
        <is>
          <t>%</t>
        </is>
      </c>
      <c r="E24" s="56" t="n">
        <v>0.52</v>
      </c>
      <c r="F24" s="56" t="n">
        <v>0.52</v>
      </c>
      <c r="G24" s="56" t="n">
        <v>0.52</v>
      </c>
      <c r="H24" s="56" t="n">
        <v>0.52</v>
      </c>
      <c r="I24" s="56" t="n">
        <v>0.52</v>
      </c>
      <c r="J24" s="56" t="n">
        <v>0.52</v>
      </c>
      <c r="K24" s="56" t="n">
        <v>0.52</v>
      </c>
      <c r="L24" s="56" t="n">
        <v>0.52</v>
      </c>
      <c r="M24" s="56" t="n">
        <v>0.52</v>
      </c>
      <c r="N24" s="56" t="n">
        <v>0.52</v>
      </c>
      <c r="O24" s="56" t="n">
        <v>0.52</v>
      </c>
      <c r="P24" s="56" t="n">
        <v>0.52</v>
      </c>
      <c r="Q24" s="56" t="n">
        <v>0.52</v>
      </c>
      <c r="R24" s="56" t="n">
        <v>0.52</v>
      </c>
      <c r="S24" s="56" t="n">
        <v>0.52</v>
      </c>
      <c r="T24" s="56" t="n">
        <v>0.52</v>
      </c>
      <c r="U24" s="56" t="n">
        <v>0.52</v>
      </c>
      <c r="V24" s="56" t="n">
        <v>0.52</v>
      </c>
      <c r="W24" s="56" t="n">
        <v>0.52</v>
      </c>
      <c r="X24" s="56" t="n">
        <v>0.52</v>
      </c>
      <c r="Y24" s="56" t="n">
        <v>0.52</v>
      </c>
      <c r="Z24" s="56" t="n">
        <v>0.52</v>
      </c>
      <c r="AA24" s="56" t="n">
        <v>0.52</v>
      </c>
      <c r="AB24" s="56" t="n">
        <v>0.52</v>
      </c>
      <c r="AC24" s="56" t="n">
        <v>0.52</v>
      </c>
      <c r="AD24" s="56" t="n">
        <v>0.52</v>
      </c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E24" s="56" t="n"/>
    </row>
    <row r="25" ht="15.75" customHeight="1">
      <c r="C25" s="11" t="inlineStr">
        <is>
          <t xml:space="preserve">Cam </t>
        </is>
      </c>
      <c r="D25" s="6" t="inlineStr">
        <is>
          <t>#</t>
        </is>
      </c>
      <c r="E25" s="51" t="n">
        <v>23996</v>
      </c>
      <c r="F25" s="51" t="n">
        <v>21963</v>
      </c>
      <c r="G25" s="51" t="n">
        <v>20983</v>
      </c>
      <c r="H25" s="51" t="n">
        <v>19152</v>
      </c>
      <c r="I25" s="51" t="n">
        <v>17578</v>
      </c>
      <c r="J25" s="51" t="n">
        <v>18662</v>
      </c>
      <c r="K25" s="51" t="n">
        <v>18855</v>
      </c>
      <c r="L25" s="51" t="n">
        <v>20514</v>
      </c>
      <c r="M25" s="51" t="n">
        <v>21245</v>
      </c>
      <c r="N25" s="51" t="n">
        <v>22136</v>
      </c>
      <c r="O25" s="51" t="n">
        <v>21233</v>
      </c>
      <c r="P25" s="51" t="n">
        <v>20080</v>
      </c>
      <c r="Q25" s="51" t="n">
        <v>21351</v>
      </c>
      <c r="R25" s="51" t="n">
        <v>21811</v>
      </c>
      <c r="S25" s="51" t="n">
        <v>21258</v>
      </c>
      <c r="T25" s="51" t="n">
        <v>21728</v>
      </c>
      <c r="U25" s="51" t="n">
        <v>20843</v>
      </c>
      <c r="V25" s="51" t="n">
        <v>19988</v>
      </c>
      <c r="W25" s="51" t="n">
        <v>19798</v>
      </c>
      <c r="X25" s="51" t="n">
        <v>19651</v>
      </c>
      <c r="Y25" s="51" t="n">
        <v>20237</v>
      </c>
      <c r="Z25" s="51" t="n">
        <v>20876</v>
      </c>
      <c r="AA25" s="51" t="n">
        <v>21395</v>
      </c>
      <c r="AB25" s="51" t="n">
        <v>20960</v>
      </c>
      <c r="AC25" s="51" t="n">
        <v>22489</v>
      </c>
      <c r="AD25" s="51" t="n">
        <v>25017</v>
      </c>
      <c r="AE25" s="51" t="n"/>
      <c r="AF25" s="51" t="n"/>
      <c r="AG25" s="51" t="n"/>
      <c r="AH25" s="51" t="n"/>
      <c r="AI25" s="51" t="n"/>
      <c r="AJ25" s="51" t="n"/>
      <c r="AK25" s="51" t="n"/>
      <c r="AL25" s="51" t="n"/>
      <c r="AM25" s="51" t="n"/>
      <c r="AN25" s="51" t="n"/>
      <c r="AO25" s="51" t="n"/>
      <c r="AP25" s="51" t="n"/>
      <c r="AQ25" s="51" t="n"/>
      <c r="AR25" s="51" t="n"/>
      <c r="AS25" s="51" t="n"/>
      <c r="AT25" s="51" t="n"/>
      <c r="AU25" s="51" t="n"/>
      <c r="AV25" s="51" t="n"/>
      <c r="AW25" s="51" t="n"/>
      <c r="AX25" s="51" t="n"/>
      <c r="AY25" s="51" t="n"/>
      <c r="AZ25" s="51" t="n"/>
      <c r="BA25" s="51" t="n"/>
      <c r="BB25" s="51" t="n"/>
      <c r="BC25" s="51" t="n"/>
      <c r="BD25" s="51" t="n"/>
      <c r="BE25" s="51" t="n"/>
    </row>
    <row r="26" ht="15.75" customHeight="1">
      <c r="C26" s="11" t="inlineStr">
        <is>
          <t>Non Cam</t>
        </is>
      </c>
      <c r="D26" s="6" t="inlineStr">
        <is>
          <t>#</t>
        </is>
      </c>
      <c r="E26" s="51" t="n">
        <v>7339</v>
      </c>
      <c r="F26" s="51" t="n">
        <v>7167</v>
      </c>
      <c r="G26" s="51" t="n">
        <v>5800</v>
      </c>
      <c r="H26" s="51" t="n">
        <v>5337</v>
      </c>
      <c r="I26" s="51" t="n">
        <v>4616</v>
      </c>
      <c r="J26" s="51" t="n">
        <v>4789</v>
      </c>
      <c r="K26" s="51" t="n">
        <v>4650</v>
      </c>
      <c r="L26" s="51" t="n">
        <v>4772</v>
      </c>
      <c r="M26" s="51" t="n">
        <v>4613</v>
      </c>
      <c r="N26" s="51" t="n">
        <v>4539</v>
      </c>
      <c r="O26" s="51" t="n">
        <v>4455</v>
      </c>
      <c r="P26" s="51" t="n">
        <v>4177</v>
      </c>
      <c r="Q26" s="51" t="n">
        <v>4331</v>
      </c>
      <c r="R26" s="51" t="n">
        <v>4420</v>
      </c>
      <c r="S26" s="51" t="n">
        <v>4233</v>
      </c>
      <c r="T26" s="51" t="n">
        <v>4168</v>
      </c>
      <c r="U26" s="51" t="n">
        <v>3998</v>
      </c>
      <c r="V26" s="51" t="n">
        <v>4293</v>
      </c>
      <c r="W26" s="51" t="n">
        <v>4134</v>
      </c>
      <c r="X26" s="51" t="n">
        <v>3782</v>
      </c>
      <c r="Y26" s="51" t="n">
        <v>3837</v>
      </c>
      <c r="Z26" s="51" t="n">
        <v>4325</v>
      </c>
      <c r="AA26" s="51" t="n">
        <v>4303</v>
      </c>
      <c r="AB26" s="51" t="n">
        <v>3821</v>
      </c>
      <c r="AC26" s="51" t="n">
        <v>3825</v>
      </c>
      <c r="AD26" s="51" t="n">
        <v>4923</v>
      </c>
      <c r="AE26" s="51" t="n"/>
      <c r="AF26" s="51" t="n"/>
      <c r="AG26" s="51" t="n"/>
      <c r="AH26" s="51" t="n"/>
      <c r="AI26" s="51" t="n"/>
      <c r="AJ26" s="51" t="n"/>
      <c r="AK26" s="51" t="n"/>
      <c r="AL26" s="51" t="n"/>
      <c r="AM26" s="51" t="n"/>
      <c r="AN26" s="51" t="n"/>
      <c r="AO26" s="51" t="n"/>
      <c r="AP26" s="51" t="n"/>
      <c r="AQ26" s="51" t="n"/>
      <c r="AR26" s="51" t="n"/>
      <c r="AS26" s="51" t="n"/>
      <c r="AT26" s="51" t="n"/>
      <c r="AU26" s="51" t="n"/>
      <c r="AV26" s="51" t="n"/>
      <c r="AW26" s="51" t="n"/>
      <c r="AX26" s="51" t="n"/>
      <c r="AY26" s="51" t="n"/>
      <c r="AZ26" s="51" t="n"/>
      <c r="BA26" s="51" t="n"/>
      <c r="BB26" s="51" t="n"/>
      <c r="BC26" s="51" t="n"/>
      <c r="BD26" s="51" t="n"/>
      <c r="BE26" s="51" t="n"/>
    </row>
    <row r="27" ht="15.75" customHeight="1"/>
    <row r="28" ht="15.75" customHeight="1"/>
    <row r="29" ht="15.75" customFormat="1" customHeight="1" s="21">
      <c r="A29" s="23" t="inlineStr">
        <is>
          <t>Amazon</t>
        </is>
      </c>
      <c r="D29" s="22" t="n"/>
    </row>
    <row r="30" ht="15.75" customHeight="1">
      <c r="A30" s="1" t="inlineStr">
        <is>
          <t>Sell-in value</t>
        </is>
      </c>
      <c r="D30" s="24" t="inlineStr">
        <is>
          <t>$k</t>
        </is>
      </c>
      <c r="E30" s="52" t="n">
        <v>477.558</v>
      </c>
      <c r="F30" s="52" t="n">
        <v>657.735</v>
      </c>
      <c r="G30" s="52" t="n">
        <v>1031.807</v>
      </c>
      <c r="H30" s="52" t="n">
        <v>375.815</v>
      </c>
      <c r="I30" s="52" t="n">
        <v>919.802</v>
      </c>
      <c r="J30" s="52" t="n">
        <v>743.9</v>
      </c>
      <c r="K30" s="52" t="n">
        <v>1122.401</v>
      </c>
      <c r="L30" s="52" t="n">
        <v>2015.756</v>
      </c>
      <c r="M30" s="52" t="n">
        <v>1845.494</v>
      </c>
      <c r="N30" s="52" t="n">
        <v>3412.268</v>
      </c>
      <c r="O30" s="52" t="n">
        <v>651.255</v>
      </c>
      <c r="P30" s="52" t="n">
        <v>2116.446</v>
      </c>
      <c r="Q30" s="52" t="n">
        <v>519.106</v>
      </c>
      <c r="R30" s="52" t="n">
        <v>1907.646</v>
      </c>
      <c r="S30" s="52" t="n">
        <v>1186.938</v>
      </c>
      <c r="T30" s="52" t="n">
        <v>1421.368</v>
      </c>
      <c r="U30" s="52" t="n">
        <v>1162.305</v>
      </c>
      <c r="V30" s="52" t="n">
        <v>1254.842</v>
      </c>
      <c r="W30" s="52" t="n">
        <v>3374.807</v>
      </c>
      <c r="X30" s="52" t="n">
        <v>1461.043</v>
      </c>
      <c r="Y30" s="52" t="n">
        <v>5579.827</v>
      </c>
      <c r="Z30" s="52" t="n">
        <v>455.199</v>
      </c>
      <c r="AA30" s="52" t="n">
        <v>2057.414</v>
      </c>
      <c r="AB30" s="52" t="n">
        <v>1847.599</v>
      </c>
      <c r="AC30" s="52" t="n">
        <v>1725.265</v>
      </c>
      <c r="AD30" s="52" t="n">
        <v>2692.767</v>
      </c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</row>
    <row r="31" ht="15.75" customFormat="1" customHeight="1" s="4">
      <c r="A31" s="3" t="n"/>
      <c r="B31" s="4" t="inlineStr">
        <is>
          <t>% of Total - YTD</t>
        </is>
      </c>
      <c r="D31" s="33" t="inlineStr">
        <is>
          <t>%</t>
        </is>
      </c>
      <c r="E31" s="57">
        <f>IFERROR(SUM($E$30:E30)/SUM($E$3:E3),"")</f>
        <v/>
      </c>
      <c r="F31" s="57">
        <f>IFERROR(SUM($E$30:F30)/SUM($E$3:F3),"")</f>
        <v/>
      </c>
      <c r="G31" s="57">
        <f>IFERROR(SUM($E$30:G30)/SUM($E$3:G3),"")</f>
        <v/>
      </c>
      <c r="H31" s="57">
        <f>IFERROR(SUM($E$30:H30)/SUM($E$3:H3),"")</f>
        <v/>
      </c>
      <c r="I31" s="57">
        <f>IFERROR(SUM($E$30:I30)/SUM($E$3:I3),"")</f>
        <v/>
      </c>
      <c r="J31" s="57">
        <f>IFERROR(SUM($E$30:J30)/SUM($E$3:J3),"")</f>
        <v/>
      </c>
      <c r="K31" s="57">
        <f>IFERROR(SUM($E$30:K30)/SUM($E$3:K3),"")</f>
        <v/>
      </c>
      <c r="L31" s="57">
        <f>IFERROR(SUM($E$30:L30)/SUM($E$3:L3),"")</f>
        <v/>
      </c>
      <c r="M31" s="57">
        <f>IFERROR(SUM($E$30:M30)/SUM($E$3:M3),"")</f>
        <v/>
      </c>
      <c r="N31" s="57">
        <f>IFERROR(SUM($E$30:N30)/SUM($E$3:N3),"")</f>
        <v/>
      </c>
      <c r="O31" s="57">
        <f>IFERROR(SUM($E$30:O30)/SUM($E$3:O3),"")</f>
        <v/>
      </c>
      <c r="P31" s="57">
        <f>IFERROR(SUM($E$30:P30)/SUM($E$3:P3),"")</f>
        <v/>
      </c>
      <c r="Q31" s="57">
        <f>IFERROR(SUM($E$30:Q30)/SUM($E$3:Q3),"")</f>
        <v/>
      </c>
      <c r="R31" s="57">
        <f>IFERROR(SUM($E$30:R30)/SUM($E$3:R3),"")</f>
        <v/>
      </c>
      <c r="S31" s="57">
        <f>IFERROR(SUM($E$30:S30)/SUM($E$3:S3),"")</f>
        <v/>
      </c>
      <c r="T31" s="57">
        <f>IFERROR(SUM($E$30:T30)/SUM($E$3:T3),"")</f>
        <v/>
      </c>
      <c r="U31" s="57">
        <f>IFERROR(SUM($E$30:U30)/SUM($E$3:U3),"")</f>
        <v/>
      </c>
      <c r="V31" s="57">
        <f>IFERROR(SUM($E$30:V30)/SUM($E$3:V3),"")</f>
        <v/>
      </c>
      <c r="W31" s="57">
        <f>IFERROR(SUM($E$30:W30)/SUM($E$3:W3),"")</f>
        <v/>
      </c>
      <c r="X31" s="57">
        <f>IFERROR(SUM($E$30:X30)/SUM($E$3:X3),"")</f>
        <v/>
      </c>
      <c r="Y31" s="57">
        <f>IFERROR(SUM($E$30:Y30)/SUM($E$3:Y3),"")</f>
        <v/>
      </c>
      <c r="Z31" s="57">
        <f>IFERROR(SUM($E$30:Z30)/SUM($E$3:Z3),"")</f>
        <v/>
      </c>
      <c r="AA31" s="57">
        <f>IFERROR(SUM($E$30:AA30)/SUM($E$3:AA3),"")</f>
        <v/>
      </c>
      <c r="AB31" s="57">
        <f>IFERROR(SUM($E$30:AB30)/SUM($E$3:AB3),"")</f>
        <v/>
      </c>
      <c r="AC31" s="57">
        <f>IFERROR(SUM($E$30:AC30)/SUM($E$3:AC3),"")</f>
        <v/>
      </c>
      <c r="AD31" s="57">
        <f>IFERROR(SUM($E$30:AD30)/SUM($E$3:AD3),"")</f>
        <v/>
      </c>
      <c r="AE31" s="57" t="n"/>
      <c r="AF31" s="57" t="n"/>
      <c r="AG31" s="57" t="n"/>
      <c r="AH31" s="57" t="n"/>
      <c r="AI31" s="57" t="n"/>
      <c r="AJ31" s="57" t="n"/>
      <c r="AK31" s="57" t="n"/>
      <c r="AL31" s="57" t="n"/>
      <c r="AM31" s="57" t="n"/>
      <c r="AN31" s="57" t="n"/>
      <c r="AO31" s="57" t="n"/>
      <c r="AP31" s="57" t="n"/>
      <c r="AQ31" s="57" t="n"/>
      <c r="AR31" s="57" t="n"/>
      <c r="AS31" s="57" t="n"/>
      <c r="AT31" s="57" t="n"/>
      <c r="AU31" s="57" t="n"/>
      <c r="AV31" s="57" t="n"/>
      <c r="AW31" s="57" t="n"/>
      <c r="AX31" s="57" t="n"/>
      <c r="AY31" s="57" t="n"/>
      <c r="AZ31" s="57" t="n"/>
      <c r="BA31" s="57" t="n"/>
      <c r="BB31" s="57" t="n"/>
      <c r="BC31" s="57" t="n"/>
      <c r="BD31" s="57" t="n"/>
      <c r="BE31" s="57" t="n"/>
    </row>
    <row r="32" ht="15.75" customFormat="1" customHeight="1" s="7">
      <c r="B32" s="7" t="inlineStr">
        <is>
          <t>% of Target</t>
        </is>
      </c>
      <c r="D32" s="8" t="inlineStr">
        <is>
          <t>%</t>
        </is>
      </c>
      <c r="E32" s="53">
        <f>IFERROR(E30/E34,"")</f>
        <v/>
      </c>
      <c r="F32" s="53">
        <f>IFERROR(F30/F34,"")</f>
        <v/>
      </c>
      <c r="G32" s="53">
        <f>IFERROR(G30/G34,"")</f>
        <v/>
      </c>
      <c r="H32" s="53">
        <f>IFERROR(H30/H34,"")</f>
        <v/>
      </c>
      <c r="I32" s="53">
        <f>IFERROR(I30/I34,"")</f>
        <v/>
      </c>
      <c r="J32" s="53">
        <f>IFERROR(J30/J34,"")</f>
        <v/>
      </c>
      <c r="K32" s="53">
        <f>IFERROR(K30/K34,"")</f>
        <v/>
      </c>
      <c r="L32" s="53">
        <f>IFERROR(L30/L34,"")</f>
        <v/>
      </c>
      <c r="M32" s="53">
        <f>IFERROR(M30/M34,"")</f>
        <v/>
      </c>
      <c r="N32" s="53">
        <f>IFERROR(N30/N34,"")</f>
        <v/>
      </c>
      <c r="O32" s="53">
        <f>IFERROR(O30/O34,"")</f>
        <v/>
      </c>
      <c r="P32" s="53">
        <f>IFERROR(P30/P34,"")</f>
        <v/>
      </c>
      <c r="Q32" s="53">
        <f>IFERROR(Q30/Q34,"")</f>
        <v/>
      </c>
      <c r="R32" s="53">
        <f>IFERROR(R30/R34,"")</f>
        <v/>
      </c>
      <c r="S32" s="53">
        <f>IFERROR(S30/S34,"")</f>
        <v/>
      </c>
      <c r="T32" s="53">
        <f>IFERROR(T30/T34,"")</f>
        <v/>
      </c>
      <c r="U32" s="53">
        <f>IFERROR(U30/U34,"")</f>
        <v/>
      </c>
      <c r="V32" s="53">
        <f>IFERROR(V30/V34,"")</f>
        <v/>
      </c>
      <c r="W32" s="53">
        <f>IFERROR(W30/W34,"")</f>
        <v/>
      </c>
      <c r="X32" s="53">
        <f>IFERROR(X30/X34,"")</f>
        <v/>
      </c>
      <c r="Y32" s="53">
        <f>IFERROR(Y30/Y34,"")</f>
        <v/>
      </c>
      <c r="Z32" s="53">
        <f>IFERROR(Z30/Z34,"")</f>
        <v/>
      </c>
      <c r="AA32" s="53">
        <f>IFERROR(AA30/AA34,"")</f>
        <v/>
      </c>
      <c r="AB32" s="53">
        <f>IFERROR(AB30/AB34,"")</f>
        <v/>
      </c>
      <c r="AC32" s="53">
        <f>IFERROR(AC30/AC34,"")</f>
        <v/>
      </c>
      <c r="AD32" s="53">
        <f>IFERROR(AD30/AD34,"")</f>
        <v/>
      </c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</row>
    <row r="33" ht="15.75" customFormat="1" customHeight="1" s="7">
      <c r="B33" s="7" t="inlineStr">
        <is>
          <t>% of Target - YTD</t>
        </is>
      </c>
      <c r="D33" s="8" t="inlineStr">
        <is>
          <t>%</t>
        </is>
      </c>
      <c r="E33" s="53">
        <f>IFERROR(SUM($E$30:E30)/SUM($E$34:E34),"")</f>
        <v/>
      </c>
      <c r="F33" s="53">
        <f>IFERROR(SUM($E$30:F30)/SUM($E$34:F34),"")</f>
        <v/>
      </c>
      <c r="G33" s="53">
        <f>IFERROR(SUM($E$30:G30)/SUM($E$34:G34),"")</f>
        <v/>
      </c>
      <c r="H33" s="53">
        <f>IFERROR(SUM($E$30:H30)/SUM($E$34:H34),"")</f>
        <v/>
      </c>
      <c r="I33" s="53">
        <f>IFERROR(SUM($E$30:I30)/SUM($E$34:I34),"")</f>
        <v/>
      </c>
      <c r="J33" s="53">
        <f>IFERROR(SUM($E$30:J30)/SUM($E$34:J34),"")</f>
        <v/>
      </c>
      <c r="K33" s="53">
        <f>IFERROR(SUM($E$30:K30)/SUM($E$34:K34),"")</f>
        <v/>
      </c>
      <c r="L33" s="53">
        <f>IFERROR(SUM($E$30:L30)/SUM($E$34:L34),"")</f>
        <v/>
      </c>
      <c r="M33" s="53">
        <f>IFERROR(SUM($E$30:M30)/SUM($E$34:M34),"")</f>
        <v/>
      </c>
      <c r="N33" s="53">
        <f>IFERROR(SUM($E$30:N30)/SUM($E$34:N34),"")</f>
        <v/>
      </c>
      <c r="O33" s="53">
        <f>IFERROR(SUM($E$30:O30)/SUM($E$34:O34),"")</f>
        <v/>
      </c>
      <c r="P33" s="53">
        <f>IFERROR(SUM($E$30:P30)/SUM($E$34:P34),"")</f>
        <v/>
      </c>
      <c r="Q33" s="53">
        <f>IFERROR(SUM($E$30:Q30)/SUM($E$34:Q34),"")</f>
        <v/>
      </c>
      <c r="R33" s="53">
        <f>IFERROR(SUM($E$30:R30)/SUM($E$34:R34),"")</f>
        <v/>
      </c>
      <c r="S33" s="53">
        <f>IFERROR(SUM($E$30:S30)/SUM($E$34:S34),"")</f>
        <v/>
      </c>
      <c r="T33" s="53">
        <f>IFERROR(SUM($E$30:T30)/SUM($E$34:T34),"")</f>
        <v/>
      </c>
      <c r="U33" s="53">
        <f>IFERROR(SUM($E$30:U30)/SUM($E$34:U34),"")</f>
        <v/>
      </c>
      <c r="V33" s="53">
        <f>IFERROR(SUM($E$30:V30)/SUM($E$34:V34),"")</f>
        <v/>
      </c>
      <c r="W33" s="53">
        <f>IFERROR(SUM($E$30:W30)/SUM($E$34:W34),"")</f>
        <v/>
      </c>
      <c r="X33" s="53">
        <f>IFERROR(SUM($E$30:X30)/SUM($E$34:X34),"")</f>
        <v/>
      </c>
      <c r="Y33" s="53">
        <f>IFERROR(SUM($E$30:Y30)/SUM($E$34:Y34),"")</f>
        <v/>
      </c>
      <c r="Z33" s="53">
        <f>IFERROR(SUM($E$30:Z30)/SUM($E$34:Z34),"")</f>
        <v/>
      </c>
      <c r="AA33" s="53">
        <f>IFERROR(SUM($E$30:AA30)/SUM($E$34:AA34),"")</f>
        <v/>
      </c>
      <c r="AB33" s="53">
        <f>IFERROR(SUM($E$30:AB30)/SUM($E$34:AB34),"")</f>
        <v/>
      </c>
      <c r="AC33" s="53">
        <f>IFERROR(SUM($E$30:AC30)/SUM($E$34:AC34),"")</f>
        <v/>
      </c>
      <c r="AD33" s="53">
        <f>IFERROR(SUM($E$30:AD30)/SUM($E$34:AD34),"")</f>
        <v/>
      </c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</row>
    <row r="34" ht="15.75" customFormat="1" customHeight="1" s="9">
      <c r="B34" s="9" t="inlineStr">
        <is>
          <t>Target</t>
        </is>
      </c>
      <c r="D34" s="10" t="inlineStr">
        <is>
          <t>$k</t>
        </is>
      </c>
      <c r="E34" s="54" t="n">
        <v>455.453798768</v>
      </c>
      <c r="F34" s="54" t="n">
        <v>797.044147844</v>
      </c>
      <c r="G34" s="54" t="n">
        <v>797.044147844</v>
      </c>
      <c r="H34" s="54" t="n">
        <v>797.044147844</v>
      </c>
      <c r="I34" s="54" t="n">
        <v>862.6127626839999</v>
      </c>
      <c r="J34" s="54" t="n">
        <v>1256.0345</v>
      </c>
      <c r="K34" s="54" t="n">
        <v>1256.0345</v>
      </c>
      <c r="L34" s="54" t="n">
        <v>1256.0345</v>
      </c>
      <c r="M34" s="54" t="n">
        <v>1226.77500609</v>
      </c>
      <c r="N34" s="54" t="n">
        <v>1051.207994354</v>
      </c>
      <c r="O34" s="54" t="n">
        <v>1051.207994354</v>
      </c>
      <c r="P34" s="54" t="n">
        <v>1051.207994354</v>
      </c>
      <c r="Q34" s="54" t="n">
        <v>1051.207994354</v>
      </c>
      <c r="R34" s="54" t="n">
        <v>1004.767383419</v>
      </c>
      <c r="S34" s="54" t="n">
        <v>986.1877578249999</v>
      </c>
      <c r="T34" s="54" t="n">
        <v>986.1877578249999</v>
      </c>
      <c r="U34" s="54" t="n">
        <v>986.1877578249999</v>
      </c>
      <c r="V34" s="54" t="n">
        <v>1123.787621189</v>
      </c>
      <c r="W34" s="54" t="n">
        <v>1307.255514516</v>
      </c>
      <c r="X34" s="54" t="n">
        <v>1307.255514516</v>
      </c>
      <c r="Y34" s="54" t="n">
        <v>1307.255514516</v>
      </c>
      <c r="Z34" s="54" t="n">
        <v>1307.255514516</v>
      </c>
      <c r="AA34" s="54" t="n">
        <v>2523.950927684</v>
      </c>
      <c r="AB34" s="54" t="n">
        <v>2523.950927684</v>
      </c>
      <c r="AC34" s="54" t="n">
        <v>2523.950927684</v>
      </c>
      <c r="AD34" s="54" t="n">
        <v>2523.950927684</v>
      </c>
      <c r="AE34" s="54" t="n">
        <v>1441.264290116</v>
      </c>
      <c r="AF34" s="54" t="n">
        <v>1008.18314492</v>
      </c>
      <c r="AG34" s="54" t="n">
        <v>1008.18314492</v>
      </c>
      <c r="AH34" s="54" t="n">
        <v>1008.18314492</v>
      </c>
      <c r="AI34" s="54" t="n">
        <v>999.350710972</v>
      </c>
      <c r="AJ34" s="54" t="n">
        <v>977.269626102</v>
      </c>
      <c r="AK34" s="54" t="n">
        <v>977.269626102</v>
      </c>
      <c r="AL34" s="54" t="n">
        <v>977.269626102</v>
      </c>
      <c r="AM34" s="54" t="n">
        <v>977.269626102</v>
      </c>
      <c r="AN34" s="54" t="n">
        <v>1507.872146586</v>
      </c>
      <c r="AO34" s="54" t="n">
        <v>1596.303619563</v>
      </c>
      <c r="AP34" s="54" t="n">
        <v>1596.303619563</v>
      </c>
      <c r="AQ34" s="54" t="n">
        <v>1596.303619563</v>
      </c>
      <c r="AR34" s="54" t="n">
        <v>2577.96021556</v>
      </c>
      <c r="AS34" s="54" t="n">
        <v>3314.20095223</v>
      </c>
      <c r="AT34" s="54" t="n">
        <v>3314.20095223</v>
      </c>
      <c r="AU34" s="54" t="n">
        <v>3314.20095223</v>
      </c>
      <c r="AV34" s="54" t="n">
        <v>3267.117709557</v>
      </c>
      <c r="AW34" s="54" t="n">
        <v>2984.643836217</v>
      </c>
      <c r="AX34" s="54" t="n">
        <v>2984.643836217</v>
      </c>
      <c r="AY34" s="54" t="n">
        <v>2984.643836217</v>
      </c>
      <c r="AZ34" s="54" t="n">
        <v>2984.643836217</v>
      </c>
      <c r="BA34" s="54" t="n">
        <v>1290.103082949</v>
      </c>
      <c r="BB34" s="54" t="n">
        <v>1007.683887854</v>
      </c>
      <c r="BC34" s="54" t="n">
        <v>1007.683887854</v>
      </c>
      <c r="BD34" s="54" t="n">
        <v>1007.683887854</v>
      </c>
      <c r="BE34" s="54" t="n">
        <v>575.819364488</v>
      </c>
    </row>
    <row r="35" ht="15.75" customHeight="1"/>
    <row r="36" ht="15.75" customHeight="1">
      <c r="A36" s="1" t="inlineStr">
        <is>
          <t xml:space="preserve">Sell-through units </t>
        </is>
      </c>
      <c r="D36" s="24" t="inlineStr">
        <is>
          <t>#</t>
        </is>
      </c>
      <c r="E36" s="52" t="n">
        <v>34858</v>
      </c>
      <c r="F36" s="52" t="n">
        <v>37220</v>
      </c>
      <c r="G36" s="52" t="n">
        <v>39813</v>
      </c>
      <c r="H36" s="52" t="n">
        <v>35886</v>
      </c>
      <c r="I36" s="52" t="n">
        <v>32741</v>
      </c>
      <c r="J36" s="52" t="n">
        <v>36540</v>
      </c>
      <c r="K36" s="52" t="n">
        <v>37823</v>
      </c>
      <c r="L36" s="52" t="n">
        <v>41180</v>
      </c>
      <c r="M36" s="52" t="n">
        <v>38691</v>
      </c>
      <c r="N36" s="52" t="n">
        <v>38110</v>
      </c>
      <c r="O36" s="52" t="n">
        <v>37873</v>
      </c>
      <c r="P36" s="52" t="n">
        <v>35396</v>
      </c>
      <c r="Q36" s="52" t="n">
        <v>45167</v>
      </c>
      <c r="R36" s="52" t="n">
        <v>43794</v>
      </c>
      <c r="S36" s="52" t="n">
        <v>40363</v>
      </c>
      <c r="T36" s="52" t="n">
        <v>45034</v>
      </c>
      <c r="U36" s="52" t="n">
        <v>32833</v>
      </c>
      <c r="V36" s="52" t="n">
        <v>30719</v>
      </c>
      <c r="W36" s="52" t="n">
        <v>33824</v>
      </c>
      <c r="X36" s="52" t="n">
        <v>35388</v>
      </c>
      <c r="Y36" s="52" t="n">
        <v>41024</v>
      </c>
      <c r="Z36" s="52" t="n">
        <v>38112</v>
      </c>
      <c r="AA36" s="52" t="n">
        <v>38195</v>
      </c>
      <c r="AB36" s="52" t="n">
        <v>38868</v>
      </c>
      <c r="AC36" s="52" t="n">
        <v>55203</v>
      </c>
      <c r="AD36" s="52" t="n">
        <v>109522</v>
      </c>
      <c r="AE36" s="52" t="n"/>
      <c r="AF36" s="52" t="n"/>
      <c r="AG36" s="52" t="n"/>
      <c r="AH36" s="52" t="n"/>
      <c r="AI36" s="52" t="n"/>
      <c r="AJ36" s="52" t="n"/>
      <c r="AK36" s="52" t="n"/>
      <c r="AL36" s="52" t="n"/>
      <c r="AM36" s="52" t="n"/>
      <c r="AN36" s="52" t="n"/>
      <c r="AO36" s="52" t="n"/>
      <c r="AP36" s="52" t="n"/>
      <c r="AQ36" s="52" t="n"/>
      <c r="AR36" s="52" t="n"/>
      <c r="AS36" s="52" t="n"/>
      <c r="AT36" s="52" t="n"/>
      <c r="AU36" s="52" t="n"/>
      <c r="AV36" s="52" t="n"/>
      <c r="AW36" s="52" t="n"/>
      <c r="AX36" s="52" t="n"/>
      <c r="AY36" s="52" t="n"/>
      <c r="AZ36" s="52" t="n"/>
      <c r="BA36" s="52" t="n"/>
      <c r="BB36" s="52" t="n"/>
      <c r="BC36" s="52" t="n"/>
      <c r="BD36" s="52" t="n"/>
      <c r="BE36" s="52" t="n"/>
    </row>
    <row r="37" ht="15.75" customFormat="1" customHeight="1" s="4">
      <c r="A37" s="3" t="n"/>
      <c r="B37" s="4" t="inlineStr">
        <is>
          <t>% of Total - YTD</t>
        </is>
      </c>
      <c r="D37" s="33" t="inlineStr">
        <is>
          <t>%</t>
        </is>
      </c>
      <c r="E37" s="57">
        <f>IFERROR(SUM($E$36:E36)/SUM($E$4:E4),"")</f>
        <v/>
      </c>
      <c r="F37" s="57">
        <f>IFERROR(SUM($E$36:F36)/SUM($E$4:F4),"")</f>
        <v/>
      </c>
      <c r="G37" s="57">
        <f>IFERROR(SUM($E$36:G36)/SUM($E$4:G4),"")</f>
        <v/>
      </c>
      <c r="H37" s="57">
        <f>IFERROR(SUM($E$36:H36)/SUM($E$4:H4),"")</f>
        <v/>
      </c>
      <c r="I37" s="57">
        <f>IFERROR(SUM($E$36:I36)/SUM($E$4:I4),"")</f>
        <v/>
      </c>
      <c r="J37" s="57">
        <f>IFERROR(SUM($E$36:J36)/SUM($E$4:J4),"")</f>
        <v/>
      </c>
      <c r="K37" s="57">
        <f>IFERROR(SUM($E$36:K36)/SUM($E$4:K4),"")</f>
        <v/>
      </c>
      <c r="L37" s="57">
        <f>IFERROR(SUM($E$36:L36)/SUM($E$4:L4),"")</f>
        <v/>
      </c>
      <c r="M37" s="57">
        <f>IFERROR(SUM($E$36:M36)/SUM($E$4:M4),"")</f>
        <v/>
      </c>
      <c r="N37" s="57">
        <f>IFERROR(SUM($E$36:N36)/SUM($E$4:N4),"")</f>
        <v/>
      </c>
      <c r="O37" s="57">
        <f>IFERROR(SUM($E$36:O36)/SUM($E$4:O4),"")</f>
        <v/>
      </c>
      <c r="P37" s="57">
        <f>IFERROR(SUM($E$36:P36)/SUM($E$4:P4),"")</f>
        <v/>
      </c>
      <c r="Q37" s="57">
        <f>IFERROR(SUM($E$36:Q36)/SUM($E$4:Q4),"")</f>
        <v/>
      </c>
      <c r="R37" s="57">
        <f>IFERROR(SUM($E$36:R36)/SUM($E$4:R4),"")</f>
        <v/>
      </c>
      <c r="S37" s="57">
        <f>IFERROR(SUM($E$36:S36)/SUM($E$4:S4),"")</f>
        <v/>
      </c>
      <c r="T37" s="57">
        <f>IFERROR(SUM($E$36:T36)/SUM($E$4:T4),"")</f>
        <v/>
      </c>
      <c r="U37" s="57">
        <f>IFERROR(SUM($E$36:U36)/SUM($E$4:U4),"")</f>
        <v/>
      </c>
      <c r="V37" s="57">
        <f>IFERROR(SUM($E$36:V36)/SUM($E$4:V4),"")</f>
        <v/>
      </c>
      <c r="W37" s="57">
        <f>IFERROR(SUM($E$36:W36)/SUM($E$4:W4),"")</f>
        <v/>
      </c>
      <c r="X37" s="57">
        <f>IFERROR(SUM($E$36:X36)/SUM($E$4:X4),"")</f>
        <v/>
      </c>
      <c r="Y37" s="57">
        <f>IFERROR(SUM($E$36:Y36)/SUM($E$4:Y4),"")</f>
        <v/>
      </c>
      <c r="Z37" s="57">
        <f>IFERROR(SUM($E$36:Z36)/SUM($E$4:Z4),"")</f>
        <v/>
      </c>
      <c r="AA37" s="57">
        <f>IFERROR(SUM($E$36:AA36)/SUM($E$4:AA4),"")</f>
        <v/>
      </c>
      <c r="AB37" s="57">
        <f>IFERROR(SUM($E$36:AB36)/SUM($E$4:AB4),"")</f>
        <v/>
      </c>
      <c r="AC37" s="57">
        <f>IFERROR(SUM($E$36:AC36)/SUM($E$4:AC4),"")</f>
        <v/>
      </c>
      <c r="AD37" s="57">
        <f>IFERROR(SUM($E$36:AD36)/SUM($E$4:AD4),"")</f>
        <v/>
      </c>
      <c r="AE37" s="57" t="n"/>
      <c r="AF37" s="57" t="n"/>
      <c r="AG37" s="57" t="n"/>
      <c r="AH37" s="57" t="n"/>
      <c r="AI37" s="57" t="n"/>
      <c r="AJ37" s="57" t="n"/>
      <c r="AK37" s="57" t="n"/>
      <c r="AL37" s="57" t="n"/>
      <c r="AM37" s="57" t="n"/>
      <c r="AN37" s="57" t="n"/>
      <c r="AO37" s="57" t="n"/>
      <c r="AP37" s="57" t="n"/>
      <c r="AQ37" s="57" t="n"/>
      <c r="AR37" s="57" t="n"/>
      <c r="AS37" s="57" t="n"/>
      <c r="AT37" s="57" t="n"/>
      <c r="AU37" s="57" t="n"/>
      <c r="AV37" s="57" t="n"/>
      <c r="AW37" s="57" t="n"/>
      <c r="AX37" s="57" t="n"/>
      <c r="AY37" s="57" t="n"/>
      <c r="AZ37" s="57" t="n"/>
      <c r="BA37" s="57" t="n"/>
      <c r="BB37" s="57" t="n"/>
      <c r="BC37" s="57" t="n"/>
      <c r="BD37" s="57" t="n"/>
      <c r="BE37" s="57" t="n"/>
    </row>
    <row r="38" ht="15.75" customFormat="1" customHeight="1" s="16">
      <c r="A38" s="15" t="n"/>
      <c r="B38" s="16" t="inlineStr">
        <is>
          <t>% of Target</t>
        </is>
      </c>
      <c r="D38" s="17" t="inlineStr">
        <is>
          <t>%</t>
        </is>
      </c>
      <c r="E38" s="53">
        <f>IFERROR(E36/E40,"")</f>
        <v/>
      </c>
      <c r="F38" s="53">
        <f>IFERROR(F36/F40,"")</f>
        <v/>
      </c>
      <c r="G38" s="53">
        <f>IFERROR(G36/G40,"")</f>
        <v/>
      </c>
      <c r="H38" s="53">
        <f>IFERROR(H36/H40,"")</f>
        <v/>
      </c>
      <c r="I38" s="53">
        <f>IFERROR(I36/I40,"")</f>
        <v/>
      </c>
      <c r="J38" s="53">
        <f>IFERROR(J36/J40,"")</f>
        <v/>
      </c>
      <c r="K38" s="53">
        <f>IFERROR(K36/K40,"")</f>
        <v/>
      </c>
      <c r="L38" s="53">
        <f>IFERROR(L36/L40,"")</f>
        <v/>
      </c>
      <c r="M38" s="53">
        <f>IFERROR(M36/M40,"")</f>
        <v/>
      </c>
      <c r="N38" s="53">
        <f>IFERROR(N36/N40,"")</f>
        <v/>
      </c>
      <c r="O38" s="53">
        <f>IFERROR(O36/O40,"")</f>
        <v/>
      </c>
      <c r="P38" s="53">
        <f>IFERROR(P36/P40,"")</f>
        <v/>
      </c>
      <c r="Q38" s="53">
        <f>IFERROR(Q36/Q40,"")</f>
        <v/>
      </c>
      <c r="R38" s="53">
        <f>IFERROR(R36/R40,"")</f>
        <v/>
      </c>
      <c r="S38" s="53">
        <f>IFERROR(S36/S40,"")</f>
        <v/>
      </c>
      <c r="T38" s="53">
        <f>IFERROR(T36/T40,"")</f>
        <v/>
      </c>
      <c r="U38" s="53">
        <f>IFERROR(U36/U40,"")</f>
        <v/>
      </c>
      <c r="V38" s="53">
        <f>IFERROR(V36/V40,"")</f>
        <v/>
      </c>
      <c r="W38" s="53">
        <f>IFERROR(W36/W40,"")</f>
        <v/>
      </c>
      <c r="X38" s="53">
        <f>IFERROR(X36/X40,"")</f>
        <v/>
      </c>
      <c r="Y38" s="53">
        <f>IFERROR(Y36/Y40,"")</f>
        <v/>
      </c>
      <c r="Z38" s="53">
        <f>IFERROR(Z36/Z40,"")</f>
        <v/>
      </c>
      <c r="AA38" s="53">
        <f>IFERROR(AA36/AA40,"")</f>
        <v/>
      </c>
      <c r="AB38" s="53">
        <f>IFERROR(AB36/AB40,"")</f>
        <v/>
      </c>
      <c r="AC38" s="53">
        <f>IFERROR(AC36/AC40,"")</f>
        <v/>
      </c>
      <c r="AD38" s="53">
        <f>IFERROR(AD36/AD40,"")</f>
        <v/>
      </c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</row>
    <row r="39" ht="15.75" customFormat="1" customHeight="1" s="16">
      <c r="A39" s="15" t="n"/>
      <c r="B39" s="7" t="inlineStr">
        <is>
          <t>% of Target - YTD</t>
        </is>
      </c>
      <c r="D39" s="17" t="inlineStr">
        <is>
          <t>%</t>
        </is>
      </c>
      <c r="E39" s="53">
        <f>IFERROR(SUM($E$36:E36)/SUM($E$40:E40),"")</f>
        <v/>
      </c>
      <c r="F39" s="53">
        <f>IFERROR(SUM($E$36:F36)/SUM($E$40:F40),"")</f>
        <v/>
      </c>
      <c r="G39" s="53">
        <f>IFERROR(SUM($E$36:G36)/SUM($E$40:G40),"")</f>
        <v/>
      </c>
      <c r="H39" s="53">
        <f>IFERROR(SUM($E$36:H36)/SUM($E$40:H40),"")</f>
        <v/>
      </c>
      <c r="I39" s="53">
        <f>IFERROR(SUM($E$36:I36)/SUM($E$40:I40),"")</f>
        <v/>
      </c>
      <c r="J39" s="53">
        <f>IFERROR(SUM($E$36:J36)/SUM($E$40:J40),"")</f>
        <v/>
      </c>
      <c r="K39" s="53">
        <f>IFERROR(SUM($E$36:K36)/SUM($E$40:K40),"")</f>
        <v/>
      </c>
      <c r="L39" s="53">
        <f>IFERROR(SUM($E$36:L36)/SUM($E$40:L40),"")</f>
        <v/>
      </c>
      <c r="M39" s="53">
        <f>IFERROR(SUM($E$36:M36)/SUM($E$40:M40),"")</f>
        <v/>
      </c>
      <c r="N39" s="53">
        <f>IFERROR(SUM($E$36:N36)/SUM($E$40:N40),"")</f>
        <v/>
      </c>
      <c r="O39" s="53">
        <f>IFERROR(SUM($E$36:O36)/SUM($E$40:O40),"")</f>
        <v/>
      </c>
      <c r="P39" s="53">
        <f>IFERROR(SUM($E$36:P36)/SUM($E$40:P40),"")</f>
        <v/>
      </c>
      <c r="Q39" s="53">
        <f>IFERROR(SUM($E$36:Q36)/SUM($E$40:Q40),"")</f>
        <v/>
      </c>
      <c r="R39" s="53">
        <f>IFERROR(SUM($E$36:R36)/SUM($E$40:R40),"")</f>
        <v/>
      </c>
      <c r="S39" s="53">
        <f>IFERROR(SUM($E$36:S36)/SUM($E$40:S40),"")</f>
        <v/>
      </c>
      <c r="T39" s="53">
        <f>IFERROR(SUM($E$36:T36)/SUM($E$40:T40),"")</f>
        <v/>
      </c>
      <c r="U39" s="53">
        <f>IFERROR(SUM($E$36:U36)/SUM($E$40:U40),"")</f>
        <v/>
      </c>
      <c r="V39" s="53">
        <f>IFERROR(SUM($E$36:V36)/SUM($E$40:V40),"")</f>
        <v/>
      </c>
      <c r="W39" s="53">
        <f>IFERROR(SUM($E$36:W36)/SUM($E$40:W40),"")</f>
        <v/>
      </c>
      <c r="X39" s="53">
        <f>IFERROR(SUM($E$36:X36)/SUM($E$40:X40),"")</f>
        <v/>
      </c>
      <c r="Y39" s="53">
        <f>IFERROR(SUM($E$36:Y36)/SUM($E$40:Y40),"")</f>
        <v/>
      </c>
      <c r="Z39" s="53">
        <f>IFERROR(SUM($E$36:Z36)/SUM($E$40:Z40),"")</f>
        <v/>
      </c>
      <c r="AA39" s="53">
        <f>IFERROR(SUM($E$36:AA36)/SUM($E$40:AA40),"")</f>
        <v/>
      </c>
      <c r="AB39" s="53">
        <f>IFERROR(SUM($E$36:AB36)/SUM($E$40:AB40),"")</f>
        <v/>
      </c>
      <c r="AC39" s="53">
        <f>IFERROR(SUM($E$36:AC36)/SUM($E$40:AC40),"")</f>
        <v/>
      </c>
      <c r="AD39" s="53">
        <f>IFERROR(SUM($E$36:AD36)/SUM($E$40:AD40),"")</f>
        <v/>
      </c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</row>
    <row r="40" ht="15.75" customFormat="1" customHeight="1" s="13">
      <c r="A40" s="12" t="n"/>
      <c r="B40" s="13" t="inlineStr">
        <is>
          <t>Target</t>
        </is>
      </c>
      <c r="D40" s="14" t="inlineStr">
        <is>
          <t>#</t>
        </is>
      </c>
      <c r="E40" s="54" t="n">
        <v>34858</v>
      </c>
      <c r="F40" s="54" t="n">
        <v>20086</v>
      </c>
      <c r="G40" s="54" t="n">
        <v>20091</v>
      </c>
      <c r="H40" s="54" t="n">
        <v>20091</v>
      </c>
      <c r="I40" s="54" t="n">
        <v>20280</v>
      </c>
      <c r="J40" s="54" t="n">
        <v>22514</v>
      </c>
      <c r="K40" s="54" t="n">
        <v>22598</v>
      </c>
      <c r="L40" s="54" t="n">
        <v>22593</v>
      </c>
      <c r="M40" s="54" t="n">
        <v>22941</v>
      </c>
      <c r="N40" s="54" t="n">
        <v>18220</v>
      </c>
      <c r="O40" s="54" t="n">
        <v>18226</v>
      </c>
      <c r="P40" s="54" t="n">
        <v>18224</v>
      </c>
      <c r="Q40" s="54" t="n">
        <v>45832</v>
      </c>
      <c r="R40" s="54" t="n">
        <v>18227</v>
      </c>
      <c r="S40" s="54" t="n">
        <v>18185</v>
      </c>
      <c r="T40" s="54" t="n">
        <v>49571</v>
      </c>
      <c r="U40" s="54" t="n">
        <v>18812</v>
      </c>
      <c r="V40" s="54" t="n">
        <v>19241</v>
      </c>
      <c r="W40" s="54" t="n">
        <v>21500</v>
      </c>
      <c r="X40" s="54" t="n">
        <v>21067</v>
      </c>
      <c r="Y40" s="54" t="n">
        <v>42386</v>
      </c>
      <c r="Z40" s="54" t="n">
        <v>21298</v>
      </c>
      <c r="AA40" s="54" t="n">
        <v>21324</v>
      </c>
      <c r="AB40" s="54" t="n">
        <v>20503</v>
      </c>
      <c r="AC40" s="54" t="n">
        <v>41082</v>
      </c>
      <c r="AD40" s="54" t="n">
        <v>21636</v>
      </c>
      <c r="AE40" s="54" t="n">
        <v>77569</v>
      </c>
      <c r="AF40" s="54" t="n">
        <v>128035</v>
      </c>
      <c r="AG40" s="54" t="n">
        <v>24868</v>
      </c>
      <c r="AH40" s="54" t="n">
        <v>25898</v>
      </c>
      <c r="AI40" s="54" t="n">
        <v>27760</v>
      </c>
      <c r="AJ40" s="54" t="n">
        <v>20623</v>
      </c>
      <c r="AK40" s="54" t="n">
        <v>21438</v>
      </c>
      <c r="AL40" s="54" t="n">
        <v>21436</v>
      </c>
      <c r="AM40" s="54" t="n">
        <v>21821</v>
      </c>
      <c r="AN40" s="54" t="n">
        <v>39532</v>
      </c>
      <c r="AO40" s="54" t="n">
        <v>23093</v>
      </c>
      <c r="AP40" s="54" t="n">
        <v>23291</v>
      </c>
      <c r="AQ40" s="54" t="n">
        <v>23471</v>
      </c>
      <c r="AR40" s="54" t="n">
        <v>24469</v>
      </c>
      <c r="AS40" s="54" t="n">
        <v>75841</v>
      </c>
      <c r="AT40" s="54" t="n">
        <v>25838</v>
      </c>
      <c r="AU40" s="54" t="n">
        <v>27179</v>
      </c>
      <c r="AV40" s="54" t="n">
        <v>25839</v>
      </c>
      <c r="AW40" s="54" t="n">
        <v>27307</v>
      </c>
      <c r="AX40" s="54" t="n">
        <v>27531</v>
      </c>
      <c r="AY40" s="54" t="n">
        <v>27527</v>
      </c>
      <c r="AZ40" s="54" t="n">
        <v>231417</v>
      </c>
      <c r="BA40" s="54" t="n">
        <v>28369</v>
      </c>
      <c r="BB40" s="54" t="n">
        <v>191115</v>
      </c>
      <c r="BC40" s="54" t="n">
        <v>29052</v>
      </c>
      <c r="BD40" s="54" t="n">
        <v>28384</v>
      </c>
      <c r="BE40" s="54" t="n"/>
    </row>
    <row r="41" ht="15.75" customHeight="1">
      <c r="C41" s="11" t="inlineStr">
        <is>
          <t xml:space="preserve">Cam </t>
        </is>
      </c>
      <c r="D41" s="6" t="inlineStr">
        <is>
          <t>#</t>
        </is>
      </c>
      <c r="E41" s="51" t="n">
        <v>25147</v>
      </c>
      <c r="F41" s="51" t="n">
        <v>27642</v>
      </c>
      <c r="G41" s="51" t="n">
        <v>28704</v>
      </c>
      <c r="H41" s="51" t="n">
        <v>26213</v>
      </c>
      <c r="I41" s="51" t="n">
        <v>25390</v>
      </c>
      <c r="J41" s="51" t="n">
        <v>29406</v>
      </c>
      <c r="K41" s="51" t="n">
        <v>30384</v>
      </c>
      <c r="L41" s="51" t="n">
        <v>34306</v>
      </c>
      <c r="M41" s="51" t="n">
        <v>32680</v>
      </c>
      <c r="N41" s="51" t="n">
        <v>32474</v>
      </c>
      <c r="O41" s="51" t="n">
        <v>31668</v>
      </c>
      <c r="P41" s="51" t="n">
        <v>29566</v>
      </c>
      <c r="Q41" s="51" t="n">
        <v>39186</v>
      </c>
      <c r="R41" s="51" t="n">
        <v>37731</v>
      </c>
      <c r="S41" s="51" t="n">
        <v>33786</v>
      </c>
      <c r="T41" s="51" t="n">
        <v>38465</v>
      </c>
      <c r="U41" s="51" t="n">
        <v>28103</v>
      </c>
      <c r="V41" s="51" t="n">
        <v>26032</v>
      </c>
      <c r="W41" s="51" t="n">
        <v>28000</v>
      </c>
      <c r="X41" s="51" t="n">
        <v>29313</v>
      </c>
      <c r="Y41" s="51" t="n">
        <v>34220</v>
      </c>
      <c r="Z41" s="51" t="n">
        <v>31661</v>
      </c>
      <c r="AA41" s="51" t="n">
        <v>32158</v>
      </c>
      <c r="AB41" s="51" t="n">
        <v>33448</v>
      </c>
      <c r="AC41" s="51" t="n">
        <v>48378</v>
      </c>
      <c r="AD41" s="51" t="n">
        <v>99051</v>
      </c>
      <c r="AE41" s="51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</row>
    <row r="42" ht="15.75" customHeight="1">
      <c r="C42" s="11" t="inlineStr">
        <is>
          <t>Non Cam</t>
        </is>
      </c>
      <c r="D42" s="6" t="inlineStr">
        <is>
          <t>#</t>
        </is>
      </c>
      <c r="E42" s="51" t="n">
        <v>9711</v>
      </c>
      <c r="F42" s="51" t="n">
        <v>9578</v>
      </c>
      <c r="G42" s="51" t="n">
        <v>11109</v>
      </c>
      <c r="H42" s="51" t="n">
        <v>9673</v>
      </c>
      <c r="I42" s="51" t="n">
        <v>7351</v>
      </c>
      <c r="J42" s="51" t="n">
        <v>7134</v>
      </c>
      <c r="K42" s="51" t="n">
        <v>7439</v>
      </c>
      <c r="L42" s="51" t="n">
        <v>6874</v>
      </c>
      <c r="M42" s="51" t="n">
        <v>6011</v>
      </c>
      <c r="N42" s="51" t="n">
        <v>5636</v>
      </c>
      <c r="O42" s="51" t="n">
        <v>6205</v>
      </c>
      <c r="P42" s="51" t="n">
        <v>5830</v>
      </c>
      <c r="Q42" s="51" t="n">
        <v>5981</v>
      </c>
      <c r="R42" s="51" t="n">
        <v>6063</v>
      </c>
      <c r="S42" s="51" t="n">
        <v>6577</v>
      </c>
      <c r="T42" s="51" t="n">
        <v>6569</v>
      </c>
      <c r="U42" s="51" t="n">
        <v>4730</v>
      </c>
      <c r="V42" s="51" t="n">
        <v>4687</v>
      </c>
      <c r="W42" s="51" t="n">
        <v>5824</v>
      </c>
      <c r="X42" s="51" t="n">
        <v>6075</v>
      </c>
      <c r="Y42" s="51" t="n">
        <v>6804</v>
      </c>
      <c r="Z42" s="51" t="n">
        <v>6451</v>
      </c>
      <c r="AA42" s="51" t="n">
        <v>6037</v>
      </c>
      <c r="AB42" s="51" t="n">
        <v>5420</v>
      </c>
      <c r="AC42" s="51" t="n">
        <v>6825</v>
      </c>
      <c r="AD42" s="51" t="n">
        <v>10471</v>
      </c>
      <c r="AE42" s="51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</row>
    <row r="43" ht="15.75" customHeight="1">
      <c r="C43" s="6" t="n"/>
    </row>
    <row r="44" ht="15.75" customFormat="1" customHeight="1" s="41">
      <c r="A44" s="40" t="inlineStr">
        <is>
          <t>New Customers (Ads attributed)</t>
        </is>
      </c>
      <c r="C44" s="42" t="n"/>
      <c r="D44" s="43" t="inlineStr">
        <is>
          <t># ppl</t>
        </is>
      </c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>
        <v>826</v>
      </c>
      <c r="R44" s="58" t="n">
        <v>1413</v>
      </c>
      <c r="S44" s="58" t="n">
        <v>1469</v>
      </c>
      <c r="T44" s="58" t="n">
        <v>1719</v>
      </c>
      <c r="U44" s="58" t="n">
        <v>1439</v>
      </c>
      <c r="V44" s="58" t="n">
        <v>1472</v>
      </c>
      <c r="W44" s="58" t="n">
        <v>1299</v>
      </c>
      <c r="X44" s="58" t="n">
        <v>1474</v>
      </c>
      <c r="Y44" s="58" t="n">
        <v>1960</v>
      </c>
      <c r="Z44" s="58" t="n">
        <v>1974</v>
      </c>
      <c r="AA44" s="58" t="n">
        <v>1878</v>
      </c>
      <c r="AB44" s="58" t="n">
        <v>2042</v>
      </c>
      <c r="AC44" s="58" t="n">
        <v>2607</v>
      </c>
      <c r="AD44" s="58" t="n">
        <v>4071</v>
      </c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</row>
    <row r="45" ht="15.75" customFormat="1" customHeight="1" s="41">
      <c r="A45" s="40" t="n"/>
      <c r="B45" s="41" t="inlineStr">
        <is>
          <t>As % of sales units (ads attributed)</t>
        </is>
      </c>
      <c r="C45" s="42" t="n"/>
      <c r="D45" s="42" t="inlineStr">
        <is>
          <t>%</t>
        </is>
      </c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  <c r="AD45" s="59" t="n"/>
      <c r="AE45" s="59" t="n"/>
      <c r="AF45" s="59" t="n"/>
      <c r="AG45" s="59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</row>
    <row r="46" ht="15.75" customFormat="1" customHeight="1" s="41">
      <c r="B46" s="44" t="inlineStr">
        <is>
          <t>% of Target</t>
        </is>
      </c>
      <c r="C46" s="42" t="n"/>
      <c r="D46" s="45" t="inlineStr">
        <is>
          <t>pp</t>
        </is>
      </c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  <c r="BE46" s="60" t="n"/>
    </row>
    <row r="47" ht="15.75" customFormat="1" customHeight="1" s="41">
      <c r="B47" s="44" t="inlineStr">
        <is>
          <t>% of Target - YTD</t>
        </is>
      </c>
      <c r="C47" s="46" t="n"/>
      <c r="D47" s="45" t="inlineStr">
        <is>
          <t>pp</t>
        </is>
      </c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  <c r="Z47" s="60" t="n"/>
      <c r="AA47" s="60" t="n"/>
      <c r="AB47" s="60" t="n"/>
      <c r="AC47" s="60" t="n"/>
      <c r="AD47" s="60" t="n"/>
      <c r="AE47" s="60" t="n"/>
      <c r="AF47" s="60" t="n"/>
      <c r="AG47" s="60" t="n"/>
      <c r="AH47" s="60" t="n"/>
      <c r="AI47" s="60" t="n"/>
      <c r="AJ47" s="60" t="n"/>
      <c r="AK47" s="60" t="n"/>
      <c r="AL47" s="60" t="n"/>
      <c r="AM47" s="60" t="n"/>
      <c r="AN47" s="60" t="n"/>
      <c r="AO47" s="60" t="n"/>
      <c r="AP47" s="60" t="n"/>
      <c r="AQ47" s="60" t="n"/>
      <c r="AR47" s="60" t="n"/>
      <c r="AS47" s="60" t="n"/>
      <c r="AT47" s="60" t="n"/>
      <c r="AU47" s="60" t="n"/>
      <c r="AV47" s="60" t="n"/>
      <c r="AW47" s="60" t="n"/>
      <c r="AX47" s="60" t="n"/>
      <c r="AY47" s="60" t="n"/>
      <c r="AZ47" s="60" t="n"/>
      <c r="BA47" s="60" t="n"/>
      <c r="BB47" s="60" t="n"/>
      <c r="BC47" s="60" t="n"/>
      <c r="BD47" s="60" t="n"/>
      <c r="BE47" s="60" t="n"/>
    </row>
    <row r="48" ht="15.75" customFormat="1" customHeight="1" s="41">
      <c r="B48" s="47" t="inlineStr">
        <is>
          <t>Target</t>
        </is>
      </c>
      <c r="C48" s="42" t="n"/>
      <c r="D48" s="48" t="inlineStr">
        <is>
          <t>%</t>
        </is>
      </c>
      <c r="E48" s="61" t="n">
        <v>0.52</v>
      </c>
      <c r="F48" s="61" t="n">
        <v>0.52</v>
      </c>
      <c r="G48" s="61" t="n">
        <v>0.52</v>
      </c>
      <c r="H48" s="61" t="n">
        <v>0.52</v>
      </c>
      <c r="I48" s="61" t="n">
        <v>0.52</v>
      </c>
      <c r="J48" s="61" t="n">
        <v>0.52</v>
      </c>
      <c r="K48" s="61" t="n">
        <v>0.52</v>
      </c>
      <c r="L48" s="61" t="n">
        <v>0.52</v>
      </c>
      <c r="M48" s="61" t="n">
        <v>0.52</v>
      </c>
      <c r="N48" s="61" t="n">
        <v>0.52</v>
      </c>
      <c r="O48" s="61" t="n">
        <v>0.52</v>
      </c>
      <c r="P48" s="61" t="n">
        <v>0.52</v>
      </c>
      <c r="Q48" s="61" t="n">
        <v>0.52</v>
      </c>
      <c r="R48" s="61" t="n">
        <v>0.52</v>
      </c>
      <c r="S48" s="61" t="n">
        <v>0.52</v>
      </c>
      <c r="T48" s="61" t="n">
        <v>0.52</v>
      </c>
      <c r="U48" s="61" t="n">
        <v>0.52</v>
      </c>
      <c r="V48" s="61" t="n">
        <v>0.52</v>
      </c>
      <c r="W48" s="61" t="n">
        <v>0.52</v>
      </c>
      <c r="X48" s="61" t="n">
        <v>0.52</v>
      </c>
      <c r="Y48" s="61" t="n">
        <v>0.52</v>
      </c>
      <c r="Z48" s="61" t="n">
        <v>0.52</v>
      </c>
      <c r="AA48" s="61" t="n">
        <v>0.52</v>
      </c>
      <c r="AB48" s="61" t="n">
        <v>0.52</v>
      </c>
      <c r="AC48" s="61" t="n">
        <v>0.52</v>
      </c>
      <c r="AD48" s="61" t="n">
        <v>0.52</v>
      </c>
      <c r="AE48" s="61" t="n"/>
      <c r="AF48" s="61" t="n"/>
      <c r="AG48" s="61" t="n"/>
      <c r="AH48" s="61" t="n"/>
      <c r="AI48" s="61" t="n"/>
      <c r="AJ48" s="61" t="n"/>
      <c r="AK48" s="61" t="n"/>
      <c r="AL48" s="61" t="n"/>
      <c r="AM48" s="61" t="n"/>
      <c r="AN48" s="61" t="n"/>
      <c r="AO48" s="61" t="n"/>
      <c r="AP48" s="61" t="n"/>
      <c r="AQ48" s="61" t="n"/>
      <c r="AR48" s="61" t="n"/>
      <c r="AS48" s="61" t="n"/>
      <c r="AT48" s="61" t="n"/>
      <c r="AU48" s="61" t="n"/>
      <c r="AV48" s="61" t="n"/>
      <c r="AW48" s="61" t="n"/>
      <c r="AX48" s="61" t="n"/>
      <c r="AY48" s="61" t="n"/>
      <c r="AZ48" s="61" t="n"/>
      <c r="BA48" s="61" t="n"/>
      <c r="BB48" s="61" t="n"/>
      <c r="BC48" s="61" t="n"/>
      <c r="BD48" s="61" t="n"/>
      <c r="BE48" s="61" t="n"/>
    </row>
    <row r="49" ht="15.75" customHeight="1"/>
    <row r="50" ht="15.75" customFormat="1" customHeight="1" s="1">
      <c r="A50" s="1" t="inlineStr">
        <is>
          <t xml:space="preserve">Promo </t>
        </is>
      </c>
      <c r="B50" s="1" t="inlineStr">
        <is>
          <t>Real-time tracking</t>
        </is>
      </c>
      <c r="D50" s="24" t="inlineStr">
        <is>
          <t>$k</t>
        </is>
      </c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>
        <v>201.34681</v>
      </c>
      <c r="R50" s="52" t="n">
        <v>77.75161999999999</v>
      </c>
      <c r="S50" s="52" t="n">
        <v>123.677</v>
      </c>
      <c r="T50" s="52" t="n">
        <v>149.84</v>
      </c>
      <c r="U50" s="52" t="n">
        <v>11.15</v>
      </c>
      <c r="V50" s="52" t="n">
        <v>4.05</v>
      </c>
      <c r="W50" s="52" t="n">
        <v>11.05</v>
      </c>
      <c r="X50" s="52" t="n">
        <v>17.6</v>
      </c>
      <c r="Y50" s="52" t="n">
        <v>189.881</v>
      </c>
      <c r="Z50" s="52" t="n">
        <v>80.19499999999999</v>
      </c>
      <c r="AA50" s="52" t="n">
        <v>33.1</v>
      </c>
      <c r="AB50" s="52" t="n">
        <v>69.81999999999999</v>
      </c>
      <c r="AC50" s="52" t="n">
        <v>624.3846</v>
      </c>
      <c r="AD50" s="52" t="n">
        <v>1187.35264</v>
      </c>
      <c r="AE50" s="52" t="n"/>
      <c r="AF50" s="52" t="n"/>
      <c r="AG50" s="52" t="n"/>
      <c r="AH50" s="52" t="n"/>
      <c r="AI50" s="52" t="n"/>
      <c r="AJ50" s="52" t="n"/>
      <c r="AK50" s="52" t="n"/>
      <c r="AL50" s="52" t="n"/>
      <c r="AM50" s="52" t="n"/>
      <c r="AN50" s="52" t="n"/>
      <c r="AO50" s="52" t="n"/>
      <c r="AP50" s="52" t="n"/>
      <c r="AQ50" s="52" t="n"/>
      <c r="AR50" s="52" t="n"/>
      <c r="AS50" s="52" t="n"/>
      <c r="AT50" s="52" t="n"/>
      <c r="AU50" s="52" t="n"/>
      <c r="AV50" s="52" t="n"/>
      <c r="AW50" s="52" t="n"/>
      <c r="AX50" s="52" t="n"/>
      <c r="AY50" s="52" t="n"/>
      <c r="AZ50" s="52" t="n"/>
      <c r="BA50" s="52" t="n"/>
      <c r="BB50" s="52" t="n"/>
      <c r="BC50" s="52" t="n"/>
      <c r="BD50" s="52" t="n"/>
      <c r="BE50" s="52" t="n"/>
    </row>
    <row r="51" ht="15.75" customFormat="1" customHeight="1" s="1">
      <c r="A51" s="49" t="n"/>
      <c r="B51" s="49" t="inlineStr">
        <is>
          <t>Finance Actuals (Monthly)</t>
        </is>
      </c>
      <c r="C51" s="49" t="n"/>
      <c r="D51" s="50" t="inlineStr">
        <is>
          <t>$k</t>
        </is>
      </c>
      <c r="E51" s="52" t="n"/>
      <c r="F51" s="52" t="n"/>
      <c r="G51" s="52" t="n"/>
      <c r="H51" s="52" t="n">
        <v>1.8234</v>
      </c>
      <c r="I51" s="52" t="n"/>
      <c r="J51" s="52" t="n"/>
      <c r="K51" s="52" t="n"/>
      <c r="L51" s="52" t="n">
        <v>42.29267</v>
      </c>
      <c r="M51" s="52" t="n"/>
      <c r="N51" s="52" t="n"/>
      <c r="O51" s="52" t="n"/>
      <c r="P51" s="52" t="n"/>
      <c r="Q51" s="52" t="n">
        <v>356.90044</v>
      </c>
      <c r="R51" s="52" t="n"/>
      <c r="S51" s="52" t="n"/>
      <c r="T51" s="52" t="n"/>
      <c r="U51" s="52" t="n">
        <v>339.88061</v>
      </c>
      <c r="V51" s="52" t="n"/>
      <c r="W51" s="52" t="n"/>
      <c r="X51" s="52" t="n"/>
      <c r="Y51" s="52" t="n"/>
      <c r="Z51" s="52" t="n">
        <v>399.10493</v>
      </c>
      <c r="AA51" s="52" t="n"/>
      <c r="AB51" s="52" t="n"/>
      <c r="AC51" s="52" t="n"/>
      <c r="AD51" s="52" t="n"/>
      <c r="AE51" s="52" t="n"/>
      <c r="AF51" s="52" t="n"/>
      <c r="AG51" s="52" t="n"/>
      <c r="AH51" s="52" t="n"/>
      <c r="AI51" s="52" t="n"/>
      <c r="AJ51" s="52" t="n"/>
      <c r="AK51" s="52" t="n"/>
      <c r="AL51" s="52" t="n"/>
      <c r="AM51" s="52" t="n"/>
      <c r="AN51" s="52" t="n"/>
      <c r="AO51" s="52" t="n"/>
      <c r="AP51" s="52" t="n"/>
      <c r="AQ51" s="52" t="n"/>
      <c r="AR51" s="52" t="n"/>
      <c r="AS51" s="52" t="n"/>
      <c r="AT51" s="52" t="n"/>
      <c r="AU51" s="52" t="n"/>
      <c r="AV51" s="52" t="n"/>
      <c r="AW51" s="52" t="n"/>
      <c r="AX51" s="52" t="n"/>
      <c r="AY51" s="52" t="n"/>
      <c r="AZ51" s="52" t="n"/>
      <c r="BA51" s="52" t="n"/>
      <c r="BB51" s="52" t="n"/>
      <c r="BC51" s="52" t="n"/>
      <c r="BD51" s="52" t="n"/>
      <c r="BE51" s="52" t="n"/>
    </row>
    <row r="52" ht="15.75" customFormat="1" customHeight="1" s="9">
      <c r="B52" s="9" t="inlineStr">
        <is>
          <t>Budgeted (Monthly)</t>
        </is>
      </c>
      <c r="D52" s="10" t="inlineStr">
        <is>
          <t>$k</t>
        </is>
      </c>
      <c r="E52" s="54" t="n"/>
      <c r="F52" s="54" t="n"/>
      <c r="G52" s="54" t="n"/>
      <c r="H52" s="54" t="n">
        <v>0</v>
      </c>
      <c r="I52" s="54" t="n"/>
      <c r="J52" s="54" t="n"/>
      <c r="K52" s="54" t="n"/>
      <c r="L52" s="54" t="n">
        <v>0</v>
      </c>
      <c r="M52" s="54" t="n"/>
      <c r="N52" s="54" t="n"/>
      <c r="O52" s="54" t="n"/>
      <c r="P52" s="54" t="n"/>
      <c r="Q52" s="54" t="n">
        <v>301.141</v>
      </c>
      <c r="R52" s="54" t="n"/>
      <c r="S52" s="54" t="n"/>
      <c r="T52" s="54" t="n"/>
      <c r="U52" s="54" t="n">
        <v>266.459</v>
      </c>
      <c r="V52" s="54" t="n"/>
      <c r="W52" s="54" t="n"/>
      <c r="X52" s="54" t="n"/>
      <c r="Y52" s="54" t="n"/>
      <c r="Z52" s="54" t="n">
        <v>130.269</v>
      </c>
      <c r="AA52" s="54" t="n"/>
      <c r="AB52" s="54" t="n"/>
      <c r="AC52" s="54" t="n"/>
      <c r="AD52" s="54" t="n">
        <v>373.997</v>
      </c>
      <c r="AE52" s="54" t="n"/>
      <c r="AF52" s="54" t="n"/>
      <c r="AG52" s="54" t="n"/>
      <c r="AH52" s="54" t="n">
        <v>1931.059</v>
      </c>
      <c r="AI52" s="54" t="n"/>
      <c r="AJ52" s="54" t="n"/>
      <c r="AK52" s="54" t="n"/>
      <c r="AL52" s="54" t="n"/>
      <c r="AM52" s="54" t="n">
        <v>45.196</v>
      </c>
      <c r="AN52" s="54" t="n"/>
      <c r="AO52" s="54" t="n"/>
      <c r="AP52" s="54" t="n"/>
      <c r="AQ52" s="54" t="n">
        <v>105.737</v>
      </c>
      <c r="AR52" s="54" t="n"/>
      <c r="AS52" s="54" t="n"/>
      <c r="AT52" s="54" t="n"/>
      <c r="AU52" s="54" t="n">
        <v>609.049</v>
      </c>
      <c r="AV52" s="54" t="n"/>
      <c r="AW52" s="54" t="n"/>
      <c r="AX52" s="54" t="n"/>
      <c r="AY52" s="54" t="n"/>
      <c r="AZ52" s="54" t="n">
        <v>2587.696</v>
      </c>
      <c r="BA52" s="54" t="n"/>
      <c r="BB52" s="54" t="n"/>
      <c r="BC52" s="54" t="n"/>
      <c r="BD52" s="54" t="n">
        <v>2051.057</v>
      </c>
      <c r="BE52" s="54" t="n"/>
    </row>
    <row r="53" ht="15.75" customHeight="1">
      <c r="B53" s="7" t="inlineStr">
        <is>
          <t>As % of budget - this month</t>
        </is>
      </c>
      <c r="D53" s="17" t="inlineStr">
        <is>
          <t>%</t>
        </is>
      </c>
      <c r="E53" s="53" t="n"/>
      <c r="F53" s="53" t="n"/>
      <c r="G53" s="53" t="n"/>
      <c r="H53" s="53">
        <f>IFERROR(SUM(E51:H51)/H52,"")</f>
        <v/>
      </c>
      <c r="I53" s="53" t="n"/>
      <c r="J53" s="53" t="n"/>
      <c r="K53" s="53" t="n"/>
      <c r="L53" s="53">
        <f>IFERROR(SUM(I51:L51)/L52,"")</f>
        <v/>
      </c>
      <c r="M53" s="53" t="n"/>
      <c r="N53" s="53" t="n"/>
      <c r="O53" s="53" t="n"/>
      <c r="P53" s="53" t="n"/>
      <c r="Q53" s="53">
        <f>IFERROR(SUM(M51:Q51)/Q52,"")</f>
        <v/>
      </c>
      <c r="R53" s="53" t="n"/>
      <c r="S53" s="53" t="n"/>
      <c r="T53" s="53" t="n"/>
      <c r="U53" s="53">
        <f>IFERROR(SUM(R51:U51)/U52,"")</f>
        <v/>
      </c>
      <c r="V53" s="53" t="n"/>
      <c r="W53" s="53" t="n"/>
      <c r="X53" s="53" t="n"/>
      <c r="Y53" s="53" t="n"/>
      <c r="Z53" s="53">
        <f>IFERROR(SUM(V51:Z51)/Z52,"")</f>
        <v/>
      </c>
      <c r="AA53" s="53" t="n"/>
      <c r="AB53" s="53" t="n"/>
      <c r="AC53" s="53" t="n"/>
      <c r="AD53" s="53">
        <f>IFERROR(SUM(AA51:AD51)/AD52,"")</f>
        <v/>
      </c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</row>
    <row r="54" ht="15.75" customHeight="1">
      <c r="B54" s="7" t="inlineStr">
        <is>
          <t>As % of quarterly budget (QTD)</t>
        </is>
      </c>
      <c r="D54" s="17" t="inlineStr">
        <is>
          <t>%</t>
        </is>
      </c>
      <c r="E54" s="53" t="n"/>
      <c r="F54" s="53" t="n"/>
      <c r="G54" s="53" t="n"/>
      <c r="H54" s="53">
        <f>IFERROR(SUM(E51:H51)/(H52+L52+Q52),"")</f>
        <v/>
      </c>
      <c r="I54" s="53" t="n"/>
      <c r="J54" s="53" t="n"/>
      <c r="K54" s="53" t="n"/>
      <c r="L54" s="53">
        <f>IFERROR(SUM(E51:L51)/(H52+L52+Q52),"")</f>
        <v/>
      </c>
      <c r="M54" s="53" t="n"/>
      <c r="N54" s="53" t="n"/>
      <c r="O54" s="53" t="n"/>
      <c r="P54" s="53" t="n"/>
      <c r="Q54" s="53">
        <f>IFERROR(SUM(E51:Q51)/(H52+L52+Q52),"")</f>
        <v/>
      </c>
      <c r="R54" s="53" t="n"/>
      <c r="S54" s="53" t="n"/>
      <c r="T54" s="53" t="n"/>
      <c r="U54" s="53">
        <f>IFERROR(SUM(R51:U51)/(U52+Z52+AD52),"")</f>
        <v/>
      </c>
      <c r="V54" s="53" t="n"/>
      <c r="W54" s="53" t="n"/>
      <c r="X54" s="53" t="n"/>
      <c r="Y54" s="53" t="n"/>
      <c r="Z54" s="53">
        <f>IFERROR(SUM(R51:Z51)/(U52+Z52+AD52),"")</f>
        <v/>
      </c>
      <c r="AA54" s="53" t="n"/>
      <c r="AB54" s="53" t="n"/>
      <c r="AC54" s="53" t="n"/>
      <c r="AD54" s="53">
        <f>IFERROR(SUM(R51:AD51)/(U52+Z52+AD52),"")</f>
        <v/>
      </c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</row>
    <row r="55" ht="15.75" customHeight="1">
      <c r="B55" s="7" t="inlineStr">
        <is>
          <t>As % of annual budget (YTD)</t>
        </is>
      </c>
      <c r="D55" s="17" t="inlineStr">
        <is>
          <t>%</t>
        </is>
      </c>
      <c r="E55" s="53" t="n"/>
      <c r="F55" s="53" t="n"/>
      <c r="G55" s="53" t="n"/>
      <c r="H55" s="53">
        <f>IFERROR(SUM($E$51:H51)/SUM($E$52:BD52),"")</f>
        <v/>
      </c>
      <c r="I55" s="53" t="n"/>
      <c r="J55" s="53" t="n"/>
      <c r="K55" s="53" t="n"/>
      <c r="L55" s="53">
        <f>IFERROR(SUM($E$51:L51)/SUM($E$52:BD52),"")</f>
        <v/>
      </c>
      <c r="M55" s="53" t="n"/>
      <c r="N55" s="53" t="n"/>
      <c r="O55" s="53" t="n"/>
      <c r="P55" s="53" t="n"/>
      <c r="Q55" s="53">
        <f>IFERROR(SUM($E$51:Q51)/SUM($E$52:BD52),"")</f>
        <v/>
      </c>
      <c r="R55" s="53" t="n"/>
      <c r="S55" s="53" t="n"/>
      <c r="T55" s="53" t="n"/>
      <c r="U55" s="53">
        <f>IFERROR(SUM($E$51:U51)/SUM($E$52:BD52),"")</f>
        <v/>
      </c>
      <c r="V55" s="53" t="n"/>
      <c r="W55" s="53" t="n"/>
      <c r="X55" s="53" t="n"/>
      <c r="Y55" s="53" t="n"/>
      <c r="Z55" s="53">
        <f>IFERROR(SUM($E$51:Z51)/SUM($E$52:BD52),"")</f>
        <v/>
      </c>
      <c r="AA55" s="53" t="n"/>
      <c r="AB55" s="53" t="n"/>
      <c r="AC55" s="53" t="n"/>
      <c r="AD55" s="53">
        <f>IFERROR(SUM($E$51:AD51)/SUM($E$52:BD52),"")</f>
        <v/>
      </c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</row>
    <row r="56" ht="15.75" customHeight="1"/>
    <row r="57" ht="15.75" customHeight="1">
      <c r="A57" s="1" t="inlineStr">
        <is>
          <t>Total Marketing</t>
        </is>
      </c>
      <c r="B57" s="1" t="n"/>
      <c r="C57" s="1" t="n"/>
      <c r="D57" s="24" t="inlineStr">
        <is>
          <t>$k</t>
        </is>
      </c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/>
      <c r="AB57" s="52" t="n"/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  <c r="AL57" s="52" t="n"/>
      <c r="AM57" s="52" t="n"/>
      <c r="AN57" s="52" t="n"/>
      <c r="AO57" s="52" t="n"/>
      <c r="AP57" s="52" t="n"/>
      <c r="AQ57" s="52" t="n"/>
      <c r="AR57" s="52" t="n"/>
      <c r="AS57" s="52" t="n"/>
      <c r="AT57" s="52" t="n"/>
      <c r="AU57" s="52" t="n"/>
      <c r="AV57" s="52" t="n"/>
      <c r="AW57" s="52" t="n"/>
      <c r="AX57" s="52" t="n"/>
      <c r="AY57" s="52" t="n"/>
      <c r="AZ57" s="52" t="n"/>
      <c r="BA57" s="52" t="n"/>
      <c r="BB57" s="52" t="n"/>
      <c r="BC57" s="52" t="n"/>
      <c r="BD57" s="52" t="n"/>
      <c r="BE57" s="52" t="n"/>
    </row>
    <row r="58" ht="15.75" customHeight="1">
      <c r="A58" s="1" t="n"/>
      <c r="B58" s="1" t="inlineStr">
        <is>
          <t>Finance Actuals (Monthly)</t>
        </is>
      </c>
      <c r="C58" s="1" t="n"/>
      <c r="D58" s="24" t="inlineStr">
        <is>
          <t>$k</t>
        </is>
      </c>
      <c r="E58" s="52" t="n"/>
      <c r="F58" s="52" t="n"/>
      <c r="G58" s="52" t="n"/>
      <c r="H58" s="52" t="n">
        <v>411.54141</v>
      </c>
      <c r="I58" s="52" t="n"/>
      <c r="J58" s="52" t="n"/>
      <c r="K58" s="52" t="n"/>
      <c r="L58" s="52" t="n">
        <v>442.5354</v>
      </c>
      <c r="M58" s="52" t="n"/>
      <c r="N58" s="52" t="n"/>
      <c r="O58" s="52" t="n"/>
      <c r="P58" s="52" t="n"/>
      <c r="Q58" s="52" t="n">
        <v>378.42062</v>
      </c>
      <c r="R58" s="52" t="n"/>
      <c r="S58" s="52" t="n"/>
      <c r="T58" s="52" t="n"/>
      <c r="U58" s="52" t="n">
        <v>406.08602</v>
      </c>
      <c r="V58" s="52" t="n"/>
      <c r="W58" s="52" t="n"/>
      <c r="X58" s="52" t="n"/>
      <c r="Y58" s="52" t="n"/>
      <c r="Z58" s="52" t="n">
        <v>333.3523700000001</v>
      </c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  <c r="AL58" s="52" t="n"/>
      <c r="AM58" s="52" t="n"/>
      <c r="AN58" s="52" t="n"/>
      <c r="AO58" s="52" t="n"/>
      <c r="AP58" s="52" t="n"/>
      <c r="AQ58" s="52" t="n"/>
      <c r="AR58" s="52" t="n"/>
      <c r="AS58" s="52" t="n"/>
      <c r="AT58" s="52" t="n"/>
      <c r="AU58" s="52" t="n"/>
      <c r="AV58" s="52" t="n"/>
      <c r="AW58" s="52" t="n"/>
      <c r="AX58" s="52" t="n"/>
      <c r="AY58" s="52" t="n"/>
      <c r="AZ58" s="52" t="n"/>
      <c r="BA58" s="52" t="n"/>
      <c r="BB58" s="52" t="n"/>
      <c r="BC58" s="52" t="n"/>
      <c r="BD58" s="52" t="n"/>
      <c r="BE58" s="52" t="n"/>
    </row>
    <row r="59" ht="15.75" customHeight="1">
      <c r="B59" s="9" t="inlineStr">
        <is>
          <t>Budgeted (Monthly)</t>
        </is>
      </c>
      <c r="D59" s="10" t="inlineStr">
        <is>
          <t>$k</t>
        </is>
      </c>
      <c r="E59" s="54" t="n"/>
      <c r="F59" s="54" t="n"/>
      <c r="G59" s="54" t="n"/>
      <c r="H59" s="54" t="n">
        <v>323.8036666666667</v>
      </c>
      <c r="I59" s="54" t="n"/>
      <c r="J59" s="54" t="n"/>
      <c r="K59" s="54" t="n"/>
      <c r="L59" s="54" t="n">
        <v>298.1416666666667</v>
      </c>
      <c r="M59" s="54" t="n"/>
      <c r="N59" s="54" t="n"/>
      <c r="O59" s="54" t="n"/>
      <c r="P59" s="54" t="n"/>
      <c r="Q59" s="54" t="n">
        <v>325.7700666666667</v>
      </c>
      <c r="R59" s="54" t="n"/>
      <c r="S59" s="54" t="n"/>
      <c r="T59" s="54" t="n"/>
      <c r="U59" s="54" t="n">
        <v>552.0629954442227</v>
      </c>
      <c r="V59" s="54" t="n"/>
      <c r="W59" s="54" t="n"/>
      <c r="X59" s="54" t="n"/>
      <c r="Y59" s="54" t="n"/>
      <c r="Z59" s="54" t="n">
        <v>626.8753175846493</v>
      </c>
      <c r="AA59" s="54" t="n"/>
      <c r="AB59" s="54" t="n"/>
      <c r="AC59" s="54" t="n"/>
      <c r="AD59" s="54" t="n">
        <v>841.4774360018671</v>
      </c>
      <c r="AE59" s="54" t="n"/>
      <c r="AF59" s="54" t="n"/>
      <c r="AG59" s="54" t="n"/>
      <c r="AH59" s="54" t="n">
        <v>634.5915547016006</v>
      </c>
      <c r="AI59" s="54" t="n"/>
      <c r="AJ59" s="54" t="n"/>
      <c r="AK59" s="54" t="n"/>
      <c r="AL59" s="54" t="n"/>
      <c r="AM59" s="54" t="n">
        <v>581.4738399665695</v>
      </c>
      <c r="AN59" s="54" t="n"/>
      <c r="AO59" s="54" t="n"/>
      <c r="AP59" s="54" t="n"/>
      <c r="AQ59" s="54" t="n">
        <v>698.8567009324536</v>
      </c>
      <c r="AR59" s="54" t="n"/>
      <c r="AS59" s="54" t="n"/>
      <c r="AT59" s="54" t="n"/>
      <c r="AU59" s="54" t="n">
        <v>1075.291427217836</v>
      </c>
      <c r="AV59" s="54" t="n"/>
      <c r="AW59" s="54" t="n"/>
      <c r="AX59" s="54" t="n"/>
      <c r="AY59" s="54" t="n"/>
      <c r="AZ59" s="54" t="n">
        <v>1015.214417854389</v>
      </c>
      <c r="BA59" s="54" t="n"/>
      <c r="BB59" s="54" t="n"/>
      <c r="BC59" s="54" t="n"/>
      <c r="BD59" s="54" t="n">
        <v>637.0655176357235</v>
      </c>
      <c r="BE59" s="54" t="n"/>
    </row>
    <row r="60" ht="15.75" customHeight="1">
      <c r="B60" s="7" t="inlineStr">
        <is>
          <t>As % of budget - this month</t>
        </is>
      </c>
      <c r="D60" s="17" t="inlineStr">
        <is>
          <t>%</t>
        </is>
      </c>
      <c r="E60" s="53" t="n"/>
      <c r="F60" s="53" t="n"/>
      <c r="G60" s="53" t="n"/>
      <c r="H60" s="53">
        <f>IFERROR(SUM(E58:H58)/H59,"")</f>
        <v/>
      </c>
      <c r="I60" s="53" t="n"/>
      <c r="J60" s="53" t="n"/>
      <c r="K60" s="53" t="n"/>
      <c r="L60" s="53">
        <f>IFERROR(SUM(I58:L58)/L59,"")</f>
        <v/>
      </c>
      <c r="M60" s="53" t="n"/>
      <c r="N60" s="53" t="n"/>
      <c r="O60" s="53" t="n"/>
      <c r="P60" s="53" t="n"/>
      <c r="Q60" s="53">
        <f>IFERROR(SUM(M58:Q58)/Q59,"")</f>
        <v/>
      </c>
      <c r="R60" s="53" t="n"/>
      <c r="S60" s="53" t="n"/>
      <c r="T60" s="53" t="n"/>
      <c r="U60" s="53">
        <f>IFERROR(SUM(R58:U58)/U59,"")</f>
        <v/>
      </c>
      <c r="V60" s="53" t="n"/>
      <c r="W60" s="53" t="n"/>
      <c r="X60" s="53" t="n"/>
      <c r="Y60" s="53" t="n"/>
      <c r="Z60" s="53">
        <f>IFERROR(SUM(V58:Z58)/Z59,"")</f>
        <v/>
      </c>
      <c r="AA60" s="53" t="n"/>
      <c r="AB60" s="53" t="n"/>
      <c r="AC60" s="53" t="n"/>
      <c r="AD60" s="53">
        <f>IFERROR(SUM(AA58:AD58)/AD59,"")</f>
        <v/>
      </c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</row>
    <row r="61" ht="15.75" customHeight="1">
      <c r="B61" s="7" t="inlineStr">
        <is>
          <t>As % of quarterly budget (QTD)</t>
        </is>
      </c>
      <c r="D61" s="17" t="inlineStr">
        <is>
          <t>%</t>
        </is>
      </c>
      <c r="E61" s="53" t="n"/>
      <c r="F61" s="53" t="n"/>
      <c r="G61" s="53" t="n"/>
      <c r="H61" s="53">
        <f>IFERROR(SUM(E58:H58)/(H59+L59+Q59),"")</f>
        <v/>
      </c>
      <c r="I61" s="53" t="n"/>
      <c r="J61" s="53" t="n"/>
      <c r="K61" s="53" t="n"/>
      <c r="L61" s="53">
        <f>IFERROR(SUM(E58:L58)/(H59+L59+Q59),"")</f>
        <v/>
      </c>
      <c r="M61" s="53" t="n"/>
      <c r="N61" s="53" t="n"/>
      <c r="O61" s="53" t="n"/>
      <c r="P61" s="53" t="n"/>
      <c r="Q61" s="53">
        <f>IFERROR(SUM(E58:Q58)/(H59+L59+Q59),"")</f>
        <v/>
      </c>
      <c r="R61" s="53" t="n"/>
      <c r="S61" s="53" t="n"/>
      <c r="T61" s="53" t="n"/>
      <c r="U61" s="53">
        <f>IFERROR(SUM(R58:U58)/(U59+Z59+AD59),"")</f>
        <v/>
      </c>
      <c r="V61" s="53" t="n"/>
      <c r="W61" s="53" t="n"/>
      <c r="X61" s="53" t="n"/>
      <c r="Y61" s="53" t="n"/>
      <c r="Z61" s="53">
        <f>IFERROR(SUM(R58:Z58)/(U59+Z59+AD59),"")</f>
        <v/>
      </c>
      <c r="AA61" s="53" t="n"/>
      <c r="AB61" s="53" t="n"/>
      <c r="AC61" s="53" t="n"/>
      <c r="AD61" s="53">
        <f>IFERROR(SUM(R58:AD58)/(U59+Z59+AD59),"")</f>
        <v/>
      </c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</row>
    <row r="62" ht="15.75" customHeight="1">
      <c r="B62" s="7" t="inlineStr">
        <is>
          <t>As % of annual budget (YTD)</t>
        </is>
      </c>
      <c r="D62" s="17" t="inlineStr">
        <is>
          <t>%</t>
        </is>
      </c>
      <c r="E62" s="53" t="n"/>
      <c r="F62" s="53" t="n"/>
      <c r="G62" s="53" t="n"/>
      <c r="H62" s="53">
        <f>IFERROR(SUM($E$58:H58)/SUM($E$59:BD59),"")</f>
        <v/>
      </c>
      <c r="I62" s="53" t="n"/>
      <c r="J62" s="53" t="n"/>
      <c r="K62" s="53" t="n"/>
      <c r="L62" s="53">
        <f>IFERROR(SUM($E$58:L58)/SUM($E$59:BD59),"")</f>
        <v/>
      </c>
      <c r="M62" s="53" t="n"/>
      <c r="N62" s="53" t="n"/>
      <c r="O62" s="53" t="n"/>
      <c r="P62" s="53" t="n"/>
      <c r="Q62" s="53">
        <f>IFERROR(SUM($E$58:Q58)/SUM($E$59:BD59),"")</f>
        <v/>
      </c>
      <c r="R62" s="53" t="n"/>
      <c r="S62" s="53" t="n"/>
      <c r="T62" s="53" t="n"/>
      <c r="U62" s="53">
        <f>IFERROR(SUM($E$58:U58)/SUM($E$59:BD59),"")</f>
        <v/>
      </c>
      <c r="V62" s="53" t="n"/>
      <c r="W62" s="53" t="n"/>
      <c r="X62" s="53" t="n"/>
      <c r="Y62" s="53" t="n"/>
      <c r="Z62" s="53">
        <f>IFERROR(SUM($E$58:Z58)/SUM($E$59:BD59),"")</f>
        <v/>
      </c>
      <c r="AA62" s="53" t="n"/>
      <c r="AB62" s="53" t="n"/>
      <c r="AC62" s="53" t="n"/>
      <c r="AD62" s="53">
        <f>IFERROR(SUM($E$58:AD58)/SUM($E$59:BD59),"")</f>
        <v/>
      </c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</row>
    <row r="63" ht="15.75" customHeight="1"/>
    <row r="64" ht="15.75" customHeight="1">
      <c r="A64" s="1" t="inlineStr">
        <is>
          <t>Ads - On-site</t>
        </is>
      </c>
      <c r="B64" s="1" t="inlineStr">
        <is>
          <t>Real-time tracking</t>
        </is>
      </c>
      <c r="C64" s="1" t="n"/>
      <c r="D64" s="24" t="inlineStr">
        <is>
          <t>$k</t>
        </is>
      </c>
      <c r="E64" s="52" t="n"/>
      <c r="F64" s="52" t="n"/>
      <c r="G64" s="52" t="n"/>
      <c r="H64" s="52" t="n"/>
      <c r="I64" s="52" t="n"/>
      <c r="J64" s="52" t="n">
        <v>43.9118</v>
      </c>
      <c r="K64" s="52" t="n">
        <v>51.72735</v>
      </c>
      <c r="L64" s="52" t="n">
        <v>51.55761</v>
      </c>
      <c r="M64" s="52" t="n">
        <v>48.37319</v>
      </c>
      <c r="N64" s="52" t="n">
        <v>45.75354</v>
      </c>
      <c r="O64" s="52" t="n">
        <v>44.56591</v>
      </c>
      <c r="P64" s="52" t="n">
        <v>43.45617</v>
      </c>
      <c r="Q64" s="52" t="n">
        <v>51.82136</v>
      </c>
      <c r="R64" s="52" t="n">
        <v>43.78395</v>
      </c>
      <c r="S64" s="52" t="n">
        <v>44.39185</v>
      </c>
      <c r="T64" s="52" t="n">
        <v>51.95358</v>
      </c>
      <c r="U64" s="52" t="n">
        <v>43.527</v>
      </c>
      <c r="V64" s="52" t="n">
        <v>44.14662000000001</v>
      </c>
      <c r="W64" s="52" t="n">
        <v>41.57694</v>
      </c>
      <c r="X64" s="52" t="n">
        <v>41.89388</v>
      </c>
      <c r="Y64" s="52" t="n">
        <v>46.87757</v>
      </c>
      <c r="Z64" s="52" t="n">
        <v>47.55178</v>
      </c>
      <c r="AA64" s="52" t="n">
        <v>44.92541000000001</v>
      </c>
      <c r="AB64" s="52" t="n">
        <v>41.36661</v>
      </c>
      <c r="AC64" s="52" t="n">
        <v>56.29786</v>
      </c>
      <c r="AD64" s="52" t="n">
        <v>92.01335</v>
      </c>
      <c r="AE64" s="52" t="n"/>
      <c r="AF64" s="52" t="n"/>
      <c r="AG64" s="52" t="n"/>
      <c r="AH64" s="52" t="n"/>
      <c r="AI64" s="52" t="n"/>
      <c r="AJ64" s="52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  <c r="BB64" s="52" t="n"/>
      <c r="BC64" s="52" t="n"/>
      <c r="BD64" s="52" t="n"/>
      <c r="BE64" s="52" t="n"/>
    </row>
    <row r="65" ht="15.75" customHeight="1">
      <c r="B65" s="9" t="inlineStr">
        <is>
          <t>Budgeted (Monthly) - On-site</t>
        </is>
      </c>
      <c r="D65" s="10" t="inlineStr">
        <is>
          <t>$k</t>
        </is>
      </c>
      <c r="E65" s="54" t="n"/>
      <c r="F65" s="54" t="n"/>
      <c r="G65" s="54" t="n"/>
      <c r="H65" s="54" t="n">
        <v>164.137</v>
      </c>
      <c r="I65" s="54" t="n"/>
      <c r="J65" s="54" t="n"/>
      <c r="K65" s="54" t="n"/>
      <c r="L65" s="54" t="n">
        <v>131.311</v>
      </c>
      <c r="M65" s="54" t="n"/>
      <c r="N65" s="54" t="n"/>
      <c r="O65" s="54" t="n"/>
      <c r="P65" s="54" t="n"/>
      <c r="Q65" s="54" t="n">
        <v>145.379</v>
      </c>
      <c r="R65" s="54" t="n"/>
      <c r="S65" s="54" t="n"/>
      <c r="T65" s="54" t="n"/>
      <c r="U65" s="54" t="n">
        <v>140.688</v>
      </c>
      <c r="V65" s="54" t="n"/>
      <c r="W65" s="54" t="n"/>
      <c r="X65" s="54" t="n"/>
      <c r="Y65" s="54" t="n"/>
      <c r="Z65" s="54" t="n">
        <v>150.039</v>
      </c>
      <c r="AA65" s="54" t="n"/>
      <c r="AB65" s="54" t="n"/>
      <c r="AC65" s="54" t="n"/>
      <c r="AD65" s="54" t="n">
        <v>145.509</v>
      </c>
      <c r="AE65" s="54" t="n"/>
      <c r="AF65" s="54" t="n"/>
      <c r="AG65" s="54" t="n"/>
      <c r="AH65" s="54" t="n">
        <v>150.36</v>
      </c>
      <c r="AI65" s="54" t="n"/>
      <c r="AJ65" s="54" t="n"/>
      <c r="AK65" s="54" t="n"/>
      <c r="AL65" s="54" t="n"/>
      <c r="AM65" s="54" t="n">
        <v>151.359</v>
      </c>
      <c r="AN65" s="54" t="n"/>
      <c r="AO65" s="54" t="n"/>
      <c r="AP65" s="54" t="n"/>
      <c r="AQ65" s="54" t="n">
        <v>160.507</v>
      </c>
      <c r="AR65" s="54" t="n"/>
      <c r="AS65" s="54" t="n"/>
      <c r="AT65" s="54" t="n"/>
      <c r="AU65" s="54" t="n">
        <v>165.857</v>
      </c>
      <c r="AV65" s="54" t="n"/>
      <c r="AW65" s="54" t="n"/>
      <c r="AX65" s="54" t="n"/>
      <c r="AY65" s="54" t="n"/>
      <c r="AZ65" s="54" t="n">
        <v>160.507</v>
      </c>
      <c r="BA65" s="54" t="n"/>
      <c r="BB65" s="54" t="n"/>
      <c r="BC65" s="54" t="n"/>
      <c r="BD65" s="54" t="n">
        <v>139.107</v>
      </c>
      <c r="BE65" s="54" t="n"/>
    </row>
    <row r="66" ht="15.75" customHeight="1"/>
    <row r="67" ht="15.75" customHeight="1">
      <c r="A67" s="1" t="inlineStr">
        <is>
          <t>Ads - DSP</t>
        </is>
      </c>
      <c r="B67" s="1" t="inlineStr">
        <is>
          <t>Real-time tracking</t>
        </is>
      </c>
      <c r="C67" s="1" t="n"/>
      <c r="D67" s="24" t="inlineStr">
        <is>
          <t>$k</t>
        </is>
      </c>
      <c r="E67" s="52" t="n">
        <v>3.54796</v>
      </c>
      <c r="F67" s="52" t="n">
        <v>5.75428</v>
      </c>
      <c r="G67" s="52" t="n">
        <v>4.30798</v>
      </c>
      <c r="H67" s="52" t="n">
        <v>5.47452</v>
      </c>
      <c r="I67" s="52" t="n">
        <v>6.75321</v>
      </c>
      <c r="J67" s="52" t="n">
        <v>8.345030000000001</v>
      </c>
      <c r="K67" s="52" t="n">
        <v>7.8492</v>
      </c>
      <c r="L67" s="52" t="n">
        <v>7.36939</v>
      </c>
      <c r="M67" s="52" t="n">
        <v>6.31522</v>
      </c>
      <c r="N67" s="52" t="n">
        <v>7.600890000000001</v>
      </c>
      <c r="O67" s="52" t="n">
        <v>7.82422</v>
      </c>
      <c r="P67" s="52" t="n">
        <v>7.56384</v>
      </c>
      <c r="Q67" s="52" t="n">
        <v>8.79857</v>
      </c>
      <c r="R67" s="52" t="n">
        <v>8.025600000000001</v>
      </c>
      <c r="S67" s="52" t="n">
        <v>9.043340000000001</v>
      </c>
      <c r="T67" s="52" t="n">
        <v>8.501959999999999</v>
      </c>
      <c r="U67" s="52" t="n">
        <v>7.87561</v>
      </c>
      <c r="V67" s="52" t="n">
        <v>6.81076</v>
      </c>
      <c r="W67" s="52" t="n">
        <v>8.074020000000001</v>
      </c>
      <c r="X67" s="52" t="n">
        <v>8.19957</v>
      </c>
      <c r="Y67" s="52" t="n">
        <v>8.184749999999999</v>
      </c>
      <c r="Z67" s="52" t="n">
        <v>7.65325</v>
      </c>
      <c r="AA67" s="52" t="n">
        <v>12.891</v>
      </c>
      <c r="AB67" s="52" t="n">
        <v>14.41518</v>
      </c>
      <c r="AC67" s="52" t="n">
        <v>31.7422</v>
      </c>
      <c r="AD67" s="52" t="n">
        <v>25.94468</v>
      </c>
      <c r="AE67" s="52" t="n"/>
      <c r="AF67" s="52" t="n"/>
      <c r="AG67" s="52" t="n"/>
      <c r="AH67" s="52" t="n"/>
      <c r="AI67" s="52" t="n"/>
      <c r="AJ67" s="52" t="n"/>
      <c r="AK67" s="52" t="n"/>
      <c r="AL67" s="52" t="n"/>
      <c r="AM67" s="52" t="n"/>
      <c r="AN67" s="52" t="n"/>
      <c r="AO67" s="52" t="n"/>
      <c r="AP67" s="52" t="n"/>
      <c r="AQ67" s="52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2" t="n"/>
      <c r="BB67" s="52" t="n"/>
      <c r="BC67" s="52" t="n"/>
      <c r="BD67" s="52" t="n"/>
      <c r="BE67" s="52" t="n"/>
    </row>
    <row r="68" ht="15.75" customHeight="1">
      <c r="B68" s="9" t="inlineStr">
        <is>
          <t>Budgeted (Monthly) - DSP</t>
        </is>
      </c>
      <c r="D68" s="10" t="inlineStr">
        <is>
          <t>$k</t>
        </is>
      </c>
      <c r="E68" s="54" t="n"/>
      <c r="F68" s="54" t="n"/>
      <c r="G68" s="54" t="n"/>
      <c r="H68" s="54" t="n">
        <v>25</v>
      </c>
      <c r="I68" s="54" t="n"/>
      <c r="J68" s="54" t="n"/>
      <c r="K68" s="54" t="n"/>
      <c r="L68" s="54" t="n">
        <v>30</v>
      </c>
      <c r="M68" s="54" t="n"/>
      <c r="N68" s="54" t="n"/>
      <c r="O68" s="54" t="n"/>
      <c r="P68" s="54" t="n"/>
      <c r="Q68" s="54" t="n">
        <v>35</v>
      </c>
      <c r="R68" s="54" t="n"/>
      <c r="S68" s="54" t="n"/>
      <c r="T68" s="54" t="n"/>
      <c r="U68" s="54" t="n">
        <v>25</v>
      </c>
      <c r="V68" s="54" t="n"/>
      <c r="W68" s="54" t="n"/>
      <c r="X68" s="54" t="n"/>
      <c r="Y68" s="54" t="n"/>
      <c r="Z68" s="54" t="n">
        <v>25</v>
      </c>
      <c r="AA68" s="54" t="n"/>
      <c r="AB68" s="54" t="n"/>
      <c r="AC68" s="54" t="n"/>
      <c r="AD68" s="54" t="n">
        <v>25</v>
      </c>
      <c r="AE68" s="54" t="n"/>
      <c r="AF68" s="54" t="n"/>
      <c r="AG68" s="54" t="n"/>
      <c r="AH68" s="54" t="n">
        <v>45</v>
      </c>
      <c r="AI68" s="54" t="n"/>
      <c r="AJ68" s="54" t="n"/>
      <c r="AK68" s="54" t="n"/>
      <c r="AL68" s="54" t="n"/>
      <c r="AM68" s="54" t="n">
        <v>25</v>
      </c>
      <c r="AN68" s="54" t="n"/>
      <c r="AO68" s="54" t="n"/>
      <c r="AP68" s="54" t="n"/>
      <c r="AQ68" s="54" t="n">
        <v>25</v>
      </c>
      <c r="AR68" s="54" t="n"/>
      <c r="AS68" s="54" t="n"/>
      <c r="AT68" s="54" t="n"/>
      <c r="AU68" s="54" t="n">
        <v>35</v>
      </c>
      <c r="AV68" s="54" t="n"/>
      <c r="AW68" s="54" t="n"/>
      <c r="AX68" s="54" t="n"/>
      <c r="AY68" s="54" t="n"/>
      <c r="AZ68" s="54" t="n">
        <v>45</v>
      </c>
      <c r="BA68" s="54" t="n"/>
      <c r="BB68" s="54" t="n"/>
      <c r="BC68" s="54" t="n"/>
      <c r="BD68" s="54" t="n">
        <v>30</v>
      </c>
      <c r="BE68" s="54" t="n"/>
    </row>
    <row r="69" ht="15.75" customHeight="1"/>
    <row r="70" ht="15.75" customFormat="1" customHeight="1" s="1">
      <c r="A70" s="1" t="inlineStr">
        <is>
          <t>Ads (On-site + DSP)</t>
        </is>
      </c>
      <c r="B70" s="1" t="inlineStr">
        <is>
          <t>Real-time tracking</t>
        </is>
      </c>
      <c r="D70" s="24" t="inlineStr">
        <is>
          <t>$k</t>
        </is>
      </c>
      <c r="E70" s="52">
        <f>E64+E67</f>
        <v/>
      </c>
      <c r="F70" s="52">
        <f>F64+F67</f>
        <v/>
      </c>
      <c r="G70" s="52">
        <f>G64+G67</f>
        <v/>
      </c>
      <c r="H70" s="52">
        <f>H64+H67</f>
        <v/>
      </c>
      <c r="I70" s="52">
        <f>I64+I67</f>
        <v/>
      </c>
      <c r="J70" s="52">
        <f>J64+J67</f>
        <v/>
      </c>
      <c r="K70" s="52">
        <f>K64+K67</f>
        <v/>
      </c>
      <c r="L70" s="52">
        <f>L64+L67</f>
        <v/>
      </c>
      <c r="M70" s="52">
        <f>M64+M67</f>
        <v/>
      </c>
      <c r="N70" s="52">
        <f>N64+N67</f>
        <v/>
      </c>
      <c r="O70" s="52">
        <f>O64+O67</f>
        <v/>
      </c>
      <c r="P70" s="52">
        <f>P64+P67</f>
        <v/>
      </c>
      <c r="Q70" s="52">
        <f>Q64+Q67</f>
        <v/>
      </c>
      <c r="R70" s="52">
        <f>R64+R67</f>
        <v/>
      </c>
      <c r="S70" s="52">
        <f>S64+S67</f>
        <v/>
      </c>
      <c r="T70" s="52">
        <f>T64+T67</f>
        <v/>
      </c>
      <c r="U70" s="52">
        <f>U64+U67</f>
        <v/>
      </c>
      <c r="V70" s="52">
        <f>V64+V67</f>
        <v/>
      </c>
      <c r="W70" s="52">
        <f>W64+W67</f>
        <v/>
      </c>
      <c r="X70" s="52">
        <f>X64+X67</f>
        <v/>
      </c>
      <c r="Y70" s="52">
        <f>Y64+Y67</f>
        <v/>
      </c>
      <c r="Z70" s="52">
        <f>Z64+Z67</f>
        <v/>
      </c>
      <c r="AA70" s="52">
        <f>AA64+AA67</f>
        <v/>
      </c>
      <c r="AB70" s="52">
        <f>AB64+AB67</f>
        <v/>
      </c>
      <c r="AC70" s="52">
        <f>AC64+AC67</f>
        <v/>
      </c>
      <c r="AD70" s="52">
        <f>AD64+AD67</f>
        <v/>
      </c>
      <c r="AE70" s="52" t="n"/>
      <c r="AF70" s="52" t="n"/>
      <c r="AG70" s="52" t="n"/>
      <c r="AH70" s="52" t="n"/>
      <c r="AI70" s="52" t="n"/>
      <c r="AJ70" s="52" t="n"/>
      <c r="AK70" s="52" t="n"/>
      <c r="AL70" s="52" t="n"/>
      <c r="AM70" s="52" t="n"/>
      <c r="AN70" s="52" t="n"/>
      <c r="AO70" s="52" t="n"/>
      <c r="AP70" s="52" t="n"/>
      <c r="AQ70" s="52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2" t="n"/>
      <c r="BB70" s="52" t="n"/>
      <c r="BC70" s="52" t="n"/>
      <c r="BD70" s="52" t="n"/>
      <c r="BE70" s="52" t="n"/>
    </row>
    <row r="71" ht="15.75" customHeight="1">
      <c r="B71" s="9" t="inlineStr">
        <is>
          <t>Budgeted (Monthly)</t>
        </is>
      </c>
      <c r="D71" s="10" t="inlineStr">
        <is>
          <t>$k</t>
        </is>
      </c>
      <c r="E71" s="54" t="n"/>
      <c r="F71" s="54" t="n"/>
      <c r="G71" s="54" t="n"/>
      <c r="H71" s="54" t="n">
        <v>189.137</v>
      </c>
      <c r="I71" s="54" t="n"/>
      <c r="J71" s="54" t="n"/>
      <c r="K71" s="54" t="n"/>
      <c r="L71" s="54" t="n">
        <v>161.311</v>
      </c>
      <c r="M71" s="54" t="n"/>
      <c r="N71" s="54" t="n"/>
      <c r="O71" s="54" t="n"/>
      <c r="P71" s="54" t="n"/>
      <c r="Q71" s="54" t="n">
        <v>180.379</v>
      </c>
      <c r="R71" s="54" t="n"/>
      <c r="S71" s="54" t="n"/>
      <c r="T71" s="54" t="n"/>
      <c r="U71" s="54" t="n">
        <v>165.688</v>
      </c>
      <c r="V71" s="54" t="n"/>
      <c r="W71" s="54" t="n"/>
      <c r="X71" s="54" t="n"/>
      <c r="Y71" s="54" t="n"/>
      <c r="Z71" s="54" t="n">
        <v>175.039</v>
      </c>
      <c r="AA71" s="54" t="n"/>
      <c r="AB71" s="54" t="n"/>
      <c r="AC71" s="54" t="n"/>
      <c r="AD71" s="54" t="n">
        <v>170.509</v>
      </c>
      <c r="AE71" s="54" t="n"/>
      <c r="AF71" s="54" t="n"/>
      <c r="AG71" s="54" t="n"/>
      <c r="AH71" s="54" t="n">
        <v>195.36</v>
      </c>
      <c r="AI71" s="54" t="n"/>
      <c r="AJ71" s="54" t="n"/>
      <c r="AK71" s="54" t="n"/>
      <c r="AL71" s="54" t="n"/>
      <c r="AM71" s="54" t="n">
        <v>176.359</v>
      </c>
      <c r="AN71" s="54" t="n"/>
      <c r="AO71" s="54" t="n"/>
      <c r="AP71" s="54" t="n"/>
      <c r="AQ71" s="54" t="n">
        <v>185.507</v>
      </c>
      <c r="AR71" s="54" t="n"/>
      <c r="AS71" s="54" t="n"/>
      <c r="AT71" s="54" t="n"/>
      <c r="AU71" s="54" t="n">
        <v>200.857</v>
      </c>
      <c r="AV71" s="54" t="n"/>
      <c r="AW71" s="54" t="n"/>
      <c r="AX71" s="54" t="n"/>
      <c r="AY71" s="54" t="n"/>
      <c r="AZ71" s="54" t="n">
        <v>205.507</v>
      </c>
      <c r="BA71" s="54" t="n"/>
      <c r="BB71" s="54" t="n"/>
      <c r="BC71" s="54" t="n"/>
      <c r="BD71" s="54" t="n">
        <v>169.107</v>
      </c>
      <c r="BE71" s="54" t="n"/>
    </row>
    <row r="72" ht="15.75" customHeight="1"/>
    <row r="73" ht="15.75" customFormat="1" customHeight="1" s="1">
      <c r="A73" s="1" t="inlineStr">
        <is>
          <t>Other Marketing</t>
        </is>
      </c>
      <c r="B73" s="1" t="inlineStr">
        <is>
          <t>Real-time tracking</t>
        </is>
      </c>
      <c r="D73" s="24" t="inlineStr">
        <is>
          <t>$k</t>
        </is>
      </c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  <c r="AL73" s="52" t="n"/>
      <c r="AM73" s="52" t="n"/>
      <c r="AN73" s="52" t="n"/>
      <c r="AO73" s="52" t="n"/>
      <c r="AP73" s="52" t="n"/>
      <c r="AQ73" s="52" t="n"/>
      <c r="AR73" s="52" t="n"/>
      <c r="AS73" s="52" t="n"/>
      <c r="AT73" s="52" t="n"/>
      <c r="AU73" s="52" t="n"/>
      <c r="AV73" s="52" t="n"/>
      <c r="AW73" s="52" t="n"/>
      <c r="AX73" s="52" t="n"/>
      <c r="AY73" s="52" t="n"/>
      <c r="AZ73" s="52" t="n"/>
      <c r="BA73" s="52" t="n"/>
      <c r="BB73" s="52" t="n"/>
      <c r="BC73" s="52" t="n"/>
      <c r="BD73" s="52" t="n"/>
      <c r="BE73" s="52" t="n"/>
    </row>
    <row r="74" ht="15.75" customHeight="1">
      <c r="B74" s="9" t="inlineStr">
        <is>
          <t>Budgeted (Monthly)</t>
        </is>
      </c>
      <c r="D74" s="10" t="inlineStr">
        <is>
          <t>$k</t>
        </is>
      </c>
      <c r="E74" s="54" t="n"/>
      <c r="F74" s="54" t="n"/>
      <c r="G74" s="54" t="n"/>
      <c r="H74" s="54" t="n">
        <v>134.6666666666667</v>
      </c>
      <c r="I74" s="54" t="n"/>
      <c r="J74" s="54" t="n"/>
      <c r="K74" s="54" t="n"/>
      <c r="L74" s="54" t="n">
        <v>136.8306666666666</v>
      </c>
      <c r="M74" s="54" t="n"/>
      <c r="N74" s="54" t="n"/>
      <c r="O74" s="54" t="n"/>
      <c r="P74" s="54" t="n"/>
      <c r="Q74" s="54" t="n">
        <v>145.3910666666667</v>
      </c>
      <c r="R74" s="54" t="n"/>
      <c r="S74" s="54" t="n"/>
      <c r="T74" s="54" t="n"/>
      <c r="U74" s="54" t="n">
        <v>386.3749954442227</v>
      </c>
      <c r="V74" s="54" t="n"/>
      <c r="W74" s="54" t="n"/>
      <c r="X74" s="54" t="n"/>
      <c r="Y74" s="54" t="n"/>
      <c r="Z74" s="54" t="n">
        <v>451.8363175846494</v>
      </c>
      <c r="AA74" s="54" t="n"/>
      <c r="AB74" s="54" t="n"/>
      <c r="AC74" s="54" t="n"/>
      <c r="AD74" s="54" t="n">
        <v>670.9684360018671</v>
      </c>
      <c r="AE74" s="54" t="n"/>
      <c r="AF74" s="54" t="n"/>
      <c r="AG74" s="54" t="n"/>
      <c r="AH74" s="54" t="n">
        <v>439.2315547016007</v>
      </c>
      <c r="AI74" s="54" t="n"/>
      <c r="AJ74" s="54" t="n"/>
      <c r="AK74" s="54" t="n"/>
      <c r="AL74" s="54" t="n"/>
      <c r="AM74" s="54" t="n">
        <v>405.1148399665695</v>
      </c>
      <c r="AN74" s="54" t="n"/>
      <c r="AO74" s="54" t="n"/>
      <c r="AP74" s="54" t="n"/>
      <c r="AQ74" s="54" t="n">
        <v>513.3497009324537</v>
      </c>
      <c r="AR74" s="54" t="n"/>
      <c r="AS74" s="54" t="n"/>
      <c r="AT74" s="54" t="n"/>
      <c r="AU74" s="54" t="n">
        <v>874.4344272178362</v>
      </c>
      <c r="AV74" s="54" t="n"/>
      <c r="AW74" s="54" t="n"/>
      <c r="AX74" s="54" t="n"/>
      <c r="AY74" s="54" t="n"/>
      <c r="AZ74" s="54" t="n">
        <v>809.7074178543893</v>
      </c>
      <c r="BA74" s="54" t="n"/>
      <c r="BB74" s="54" t="n"/>
      <c r="BC74" s="54" t="n"/>
      <c r="BD74" s="54" t="n">
        <v>467.9585176357235</v>
      </c>
      <c r="BE74" s="54" t="n"/>
    </row>
    <row r="75" ht="15.75" customHeight="1"/>
    <row r="76" ht="15.75" customHeight="1"/>
    <row r="77" ht="15.75" customFormat="1" customHeight="1" s="26">
      <c r="A77" s="25" t="inlineStr">
        <is>
          <t>Walmart (1P+3P)</t>
        </is>
      </c>
      <c r="D77" s="27" t="n"/>
    </row>
    <row r="78" ht="15.75" customHeight="1">
      <c r="A78" s="1" t="inlineStr">
        <is>
          <t>Sell-in value</t>
        </is>
      </c>
      <c r="D78" s="24" t="inlineStr">
        <is>
          <t>$k</t>
        </is>
      </c>
      <c r="E78" s="52" t="n">
        <v>243.74</v>
      </c>
      <c r="F78" s="52" t="n">
        <v>33.165</v>
      </c>
      <c r="G78" s="52" t="n">
        <v>31.698</v>
      </c>
      <c r="H78" s="52" t="n">
        <v>48.813</v>
      </c>
      <c r="I78" s="52" t="n">
        <v>160.658</v>
      </c>
      <c r="J78" s="52" t="n">
        <v>79.217</v>
      </c>
      <c r="K78" s="52" t="n">
        <v>46.368</v>
      </c>
      <c r="L78" s="52" t="n">
        <v>66.126</v>
      </c>
      <c r="M78" s="52" t="n">
        <v>178.761</v>
      </c>
      <c r="N78" s="52" t="n">
        <v>108.011</v>
      </c>
      <c r="O78" s="52" t="n">
        <v>97.503</v>
      </c>
      <c r="P78" s="52" t="n">
        <v>109.854</v>
      </c>
      <c r="Q78" s="52" t="n">
        <v>148.71</v>
      </c>
      <c r="R78" s="52" t="n">
        <v>74.373</v>
      </c>
      <c r="S78" s="52" t="n">
        <v>200.686</v>
      </c>
      <c r="T78" s="52" t="n">
        <v>269.422</v>
      </c>
      <c r="U78" s="52" t="n">
        <v>985.244</v>
      </c>
      <c r="V78" s="52" t="n">
        <v>1503.894</v>
      </c>
      <c r="W78" s="52" t="n">
        <v>487.053</v>
      </c>
      <c r="X78" s="52" t="n">
        <v>133.984</v>
      </c>
      <c r="Y78" s="52" t="n">
        <v>141.157</v>
      </c>
      <c r="Z78" s="52" t="n">
        <v>183.899</v>
      </c>
      <c r="AA78" s="52" t="n">
        <v>192.445</v>
      </c>
      <c r="AB78" s="52" t="n">
        <v>168.253</v>
      </c>
      <c r="AC78" s="52" t="n">
        <v>196.77</v>
      </c>
      <c r="AD78" s="52" t="n">
        <v>218.045</v>
      </c>
      <c r="AE78" s="52" t="n"/>
      <c r="AF78" s="52" t="n"/>
      <c r="AG78" s="52" t="n"/>
      <c r="AH78" s="52" t="n"/>
      <c r="AI78" s="52" t="n"/>
      <c r="AJ78" s="52" t="n"/>
      <c r="AK78" s="52" t="n"/>
      <c r="AL78" s="52" t="n"/>
      <c r="AM78" s="52" t="n"/>
      <c r="AN78" s="52" t="n"/>
      <c r="AO78" s="52" t="n"/>
      <c r="AP78" s="52" t="n"/>
      <c r="AQ78" s="52" t="n"/>
      <c r="AR78" s="52" t="n"/>
      <c r="AS78" s="52" t="n"/>
      <c r="AT78" s="52" t="n"/>
      <c r="AU78" s="52" t="n"/>
      <c r="AV78" s="52" t="n"/>
      <c r="AW78" s="52" t="n"/>
      <c r="AX78" s="52" t="n"/>
      <c r="AY78" s="52" t="n"/>
      <c r="AZ78" s="52" t="n"/>
      <c r="BA78" s="52" t="n"/>
      <c r="BB78" s="52" t="n"/>
      <c r="BC78" s="52" t="n"/>
      <c r="BD78" s="52" t="n"/>
      <c r="BE78" s="52" t="n"/>
    </row>
    <row r="79" ht="15.75" customFormat="1" customHeight="1" s="4">
      <c r="A79" s="3" t="n"/>
      <c r="B79" s="4" t="inlineStr">
        <is>
          <t>% of Total - YTD</t>
        </is>
      </c>
      <c r="D79" s="33" t="inlineStr">
        <is>
          <t>%</t>
        </is>
      </c>
      <c r="E79" s="57">
        <f>IFERROR(SUM($E$78:E78)/SUM($E$3:E3),"")</f>
        <v/>
      </c>
      <c r="F79" s="57">
        <f>IFERROR(SUM($E$78:F78)/SUM($E$3:F3),"")</f>
        <v/>
      </c>
      <c r="G79" s="57">
        <f>IFERROR(SUM($E$78:G78)/SUM($E$3:G3),"")</f>
        <v/>
      </c>
      <c r="H79" s="57">
        <f>IFERROR(SUM($E$78:H78)/SUM($E$3:H3),"")</f>
        <v/>
      </c>
      <c r="I79" s="57">
        <f>IFERROR(SUM($E$78:I78)/SUM($E$3:I3),"")</f>
        <v/>
      </c>
      <c r="J79" s="57">
        <f>IFERROR(SUM($E$78:J78)/SUM($E$3:J3),"")</f>
        <v/>
      </c>
      <c r="K79" s="57">
        <f>IFERROR(SUM($E$78:K78)/SUM($E$3:K3),"")</f>
        <v/>
      </c>
      <c r="L79" s="57">
        <f>IFERROR(SUM($E$78:L78)/SUM($E$3:L3),"")</f>
        <v/>
      </c>
      <c r="M79" s="57">
        <f>IFERROR(SUM($E$78:M78)/SUM($E$3:M3),"")</f>
        <v/>
      </c>
      <c r="N79" s="57">
        <f>IFERROR(SUM($E$78:N78)/SUM($E$3:N3),"")</f>
        <v/>
      </c>
      <c r="O79" s="57">
        <f>IFERROR(SUM($E$78:O78)/SUM($E$3:O3),"")</f>
        <v/>
      </c>
      <c r="P79" s="57">
        <f>IFERROR(SUM($E$78:P78)/SUM($E$3:P3),"")</f>
        <v/>
      </c>
      <c r="Q79" s="57">
        <f>IFERROR(SUM($E$78:Q78)/SUM($E$3:Q3),"")</f>
        <v/>
      </c>
      <c r="R79" s="57">
        <f>IFERROR(SUM($E$78:R78)/SUM($E$3:R3),"")</f>
        <v/>
      </c>
      <c r="S79" s="57">
        <f>IFERROR(SUM($E$78:S78)/SUM($E$3:S3),"")</f>
        <v/>
      </c>
      <c r="T79" s="57">
        <f>IFERROR(SUM($E$78:T78)/SUM($E$3:T3),"")</f>
        <v/>
      </c>
      <c r="U79" s="57">
        <f>IFERROR(SUM($E$78:U78)/SUM($E$3:U3),"")</f>
        <v/>
      </c>
      <c r="V79" s="57">
        <f>IFERROR(SUM($E$78:V78)/SUM($E$3:V3),"")</f>
        <v/>
      </c>
      <c r="W79" s="57">
        <f>IFERROR(SUM($E$78:W78)/SUM($E$3:W3),"")</f>
        <v/>
      </c>
      <c r="X79" s="57">
        <f>IFERROR(SUM($E$78:X78)/SUM($E$3:X3),"")</f>
        <v/>
      </c>
      <c r="Y79" s="57">
        <f>IFERROR(SUM($E$78:Y78)/SUM($E$3:Y3),"")</f>
        <v/>
      </c>
      <c r="Z79" s="57">
        <f>IFERROR(SUM($E$78:Z78)/SUM($E$3:Z3),"")</f>
        <v/>
      </c>
      <c r="AA79" s="57">
        <f>IFERROR(SUM($E$78:AA78)/SUM($E$3:AA3),"")</f>
        <v/>
      </c>
      <c r="AB79" s="57">
        <f>IFERROR(SUM($E$78:AB78)/SUM($E$3:AB3),"")</f>
        <v/>
      </c>
      <c r="AC79" s="57">
        <f>IFERROR(SUM($E$78:AC78)/SUM($E$3:AC3),"")</f>
        <v/>
      </c>
      <c r="AD79" s="57">
        <f>IFERROR(SUM($E$78:AD78)/SUM($E$3:AD3),"")</f>
        <v/>
      </c>
      <c r="AE79" s="57" t="n"/>
      <c r="AF79" s="57" t="n"/>
      <c r="AG79" s="57" t="n"/>
      <c r="AH79" s="57" t="n"/>
      <c r="AI79" s="57" t="n"/>
      <c r="AJ79" s="57" t="n"/>
      <c r="AK79" s="57" t="n"/>
      <c r="AL79" s="57" t="n"/>
      <c r="AM79" s="57" t="n"/>
      <c r="AN79" s="57" t="n"/>
      <c r="AO79" s="57" t="n"/>
      <c r="AP79" s="57" t="n"/>
      <c r="AQ79" s="57" t="n"/>
      <c r="AR79" s="57" t="n"/>
      <c r="AS79" s="57" t="n"/>
      <c r="AT79" s="57" t="n"/>
      <c r="AU79" s="57" t="n"/>
      <c r="AV79" s="57" t="n"/>
      <c r="AW79" s="57" t="n"/>
      <c r="AX79" s="57" t="n"/>
      <c r="AY79" s="57" t="n"/>
      <c r="AZ79" s="57" t="n"/>
      <c r="BA79" s="57" t="n"/>
      <c r="BB79" s="57" t="n"/>
      <c r="BC79" s="57" t="n"/>
      <c r="BD79" s="57" t="n"/>
      <c r="BE79" s="57" t="n"/>
    </row>
    <row r="80" ht="15.75" customFormat="1" customHeight="1" s="7">
      <c r="B80" s="7" t="inlineStr">
        <is>
          <t>% of Target</t>
        </is>
      </c>
      <c r="D80" s="8" t="inlineStr">
        <is>
          <t>%</t>
        </is>
      </c>
      <c r="E80" s="53">
        <f>IFERROR(E78/E82,"")</f>
        <v/>
      </c>
      <c r="F80" s="53">
        <f>IFERROR(F78/F82,"")</f>
        <v/>
      </c>
      <c r="G80" s="53">
        <f>IFERROR(G78/G82,"")</f>
        <v/>
      </c>
      <c r="H80" s="53">
        <f>IFERROR(H78/H82,"")</f>
        <v/>
      </c>
      <c r="I80" s="53">
        <f>IFERROR(I78/I82,"")</f>
        <v/>
      </c>
      <c r="J80" s="53">
        <f>IFERROR(J78/J82,"")</f>
        <v/>
      </c>
      <c r="K80" s="53">
        <f>IFERROR(K78/K82,"")</f>
        <v/>
      </c>
      <c r="L80" s="53">
        <f>IFERROR(L78/L82,"")</f>
        <v/>
      </c>
      <c r="M80" s="53">
        <f>IFERROR(M78/M82,"")</f>
        <v/>
      </c>
      <c r="N80" s="53">
        <f>IFERROR(N78/N82,"")</f>
        <v/>
      </c>
      <c r="O80" s="53">
        <f>IFERROR(O78/O82,"")</f>
        <v/>
      </c>
      <c r="P80" s="53">
        <f>IFERROR(P78/P82,"")</f>
        <v/>
      </c>
      <c r="Q80" s="53">
        <f>IFERROR(Q78/Q82,"")</f>
        <v/>
      </c>
      <c r="R80" s="53">
        <f>IFERROR(R78/R82,"")</f>
        <v/>
      </c>
      <c r="S80" s="53">
        <f>IFERROR(S78/S82,"")</f>
        <v/>
      </c>
      <c r="T80" s="53">
        <f>IFERROR(T78/T82,"")</f>
        <v/>
      </c>
      <c r="U80" s="53">
        <f>IFERROR(U78/U82,"")</f>
        <v/>
      </c>
      <c r="V80" s="53">
        <f>IFERROR(V78/V82,"")</f>
        <v/>
      </c>
      <c r="W80" s="53">
        <f>IFERROR(W78/W82,"")</f>
        <v/>
      </c>
      <c r="X80" s="53">
        <f>IFERROR(X78/X82,"")</f>
        <v/>
      </c>
      <c r="Y80" s="53">
        <f>IFERROR(Y78/Y82,"")</f>
        <v/>
      </c>
      <c r="Z80" s="53">
        <f>IFERROR(Z78/Z82,"")</f>
        <v/>
      </c>
      <c r="AA80" s="53">
        <f>IFERROR(AA78/AA82,"")</f>
        <v/>
      </c>
      <c r="AB80" s="53">
        <f>IFERROR(AB78/AB82,"")</f>
        <v/>
      </c>
      <c r="AC80" s="53">
        <f>IFERROR(AC78/AC82,"")</f>
        <v/>
      </c>
      <c r="AD80" s="53">
        <f>IFERROR(AD78/AD82,"")</f>
        <v/>
      </c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</row>
    <row r="81" ht="15.75" customFormat="1" customHeight="1" s="7">
      <c r="B81" s="7" t="inlineStr">
        <is>
          <t>% of Target - YTD</t>
        </is>
      </c>
      <c r="C81" s="16" t="n"/>
      <c r="D81" s="17" t="inlineStr">
        <is>
          <t>%</t>
        </is>
      </c>
      <c r="E81" s="53">
        <f>IFERROR(SUM($E$78:E78)/SUM($E$82:E82),"")</f>
        <v/>
      </c>
      <c r="F81" s="53">
        <f>IFERROR(SUM($E$78:F78)/SUM($E$82:F82),"")</f>
        <v/>
      </c>
      <c r="G81" s="53">
        <f>IFERROR(SUM($E$78:G78)/SUM($E$82:G82),"")</f>
        <v/>
      </c>
      <c r="H81" s="53">
        <f>IFERROR(SUM($E$78:H78)/SUM($E$82:H82),"")</f>
        <v/>
      </c>
      <c r="I81" s="53">
        <f>IFERROR(SUM($E$78:I78)/SUM($E$82:I82),"")</f>
        <v/>
      </c>
      <c r="J81" s="53">
        <f>IFERROR(SUM($E$78:J78)/SUM($E$82:J82),"")</f>
        <v/>
      </c>
      <c r="K81" s="53">
        <f>IFERROR(SUM($E$78:K78)/SUM($E$82:K82),"")</f>
        <v/>
      </c>
      <c r="L81" s="53">
        <f>IFERROR(SUM($E$78:L78)/SUM($E$82:L82),"")</f>
        <v/>
      </c>
      <c r="M81" s="53">
        <f>IFERROR(SUM($E$78:M78)/SUM($E$82:M82),"")</f>
        <v/>
      </c>
      <c r="N81" s="53">
        <f>IFERROR(SUM($E$78:N78)/SUM($E$82:N82),"")</f>
        <v/>
      </c>
      <c r="O81" s="53">
        <f>IFERROR(SUM($E$78:O78)/SUM($E$82:O82),"")</f>
        <v/>
      </c>
      <c r="P81" s="53">
        <f>IFERROR(SUM($E$78:P78)/SUM($E$82:P82),"")</f>
        <v/>
      </c>
      <c r="Q81" s="53">
        <f>IFERROR(SUM($E$78:Q78)/SUM($E$82:Q82),"")</f>
        <v/>
      </c>
      <c r="R81" s="53">
        <f>IFERROR(SUM($E$78:R78)/SUM($E$82:R82),"")</f>
        <v/>
      </c>
      <c r="S81" s="53">
        <f>IFERROR(SUM($E$78:S78)/SUM($E$82:S82),"")</f>
        <v/>
      </c>
      <c r="T81" s="53">
        <f>IFERROR(SUM($E$78:T78)/SUM($E$82:T82),"")</f>
        <v/>
      </c>
      <c r="U81" s="53">
        <f>IFERROR(SUM($E$78:U78)/SUM($E$82:U82),"")</f>
        <v/>
      </c>
      <c r="V81" s="53">
        <f>IFERROR(SUM($E$78:V78)/SUM($E$82:V82),"")</f>
        <v/>
      </c>
      <c r="W81" s="53">
        <f>IFERROR(SUM($E$78:W78)/SUM($E$82:W82),"")</f>
        <v/>
      </c>
      <c r="X81" s="53">
        <f>IFERROR(SUM($E$78:X78)/SUM($E$82:X82),"")</f>
        <v/>
      </c>
      <c r="Y81" s="53">
        <f>IFERROR(SUM($E$78:Y78)/SUM($E$82:Y82),"")</f>
        <v/>
      </c>
      <c r="Z81" s="53">
        <f>IFERROR(SUM($E$78:Z78)/SUM($E$82:Z82),"")</f>
        <v/>
      </c>
      <c r="AA81" s="53">
        <f>IFERROR(SUM($E$78:AA78)/SUM($E$82:AA82),"")</f>
        <v/>
      </c>
      <c r="AB81" s="53">
        <f>IFERROR(SUM($E$78:AB78)/SUM($E$82:AB82),"")</f>
        <v/>
      </c>
      <c r="AC81" s="53">
        <f>IFERROR(SUM($E$78:AC78)/SUM($E$82:AC82),"")</f>
        <v/>
      </c>
      <c r="AD81" s="53">
        <f>IFERROR(SUM($E$78:AD78)/SUM($E$82:AD82),"")</f>
        <v/>
      </c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</row>
    <row r="82" ht="15.75" customFormat="1" customHeight="1" s="9">
      <c r="B82" s="9" t="inlineStr">
        <is>
          <t>Target</t>
        </is>
      </c>
      <c r="D82" s="10" t="inlineStr">
        <is>
          <t>$k</t>
        </is>
      </c>
      <c r="E82" s="54" t="n">
        <v>84.40602473600001</v>
      </c>
      <c r="F82" s="54" t="n">
        <v>147.710543288</v>
      </c>
      <c r="G82" s="54" t="n">
        <v>147.710543288</v>
      </c>
      <c r="H82" s="54" t="n">
        <v>147.710543288</v>
      </c>
      <c r="I82" s="54" t="n">
        <v>151.501587962</v>
      </c>
      <c r="J82" s="54" t="n">
        <v>174.24925</v>
      </c>
      <c r="K82" s="54" t="n">
        <v>174.24925</v>
      </c>
      <c r="L82" s="54" t="n">
        <v>174.24925</v>
      </c>
      <c r="M82" s="54" t="n">
        <v>202.553270168</v>
      </c>
      <c r="N82" s="54" t="n">
        <v>372.375997182</v>
      </c>
      <c r="O82" s="54" t="n">
        <v>372.375997182</v>
      </c>
      <c r="P82" s="54" t="n">
        <v>372.375997182</v>
      </c>
      <c r="Q82" s="54" t="n">
        <v>372.375997182</v>
      </c>
      <c r="R82" s="54" t="n">
        <v>229.260554453</v>
      </c>
      <c r="S82" s="54" t="n">
        <v>172.013787599</v>
      </c>
      <c r="T82" s="54" t="n">
        <v>172.013787599</v>
      </c>
      <c r="U82" s="54" t="n">
        <v>172.013787599</v>
      </c>
      <c r="V82" s="54" t="n">
        <v>260.847291523</v>
      </c>
      <c r="W82" s="54" t="n">
        <v>379.292209156</v>
      </c>
      <c r="X82" s="54" t="n">
        <v>379.292209156</v>
      </c>
      <c r="Y82" s="54" t="n">
        <v>379.292209156</v>
      </c>
      <c r="Z82" s="54" t="n">
        <v>379.292209156</v>
      </c>
      <c r="AA82" s="54" t="n">
        <v>183.309204796</v>
      </c>
      <c r="AB82" s="54" t="n">
        <v>183.309204796</v>
      </c>
      <c r="AC82" s="54" t="n">
        <v>183.309204796</v>
      </c>
      <c r="AD82" s="54" t="n">
        <v>183.309204796</v>
      </c>
      <c r="AE82" s="54" t="n">
        <v>225.373887914</v>
      </c>
      <c r="AF82" s="54" t="n">
        <v>242.199289794</v>
      </c>
      <c r="AG82" s="54" t="n">
        <v>242.199289794</v>
      </c>
      <c r="AH82" s="54" t="n">
        <v>242.199289794</v>
      </c>
      <c r="AI82" s="54" t="n">
        <v>241.093356522</v>
      </c>
      <c r="AJ82" s="54" t="n">
        <v>238.328523342</v>
      </c>
      <c r="AK82" s="54" t="n">
        <v>238.328523342</v>
      </c>
      <c r="AL82" s="54" t="n">
        <v>238.328523342</v>
      </c>
      <c r="AM82" s="54" t="n">
        <v>238.328523342</v>
      </c>
      <c r="AN82" s="54" t="n">
        <v>193.889331906</v>
      </c>
      <c r="AO82" s="54" t="n">
        <v>186.482533596</v>
      </c>
      <c r="AP82" s="54" t="n">
        <v>186.482533596</v>
      </c>
      <c r="AQ82" s="54" t="n">
        <v>186.482533596</v>
      </c>
      <c r="AR82" s="54" t="n">
        <v>383.273109424</v>
      </c>
      <c r="AS82" s="54" t="n">
        <v>530.8658414920001</v>
      </c>
      <c r="AT82" s="54" t="n">
        <v>530.8658414920001</v>
      </c>
      <c r="AU82" s="54" t="n">
        <v>530.8658414920001</v>
      </c>
      <c r="AV82" s="54" t="n">
        <v>483.765776754</v>
      </c>
      <c r="AW82" s="54" t="n">
        <v>201.167112618</v>
      </c>
      <c r="AX82" s="54" t="n">
        <v>201.167112618</v>
      </c>
      <c r="AY82" s="54" t="n">
        <v>201.167112618</v>
      </c>
      <c r="AZ82" s="54" t="n">
        <v>201.167112618</v>
      </c>
      <c r="BA82" s="54" t="n">
        <v>167.360474082</v>
      </c>
      <c r="BB82" s="54" t="n">
        <v>161.726321708</v>
      </c>
      <c r="BC82" s="54" t="n">
        <v>161.726321708</v>
      </c>
      <c r="BD82" s="54" t="n">
        <v>161.726321708</v>
      </c>
      <c r="BE82" s="54" t="n">
        <v>92.415040976</v>
      </c>
    </row>
    <row r="83" ht="15.75" customHeight="1"/>
    <row r="84" ht="15.75" customHeight="1">
      <c r="A84" s="1" t="inlineStr">
        <is>
          <t xml:space="preserve">Sell-through units </t>
        </is>
      </c>
      <c r="D84" s="24" t="inlineStr">
        <is>
          <t>#</t>
        </is>
      </c>
      <c r="E84" s="52" t="n">
        <v>3001</v>
      </c>
      <c r="F84" s="52" t="n">
        <v>2681</v>
      </c>
      <c r="G84" s="52" t="n">
        <v>2999</v>
      </c>
      <c r="H84" s="52" t="n">
        <v>2967</v>
      </c>
      <c r="I84" s="52" t="n">
        <v>2556</v>
      </c>
      <c r="J84" s="52" t="n">
        <v>2921</v>
      </c>
      <c r="K84" s="52" t="n">
        <v>3178</v>
      </c>
      <c r="L84" s="52" t="n">
        <v>3812</v>
      </c>
      <c r="M84" s="52" t="n">
        <v>4855</v>
      </c>
      <c r="N84" s="52" t="n">
        <v>4901</v>
      </c>
      <c r="O84" s="52" t="n">
        <v>4692</v>
      </c>
      <c r="P84" s="52" t="n">
        <v>4557</v>
      </c>
      <c r="Q84" s="52" t="n">
        <v>5161</v>
      </c>
      <c r="R84" s="52" t="n">
        <v>5213</v>
      </c>
      <c r="S84" s="52" t="n">
        <v>4704</v>
      </c>
      <c r="T84" s="52" t="n">
        <v>4504</v>
      </c>
      <c r="U84" s="52" t="n">
        <v>4408</v>
      </c>
      <c r="V84" s="52" t="n">
        <v>4270</v>
      </c>
      <c r="W84" s="52" t="n">
        <v>4819</v>
      </c>
      <c r="X84" s="52" t="n">
        <v>5570</v>
      </c>
      <c r="Y84" s="52" t="n">
        <v>6792</v>
      </c>
      <c r="Z84" s="52" t="n">
        <v>6794</v>
      </c>
      <c r="AA84" s="52" t="n">
        <v>6473</v>
      </c>
      <c r="AB84" s="52" t="n">
        <v>6066</v>
      </c>
      <c r="AC84" s="52" t="n">
        <v>6404</v>
      </c>
      <c r="AD84" s="52" t="n">
        <v>7018</v>
      </c>
      <c r="AE84" s="52" t="n"/>
      <c r="AF84" s="52" t="n"/>
      <c r="AG84" s="52" t="n"/>
      <c r="AH84" s="52" t="n"/>
      <c r="AI84" s="52" t="n"/>
      <c r="AJ84" s="52" t="n"/>
      <c r="AK84" s="52" t="n"/>
      <c r="AL84" s="52" t="n"/>
      <c r="AM84" s="52" t="n"/>
      <c r="AN84" s="52" t="n"/>
      <c r="AO84" s="52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2" t="n"/>
      <c r="BB84" s="52" t="n"/>
      <c r="BC84" s="52" t="n"/>
      <c r="BD84" s="52" t="n"/>
      <c r="BE84" s="52" t="n"/>
    </row>
    <row r="85" ht="15.75" customFormat="1" customHeight="1" s="4">
      <c r="A85" s="3" t="n"/>
      <c r="B85" s="4" t="inlineStr">
        <is>
          <t>% of Total - YTD</t>
        </is>
      </c>
      <c r="D85" s="33" t="inlineStr">
        <is>
          <t>%</t>
        </is>
      </c>
      <c r="E85" s="57">
        <f>IFERROR(SUM($E$84:E84)/SUM($E$4:E4),"")</f>
        <v/>
      </c>
      <c r="F85" s="57">
        <f>IFERROR(SUM($E$84:F84)/SUM($E$4:F4),"")</f>
        <v/>
      </c>
      <c r="G85" s="57">
        <f>IFERROR(SUM($E$84:G84)/SUM($E$4:G4),"")</f>
        <v/>
      </c>
      <c r="H85" s="57">
        <f>IFERROR(SUM($E$84:H84)/SUM($E$4:H4),"")</f>
        <v/>
      </c>
      <c r="I85" s="57">
        <f>IFERROR(SUM($E$84:I84)/SUM($E$4:I4),"")</f>
        <v/>
      </c>
      <c r="J85" s="57">
        <f>IFERROR(SUM($E$84:J84)/SUM($E$4:J4),"")</f>
        <v/>
      </c>
      <c r="K85" s="57">
        <f>IFERROR(SUM($E$84:K84)/SUM($E$4:K4),"")</f>
        <v/>
      </c>
      <c r="L85" s="57">
        <f>IFERROR(SUM($E$84:L84)/SUM($E$4:L4),"")</f>
        <v/>
      </c>
      <c r="M85" s="57">
        <f>IFERROR(SUM($E$84:M84)/SUM($E$4:M4),"")</f>
        <v/>
      </c>
      <c r="N85" s="57">
        <f>IFERROR(SUM($E$84:N84)/SUM($E$4:N4),"")</f>
        <v/>
      </c>
      <c r="O85" s="57">
        <f>IFERROR(SUM($E$84:O84)/SUM($E$4:O4),"")</f>
        <v/>
      </c>
      <c r="P85" s="57">
        <f>IFERROR(SUM($E$84:P84)/SUM($E$4:P4),"")</f>
        <v/>
      </c>
      <c r="Q85" s="57">
        <f>IFERROR(SUM($E$84:Q84)/SUM($E$4:Q4),"")</f>
        <v/>
      </c>
      <c r="R85" s="57">
        <f>IFERROR(SUM($E$84:R84)/SUM($E$4:R4),"")</f>
        <v/>
      </c>
      <c r="S85" s="57">
        <f>IFERROR(SUM($E$84:S84)/SUM($E$4:S4),"")</f>
        <v/>
      </c>
      <c r="T85" s="57">
        <f>IFERROR(SUM($E$84:T84)/SUM($E$4:T4),"")</f>
        <v/>
      </c>
      <c r="U85" s="57">
        <f>IFERROR(SUM($E$84:U84)/SUM($E$4:U4),"")</f>
        <v/>
      </c>
      <c r="V85" s="57">
        <f>IFERROR(SUM($E$84:V84)/SUM($E$4:V4),"")</f>
        <v/>
      </c>
      <c r="W85" s="57">
        <f>IFERROR(SUM($E$84:W84)/SUM($E$4:W4),"")</f>
        <v/>
      </c>
      <c r="X85" s="57">
        <f>IFERROR(SUM($E$84:X84)/SUM($E$4:X4),"")</f>
        <v/>
      </c>
      <c r="Y85" s="57">
        <f>IFERROR(SUM($E$84:Y84)/SUM($E$4:Y4),"")</f>
        <v/>
      </c>
      <c r="Z85" s="57">
        <f>IFERROR(SUM($E$84:Z84)/SUM($E$4:Z4),"")</f>
        <v/>
      </c>
      <c r="AA85" s="57">
        <f>IFERROR(SUM($E$84:AA84)/SUM($E$4:AA4),"")</f>
        <v/>
      </c>
      <c r="AB85" s="57">
        <f>IFERROR(SUM($E$84:AB84)/SUM($E$4:AB4),"")</f>
        <v/>
      </c>
      <c r="AC85" s="57">
        <f>IFERROR(SUM($E$84:AC84)/SUM($E$4:AC4),"")</f>
        <v/>
      </c>
      <c r="AD85" s="57">
        <f>IFERROR(SUM($E$84:AD84)/SUM($E$4:AD4),"")</f>
        <v/>
      </c>
      <c r="AE85" s="57" t="n"/>
      <c r="AF85" s="57" t="n"/>
      <c r="AG85" s="57" t="n"/>
      <c r="AH85" s="57" t="n"/>
      <c r="AI85" s="57" t="n"/>
      <c r="AJ85" s="57" t="n"/>
      <c r="AK85" s="57" t="n"/>
      <c r="AL85" s="57" t="n"/>
      <c r="AM85" s="57" t="n"/>
      <c r="AN85" s="57" t="n"/>
      <c r="AO85" s="57" t="n"/>
      <c r="AP85" s="57" t="n"/>
      <c r="AQ85" s="57" t="n"/>
      <c r="AR85" s="57" t="n"/>
      <c r="AS85" s="57" t="n"/>
      <c r="AT85" s="57" t="n"/>
      <c r="AU85" s="57" t="n"/>
      <c r="AV85" s="57" t="n"/>
      <c r="AW85" s="57" t="n"/>
      <c r="AX85" s="57" t="n"/>
      <c r="AY85" s="57" t="n"/>
      <c r="AZ85" s="57" t="n"/>
      <c r="BA85" s="57" t="n"/>
      <c r="BB85" s="57" t="n"/>
      <c r="BC85" s="57" t="n"/>
      <c r="BD85" s="57" t="n"/>
      <c r="BE85" s="57" t="n"/>
    </row>
    <row r="86" ht="15.75" customFormat="1" customHeight="1" s="16">
      <c r="A86" s="15" t="n"/>
      <c r="B86" s="16" t="inlineStr">
        <is>
          <t>% of Target</t>
        </is>
      </c>
      <c r="D86" s="17" t="inlineStr">
        <is>
          <t>%</t>
        </is>
      </c>
      <c r="E86" s="53">
        <f>IFERROR(E84/E88,"")</f>
        <v/>
      </c>
      <c r="F86" s="53">
        <f>IFERROR(F84/F88,"")</f>
        <v/>
      </c>
      <c r="G86" s="53">
        <f>IFERROR(G84/G88,"")</f>
        <v/>
      </c>
      <c r="H86" s="53">
        <f>IFERROR(H84/H88,"")</f>
        <v/>
      </c>
      <c r="I86" s="53">
        <f>IFERROR(I84/I88,"")</f>
        <v/>
      </c>
      <c r="J86" s="53">
        <f>IFERROR(J84/J88,"")</f>
        <v/>
      </c>
      <c r="K86" s="53">
        <f>IFERROR(K84/K88,"")</f>
        <v/>
      </c>
      <c r="L86" s="53">
        <f>IFERROR(L84/L88,"")</f>
        <v/>
      </c>
      <c r="M86" s="53">
        <f>IFERROR(M84/M88,"")</f>
        <v/>
      </c>
      <c r="N86" s="53">
        <f>IFERROR(N84/N88,"")</f>
        <v/>
      </c>
      <c r="O86" s="53">
        <f>IFERROR(O84/O88,"")</f>
        <v/>
      </c>
      <c r="P86" s="53">
        <f>IFERROR(P84/P88,"")</f>
        <v/>
      </c>
      <c r="Q86" s="53">
        <f>IFERROR(Q84/Q88,"")</f>
        <v/>
      </c>
      <c r="R86" s="53">
        <f>IFERROR(R84/R88,"")</f>
        <v/>
      </c>
      <c r="S86" s="53">
        <f>IFERROR(S84/S88,"")</f>
        <v/>
      </c>
      <c r="T86" s="53">
        <f>IFERROR(T84/T88,"")</f>
        <v/>
      </c>
      <c r="U86" s="53">
        <f>IFERROR(U84/U88,"")</f>
        <v/>
      </c>
      <c r="V86" s="53">
        <f>IFERROR(V84/V88,"")</f>
        <v/>
      </c>
      <c r="W86" s="53">
        <f>IFERROR(W84/W88,"")</f>
        <v/>
      </c>
      <c r="X86" s="53">
        <f>IFERROR(X84/X88,"")</f>
        <v/>
      </c>
      <c r="Y86" s="53">
        <f>IFERROR(Y84/Y88,"")</f>
        <v/>
      </c>
      <c r="Z86" s="53">
        <f>IFERROR(Z84/Z88,"")</f>
        <v/>
      </c>
      <c r="AA86" s="53">
        <f>IFERROR(AA84/AA88,"")</f>
        <v/>
      </c>
      <c r="AB86" s="53">
        <f>IFERROR(AB84/AB88,"")</f>
        <v/>
      </c>
      <c r="AC86" s="53">
        <f>IFERROR(AC84/AC88,"")</f>
        <v/>
      </c>
      <c r="AD86" s="53">
        <f>IFERROR(AD84/AD88,"")</f>
        <v/>
      </c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</row>
    <row r="87" ht="15.75" customFormat="1" customHeight="1" s="16">
      <c r="A87" s="15" t="n"/>
      <c r="B87" s="7" t="inlineStr">
        <is>
          <t>% of Target - YTD</t>
        </is>
      </c>
      <c r="D87" s="17" t="inlineStr">
        <is>
          <t>%</t>
        </is>
      </c>
      <c r="E87" s="53">
        <f>IFERROR(SUM($E$84:E84)/SUM($E$88:E88),"")</f>
        <v/>
      </c>
      <c r="F87" s="53">
        <f>IFERROR(SUM($E$84:F84)/SUM($E$88:F88),"")</f>
        <v/>
      </c>
      <c r="G87" s="53">
        <f>IFERROR(SUM($E$84:G84)/SUM($E$88:G88),"")</f>
        <v/>
      </c>
      <c r="H87" s="53">
        <f>IFERROR(SUM($E$84:H84)/SUM($E$88:H88),"")</f>
        <v/>
      </c>
      <c r="I87" s="53">
        <f>IFERROR(SUM($E$84:I84)/SUM($E$88:I88),"")</f>
        <v/>
      </c>
      <c r="J87" s="53">
        <f>IFERROR(SUM($E$84:J84)/SUM($E$88:J88),"")</f>
        <v/>
      </c>
      <c r="K87" s="53">
        <f>IFERROR(SUM($E$84:K84)/SUM($E$88:K88),"")</f>
        <v/>
      </c>
      <c r="L87" s="53">
        <f>IFERROR(SUM($E$84:L84)/SUM($E$88:L88),"")</f>
        <v/>
      </c>
      <c r="M87" s="53">
        <f>IFERROR(SUM($E$84:M84)/SUM($E$88:M88),"")</f>
        <v/>
      </c>
      <c r="N87" s="53">
        <f>IFERROR(SUM($E$84:N84)/SUM($E$88:N88),"")</f>
        <v/>
      </c>
      <c r="O87" s="53">
        <f>IFERROR(SUM($E$84:O84)/SUM($E$88:O88),"")</f>
        <v/>
      </c>
      <c r="P87" s="53">
        <f>IFERROR(SUM($E$84:P84)/SUM($E$88:P88),"")</f>
        <v/>
      </c>
      <c r="Q87" s="53">
        <f>IFERROR(SUM($E$84:Q84)/SUM($E$88:Q88),"")</f>
        <v/>
      </c>
      <c r="R87" s="53">
        <f>IFERROR(SUM($E$84:R84)/SUM($E$88:R88),"")</f>
        <v/>
      </c>
      <c r="S87" s="53">
        <f>IFERROR(SUM($E$84:S84)/SUM($E$88:S88),"")</f>
        <v/>
      </c>
      <c r="T87" s="53">
        <f>IFERROR(SUM($E$84:T84)/SUM($E$88:T88),"")</f>
        <v/>
      </c>
      <c r="U87" s="53">
        <f>IFERROR(SUM($E$84:U84)/SUM($E$88:U88),"")</f>
        <v/>
      </c>
      <c r="V87" s="53">
        <f>IFERROR(SUM($E$84:V84)/SUM($E$88:V88),"")</f>
        <v/>
      </c>
      <c r="W87" s="53">
        <f>IFERROR(SUM($E$84:W84)/SUM($E$88:W88),"")</f>
        <v/>
      </c>
      <c r="X87" s="53">
        <f>IFERROR(SUM($E$84:X84)/SUM($E$88:X88),"")</f>
        <v/>
      </c>
      <c r="Y87" s="53">
        <f>IFERROR(SUM($E$84:Y84)/SUM($E$88:Y88),"")</f>
        <v/>
      </c>
      <c r="Z87" s="53">
        <f>IFERROR(SUM($E$84:Z84)/SUM($E$88:Z88),"")</f>
        <v/>
      </c>
      <c r="AA87" s="53">
        <f>IFERROR(SUM($E$84:AA84)/SUM($E$88:AA88),"")</f>
        <v/>
      </c>
      <c r="AB87" s="53">
        <f>IFERROR(SUM($E$84:AB84)/SUM($E$88:AB88),"")</f>
        <v/>
      </c>
      <c r="AC87" s="53">
        <f>IFERROR(SUM($E$84:AC84)/SUM($E$88:AC88),"")</f>
        <v/>
      </c>
      <c r="AD87" s="53">
        <f>IFERROR(SUM($E$84:AD84)/SUM($E$88:AD88),"")</f>
        <v/>
      </c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</row>
    <row r="88" ht="15.75" customFormat="1" customHeight="1" s="13">
      <c r="A88" s="12" t="n"/>
      <c r="B88" s="13" t="inlineStr">
        <is>
          <t>Target</t>
        </is>
      </c>
      <c r="D88" s="14" t="inlineStr">
        <is>
          <t>#</t>
        </is>
      </c>
      <c r="E88" s="54" t="n">
        <v>3001</v>
      </c>
      <c r="F88" s="54" t="n">
        <v>4147</v>
      </c>
      <c r="G88" s="54" t="n">
        <v>4141</v>
      </c>
      <c r="H88" s="54" t="n">
        <v>4141</v>
      </c>
      <c r="I88" s="54" t="n">
        <v>4137</v>
      </c>
      <c r="J88" s="54" t="n">
        <v>4904</v>
      </c>
      <c r="K88" s="54" t="n">
        <v>4908</v>
      </c>
      <c r="L88" s="54" t="n">
        <v>4923</v>
      </c>
      <c r="M88" s="54" t="n">
        <v>4914</v>
      </c>
      <c r="N88" s="54" t="n">
        <v>8815</v>
      </c>
      <c r="O88" s="54" t="n">
        <v>8801</v>
      </c>
      <c r="P88" s="54" t="n">
        <v>8745</v>
      </c>
      <c r="Q88" s="54" t="n">
        <v>8762</v>
      </c>
      <c r="R88" s="54" t="n">
        <v>8745</v>
      </c>
      <c r="S88" s="54" t="n">
        <v>934</v>
      </c>
      <c r="T88" s="54" t="n">
        <v>4475</v>
      </c>
      <c r="U88" s="54" t="n">
        <v>4482</v>
      </c>
      <c r="V88" s="54" t="n">
        <v>6070</v>
      </c>
      <c r="W88" s="54" t="n">
        <v>11793</v>
      </c>
      <c r="X88" s="54" t="n">
        <v>10003</v>
      </c>
      <c r="Y88" s="54" t="n">
        <v>10003</v>
      </c>
      <c r="Z88" s="54" t="n">
        <v>10003</v>
      </c>
      <c r="AA88" s="54" t="n">
        <v>5364</v>
      </c>
      <c r="AB88" s="54" t="n">
        <v>3558</v>
      </c>
      <c r="AC88" s="54" t="n">
        <v>4592</v>
      </c>
      <c r="AD88" s="54" t="n">
        <v>4592</v>
      </c>
      <c r="AE88" s="54" t="n">
        <v>5446</v>
      </c>
      <c r="AF88" s="54" t="n">
        <v>7156</v>
      </c>
      <c r="AG88" s="54" t="n">
        <v>6088</v>
      </c>
      <c r="AH88" s="54" t="n">
        <v>6088</v>
      </c>
      <c r="AI88" s="54" t="n">
        <v>6023</v>
      </c>
      <c r="AJ88" s="54" t="n">
        <v>5776</v>
      </c>
      <c r="AK88" s="54" t="n">
        <v>5638</v>
      </c>
      <c r="AL88" s="54" t="n">
        <v>5626</v>
      </c>
      <c r="AM88" s="54" t="n">
        <v>5618</v>
      </c>
      <c r="AN88" s="54" t="n">
        <v>4918</v>
      </c>
      <c r="AO88" s="54" t="n">
        <v>1872</v>
      </c>
      <c r="AP88" s="54" t="n">
        <v>4649</v>
      </c>
      <c r="AQ88" s="54" t="n">
        <v>4648</v>
      </c>
      <c r="AR88" s="54" t="n">
        <v>9146</v>
      </c>
      <c r="AS88" s="54" t="n">
        <v>18071</v>
      </c>
      <c r="AT88" s="54" t="n">
        <v>15148</v>
      </c>
      <c r="AU88" s="54" t="n">
        <v>15129</v>
      </c>
      <c r="AV88" s="54" t="n">
        <v>15123</v>
      </c>
      <c r="AW88" s="54" t="n">
        <v>4243</v>
      </c>
      <c r="AX88" s="54" t="n">
        <v>4326</v>
      </c>
      <c r="AY88" s="54" t="n">
        <v>4320</v>
      </c>
      <c r="AZ88" s="54" t="n">
        <v>7589</v>
      </c>
      <c r="BA88" s="54" t="n">
        <v>5450</v>
      </c>
      <c r="BB88" s="54" t="n">
        <v>4829</v>
      </c>
      <c r="BC88" s="54" t="n">
        <v>4741</v>
      </c>
      <c r="BD88" s="54" t="n">
        <v>4652</v>
      </c>
      <c r="BE88" s="54" t="n"/>
    </row>
    <row r="89" ht="15.75" customHeight="1">
      <c r="C89" s="11" t="inlineStr">
        <is>
          <t xml:space="preserve">Cam </t>
        </is>
      </c>
      <c r="D89" s="6" t="inlineStr">
        <is>
          <t>#</t>
        </is>
      </c>
      <c r="E89" s="51" t="n">
        <v>2581</v>
      </c>
      <c r="F89" s="51" t="n">
        <v>2374</v>
      </c>
      <c r="G89" s="51" t="n">
        <v>2589</v>
      </c>
      <c r="H89" s="51" t="n">
        <v>2624</v>
      </c>
      <c r="I89" s="51" t="n">
        <v>2232</v>
      </c>
      <c r="J89" s="51" t="n">
        <v>2546</v>
      </c>
      <c r="K89" s="51" t="n">
        <v>2725</v>
      </c>
      <c r="L89" s="51" t="n">
        <v>3272</v>
      </c>
      <c r="M89" s="51" t="n">
        <v>4283</v>
      </c>
      <c r="N89" s="51" t="n">
        <v>4207</v>
      </c>
      <c r="O89" s="51" t="n">
        <v>3972</v>
      </c>
      <c r="P89" s="51" t="n">
        <v>4033</v>
      </c>
      <c r="Q89" s="51" t="n">
        <v>4756</v>
      </c>
      <c r="R89" s="51" t="n">
        <v>4894</v>
      </c>
      <c r="S89" s="51" t="n">
        <v>4396</v>
      </c>
      <c r="T89" s="51" t="n">
        <v>4198</v>
      </c>
      <c r="U89" s="51" t="n">
        <v>4076</v>
      </c>
      <c r="V89" s="51" t="n">
        <v>4030</v>
      </c>
      <c r="W89" s="51" t="n">
        <v>4529</v>
      </c>
      <c r="X89" s="51" t="n">
        <v>5206</v>
      </c>
      <c r="Y89" s="51" t="n">
        <v>6335</v>
      </c>
      <c r="Z89" s="51" t="n">
        <v>6319</v>
      </c>
      <c r="AA89" s="51" t="n">
        <v>6074</v>
      </c>
      <c r="AB89" s="51" t="n">
        <v>5627</v>
      </c>
      <c r="AC89" s="51" t="n">
        <v>5955</v>
      </c>
      <c r="AD89" s="51" t="n">
        <v>6572</v>
      </c>
      <c r="AE89" s="51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</row>
    <row r="90" ht="15.75" customHeight="1">
      <c r="C90" s="11" t="inlineStr">
        <is>
          <t>Non Cam</t>
        </is>
      </c>
      <c r="D90" s="6" t="inlineStr">
        <is>
          <t>#</t>
        </is>
      </c>
      <c r="E90" s="51" t="n">
        <v>420</v>
      </c>
      <c r="F90" s="51" t="n">
        <v>307</v>
      </c>
      <c r="G90" s="51" t="n">
        <v>410</v>
      </c>
      <c r="H90" s="51" t="n">
        <v>343</v>
      </c>
      <c r="I90" s="51" t="n">
        <v>324</v>
      </c>
      <c r="J90" s="51" t="n">
        <v>375</v>
      </c>
      <c r="K90" s="51" t="n">
        <v>453</v>
      </c>
      <c r="L90" s="51" t="n">
        <v>540</v>
      </c>
      <c r="M90" s="51" t="n">
        <v>572</v>
      </c>
      <c r="N90" s="51" t="n">
        <v>694</v>
      </c>
      <c r="O90" s="51" t="n">
        <v>720</v>
      </c>
      <c r="P90" s="51" t="n">
        <v>524</v>
      </c>
      <c r="Q90" s="51" t="n">
        <v>405</v>
      </c>
      <c r="R90" s="51" t="n">
        <v>319</v>
      </c>
      <c r="S90" s="51" t="n">
        <v>308</v>
      </c>
      <c r="T90" s="51" t="n">
        <v>306</v>
      </c>
      <c r="U90" s="51" t="n">
        <v>332</v>
      </c>
      <c r="V90" s="51" t="n">
        <v>240</v>
      </c>
      <c r="W90" s="51" t="n">
        <v>290</v>
      </c>
      <c r="X90" s="51" t="n">
        <v>364</v>
      </c>
      <c r="Y90" s="51" t="n">
        <v>457</v>
      </c>
      <c r="Z90" s="51" t="n">
        <v>475</v>
      </c>
      <c r="AA90" s="51" t="n">
        <v>399</v>
      </c>
      <c r="AB90" s="51" t="n">
        <v>439</v>
      </c>
      <c r="AC90" s="51" t="n">
        <v>449</v>
      </c>
      <c r="AD90" s="51" t="n">
        <v>446</v>
      </c>
      <c r="AE90" s="51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</row>
    <row r="91" ht="15.75" customHeight="1">
      <c r="C91" s="6" t="n"/>
    </row>
    <row r="92" ht="15.75" customFormat="1" customHeight="1" s="1">
      <c r="A92" s="1" t="inlineStr">
        <is>
          <t xml:space="preserve">Promo </t>
        </is>
      </c>
      <c r="B92" s="1" t="inlineStr">
        <is>
          <t>Real-time tracking</t>
        </is>
      </c>
      <c r="D92" s="24" t="inlineStr">
        <is>
          <t>$k</t>
        </is>
      </c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>
        <v>9.96857</v>
      </c>
      <c r="R92" s="52" t="n">
        <v>3.95143</v>
      </c>
      <c r="S92" s="52" t="n">
        <v>6.21314</v>
      </c>
      <c r="T92" s="52" t="n">
        <v>6.947430000000001</v>
      </c>
      <c r="U92" s="52" t="n"/>
      <c r="V92" s="52" t="n"/>
      <c r="W92" s="52" t="n"/>
      <c r="X92" s="52" t="n"/>
      <c r="Y92" s="52" t="n">
        <v>7.059819999999999</v>
      </c>
      <c r="Z92" s="52" t="n">
        <v>1.14558</v>
      </c>
      <c r="AA92" s="52" t="n">
        <v>1.33714</v>
      </c>
      <c r="AB92" s="52" t="n">
        <v>7.38</v>
      </c>
      <c r="AC92" s="52" t="n">
        <v>27.11486</v>
      </c>
      <c r="AD92" s="52" t="n">
        <v>22.86514</v>
      </c>
      <c r="AE92" s="52" t="n"/>
      <c r="AF92" s="52" t="n"/>
      <c r="AG92" s="52" t="n"/>
      <c r="AH92" s="52" t="n"/>
      <c r="AI92" s="52" t="n"/>
      <c r="AJ92" s="52" t="n"/>
      <c r="AK92" s="52" t="n"/>
      <c r="AL92" s="52" t="n"/>
      <c r="AM92" s="52" t="n"/>
      <c r="AN92" s="52" t="n"/>
      <c r="AO92" s="52" t="n"/>
      <c r="AP92" s="52" t="n"/>
      <c r="AQ92" s="52" t="n"/>
      <c r="AR92" s="52" t="n"/>
      <c r="AS92" s="52" t="n"/>
      <c r="AT92" s="52" t="n"/>
      <c r="AU92" s="52" t="n"/>
      <c r="AV92" s="52" t="n"/>
      <c r="AW92" s="52" t="n"/>
      <c r="AX92" s="52" t="n"/>
      <c r="AY92" s="52" t="n"/>
      <c r="AZ92" s="52" t="n"/>
      <c r="BA92" s="52" t="n"/>
      <c r="BB92" s="52" t="n"/>
      <c r="BC92" s="52" t="n"/>
      <c r="BD92" s="52" t="n"/>
      <c r="BE92" s="52" t="n"/>
    </row>
    <row r="93" ht="15.75" customFormat="1" customHeight="1" s="1">
      <c r="B93" s="49" t="inlineStr">
        <is>
          <t>Finance Actuals (Monthly)</t>
        </is>
      </c>
      <c r="D93" s="32" t="inlineStr">
        <is>
          <t>$k</t>
        </is>
      </c>
      <c r="E93" s="52" t="n"/>
      <c r="F93" s="52" t="n"/>
      <c r="G93" s="52" t="n"/>
      <c r="H93" s="52" t="n">
        <v>0.10196</v>
      </c>
      <c r="I93" s="52" t="n"/>
      <c r="J93" s="52" t="n"/>
      <c r="K93" s="52" t="n"/>
      <c r="L93" s="52" t="n">
        <v>61.57928</v>
      </c>
      <c r="M93" s="52" t="n"/>
      <c r="N93" s="52" t="n"/>
      <c r="O93" s="52" t="n"/>
      <c r="P93" s="52" t="n"/>
      <c r="Q93" s="52" t="n">
        <v>0.73349</v>
      </c>
      <c r="R93" s="52" t="n"/>
      <c r="S93" s="52" t="n"/>
      <c r="T93" s="52" t="n"/>
      <c r="U93" s="52" t="n">
        <v>1.64948</v>
      </c>
      <c r="V93" s="52" t="n"/>
      <c r="W93" s="52" t="n"/>
      <c r="X93" s="52" t="n"/>
      <c r="Y93" s="52" t="n"/>
      <c r="Z93" s="52" t="n">
        <v>20.77099</v>
      </c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  <c r="AL93" s="52" t="n"/>
      <c r="AM93" s="52" t="n"/>
      <c r="AN93" s="52" t="n"/>
      <c r="AO93" s="52" t="n"/>
      <c r="AP93" s="52" t="n"/>
      <c r="AQ93" s="52" t="n"/>
      <c r="AR93" s="52" t="n"/>
      <c r="AS93" s="52" t="n"/>
      <c r="AT93" s="52" t="n"/>
      <c r="AU93" s="52" t="n"/>
      <c r="AV93" s="52" t="n"/>
      <c r="AW93" s="52" t="n"/>
      <c r="AX93" s="52" t="n"/>
      <c r="AY93" s="52" t="n"/>
      <c r="AZ93" s="52" t="n"/>
      <c r="BA93" s="52" t="n"/>
      <c r="BB93" s="52" t="n"/>
      <c r="BC93" s="52" t="n"/>
      <c r="BD93" s="52" t="n"/>
      <c r="BE93" s="52" t="n"/>
    </row>
    <row r="94" ht="15.75" customFormat="1" customHeight="1" s="9">
      <c r="B94" s="9" t="inlineStr">
        <is>
          <t>Budgeted (Monthly)</t>
        </is>
      </c>
      <c r="D94" s="10" t="inlineStr">
        <is>
          <t>$k</t>
        </is>
      </c>
      <c r="E94" s="54" t="n"/>
      <c r="F94" s="54" t="n"/>
      <c r="G94" s="54" t="n"/>
      <c r="H94" s="54" t="n">
        <v>0</v>
      </c>
      <c r="I94" s="54" t="n"/>
      <c r="J94" s="54" t="n"/>
      <c r="K94" s="54" t="n"/>
      <c r="L94" s="54" t="n">
        <v>0</v>
      </c>
      <c r="M94" s="54" t="n"/>
      <c r="N94" s="54" t="n"/>
      <c r="O94" s="54" t="n"/>
      <c r="P94" s="54" t="n"/>
      <c r="Q94" s="54" t="n">
        <v>51.8</v>
      </c>
      <c r="R94" s="54" t="n"/>
      <c r="S94" s="54" t="n"/>
      <c r="T94" s="54" t="n"/>
      <c r="U94" s="54" t="n">
        <v>74.8</v>
      </c>
      <c r="V94" s="54" t="n"/>
      <c r="W94" s="54" t="n"/>
      <c r="X94" s="54" t="n"/>
      <c r="Y94" s="54" t="n"/>
      <c r="Z94" s="54" t="n">
        <v>73.7</v>
      </c>
      <c r="AA94" s="54" t="n"/>
      <c r="AB94" s="54" t="n"/>
      <c r="AC94" s="54" t="n"/>
      <c r="AD94" s="54" t="n">
        <v>84.23999999999999</v>
      </c>
      <c r="AE94" s="54" t="n"/>
      <c r="AF94" s="54" t="n"/>
      <c r="AG94" s="54" t="n"/>
      <c r="AH94" s="54" t="n">
        <v>110.16</v>
      </c>
      <c r="AI94" s="54" t="n"/>
      <c r="AJ94" s="54" t="n"/>
      <c r="AK94" s="54" t="n"/>
      <c r="AL94" s="54" t="n"/>
      <c r="AM94" s="54" t="n">
        <v>10.31428571428571</v>
      </c>
      <c r="AN94" s="54" t="n"/>
      <c r="AO94" s="54" t="n"/>
      <c r="AP94" s="54" t="n"/>
      <c r="AQ94" s="54" t="n">
        <v>61.88571428571429</v>
      </c>
      <c r="AR94" s="54" t="n"/>
      <c r="AS94" s="54" t="n"/>
      <c r="AT94" s="54" t="n"/>
      <c r="AU94" s="54" t="n">
        <v>107.2</v>
      </c>
      <c r="AV94" s="54" t="n"/>
      <c r="AW94" s="54" t="n"/>
      <c r="AX94" s="54" t="n"/>
      <c r="AY94" s="54" t="n"/>
      <c r="AZ94" s="54" t="n">
        <v>518.3200000000001</v>
      </c>
      <c r="BA94" s="54" t="n"/>
      <c r="BB94" s="54" t="n"/>
      <c r="BC94" s="54" t="n"/>
      <c r="BD94" s="54" t="n">
        <v>129.58</v>
      </c>
      <c r="BE94" s="54" t="n"/>
    </row>
    <row r="95" ht="15.75" customHeight="1">
      <c r="B95" s="7" t="inlineStr">
        <is>
          <t>As % of budget - this month</t>
        </is>
      </c>
      <c r="D95" s="17" t="inlineStr">
        <is>
          <t>%</t>
        </is>
      </c>
      <c r="E95" s="53" t="n"/>
      <c r="F95" s="53" t="n"/>
      <c r="G95" s="53" t="n"/>
      <c r="H95" s="53">
        <f>IFERROR(SUM(E93:H93)/H94,"")</f>
        <v/>
      </c>
      <c r="I95" s="53" t="n"/>
      <c r="J95" s="53" t="n"/>
      <c r="K95" s="53" t="n"/>
      <c r="L95" s="53">
        <f>IFERROR(SUM(I93:L93)/L94,"")</f>
        <v/>
      </c>
      <c r="M95" s="53" t="n"/>
      <c r="N95" s="53" t="n"/>
      <c r="O95" s="53" t="n"/>
      <c r="P95" s="53" t="n"/>
      <c r="Q95" s="53">
        <f>IFERROR(SUM(M93:Q93)/Q94,"")</f>
        <v/>
      </c>
      <c r="R95" s="53" t="n"/>
      <c r="S95" s="53" t="n"/>
      <c r="T95" s="53" t="n"/>
      <c r="U95" s="53">
        <f>IFERROR(SUM(R93:U93)/U94,"")</f>
        <v/>
      </c>
      <c r="V95" s="53" t="n"/>
      <c r="W95" s="53" t="n"/>
      <c r="X95" s="53" t="n"/>
      <c r="Y95" s="53" t="n"/>
      <c r="Z95" s="53">
        <f>IFERROR(SUM(V93:Z93)/Z94,"")</f>
        <v/>
      </c>
      <c r="AA95" s="53" t="n"/>
      <c r="AB95" s="53" t="n"/>
      <c r="AC95" s="53" t="n"/>
      <c r="AD95" s="53">
        <f>IFERROR(SUM(AA93:AD93)/AD94,"")</f>
        <v/>
      </c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</row>
    <row r="96" ht="15.75" customHeight="1">
      <c r="B96" s="7" t="inlineStr">
        <is>
          <t>As % of quarterly budget (QTD)</t>
        </is>
      </c>
      <c r="D96" s="17" t="inlineStr">
        <is>
          <t>%</t>
        </is>
      </c>
      <c r="E96" s="53" t="n"/>
      <c r="F96" s="53" t="n"/>
      <c r="G96" s="53" t="n"/>
      <c r="H96" s="53">
        <f>IFERROR(SUM(E93:H93)/(H94+L94+Q94),"")</f>
        <v/>
      </c>
      <c r="I96" s="53" t="n"/>
      <c r="J96" s="53" t="n"/>
      <c r="K96" s="53" t="n"/>
      <c r="L96" s="53">
        <f>IFERROR(SUM(E93:L93)/(H94+L94+Q94),"")</f>
        <v/>
      </c>
      <c r="M96" s="53" t="n"/>
      <c r="N96" s="53" t="n"/>
      <c r="O96" s="53" t="n"/>
      <c r="P96" s="53" t="n"/>
      <c r="Q96" s="53">
        <f>IFERROR(SUM(E93:Q93)/(H94+L94+Q94),"")</f>
        <v/>
      </c>
      <c r="R96" s="53" t="n"/>
      <c r="S96" s="53" t="n"/>
      <c r="T96" s="53" t="n"/>
      <c r="U96" s="53">
        <f>IFERROR(SUM(R93:U93)/(U94+Z94+AD94),"")</f>
        <v/>
      </c>
      <c r="V96" s="53" t="n"/>
      <c r="W96" s="53" t="n"/>
      <c r="X96" s="53" t="n"/>
      <c r="Y96" s="53" t="n"/>
      <c r="Z96" s="53">
        <f>IFERROR(SUM(R93:Z93)/(U94+Z94+AD94),"")</f>
        <v/>
      </c>
      <c r="AA96" s="53" t="n"/>
      <c r="AB96" s="53" t="n"/>
      <c r="AC96" s="53" t="n"/>
      <c r="AD96" s="53">
        <f>IFERROR(SUM(R93:AD93)/(U94+Z94+AD94),"")</f>
        <v/>
      </c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</row>
    <row r="97" ht="15.75" customHeight="1">
      <c r="B97" s="7" t="inlineStr">
        <is>
          <t>As % of annual budget (YTD)</t>
        </is>
      </c>
      <c r="D97" s="17" t="inlineStr">
        <is>
          <t>%</t>
        </is>
      </c>
      <c r="E97" s="53" t="n"/>
      <c r="F97" s="53" t="n"/>
      <c r="G97" s="53" t="n"/>
      <c r="H97" s="53">
        <f>IFERROR(SUM($E$93:H93)/SUM($E$94:BD94),"")</f>
        <v/>
      </c>
      <c r="I97" s="53" t="n"/>
      <c r="J97" s="53" t="n"/>
      <c r="K97" s="53" t="n"/>
      <c r="L97" s="53">
        <f>IFERROR(SUM($E$93:L93)/SUM($E$94:BD94),"")</f>
        <v/>
      </c>
      <c r="M97" s="53" t="n"/>
      <c r="N97" s="53" t="n"/>
      <c r="O97" s="53" t="n"/>
      <c r="P97" s="53" t="n"/>
      <c r="Q97" s="53">
        <f>IFERROR(SUM($E$93:Q93)/SUM($E$94:BD94),"")</f>
        <v/>
      </c>
      <c r="R97" s="53" t="n"/>
      <c r="S97" s="53" t="n"/>
      <c r="T97" s="53" t="n"/>
      <c r="U97" s="53">
        <f>IFERROR(SUM($E$93:U93)/SUM($E$94:BD94),"")</f>
        <v/>
      </c>
      <c r="V97" s="53" t="n"/>
      <c r="W97" s="53" t="n"/>
      <c r="X97" s="53" t="n"/>
      <c r="Y97" s="53" t="n"/>
      <c r="Z97" s="53">
        <f>IFERROR(SUM($E$93:Z93)/SUM($E$94:BD94),"")</f>
        <v/>
      </c>
      <c r="AA97" s="53" t="n"/>
      <c r="AB97" s="53" t="n"/>
      <c r="AC97" s="53" t="n"/>
      <c r="AD97" s="53">
        <f>IFERROR(SUM($E$93:AD93)/SUM($E$94:BD94),"")</f>
        <v/>
      </c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</row>
    <row r="98" ht="15.75" customHeight="1"/>
    <row r="99" ht="15.75" customHeight="1">
      <c r="A99" s="1" t="inlineStr">
        <is>
          <t>Total Marketing</t>
        </is>
      </c>
      <c r="B99" s="1" t="n"/>
      <c r="C99" s="1" t="n"/>
      <c r="D99" s="24" t="inlineStr">
        <is>
          <t>$k</t>
        </is>
      </c>
      <c r="E99" s="52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  <c r="AL99" s="52" t="n"/>
      <c r="AM99" s="52" t="n"/>
      <c r="AN99" s="52" t="n"/>
      <c r="AO99" s="52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  <c r="BB99" s="52" t="n"/>
      <c r="BC99" s="52" t="n"/>
      <c r="BD99" s="52" t="n"/>
      <c r="BE99" s="52" t="n"/>
    </row>
    <row r="100" ht="15.75" customHeight="1">
      <c r="A100" s="1" t="n"/>
      <c r="B100" s="49" t="inlineStr">
        <is>
          <t>Finance Actuals (Monthly)</t>
        </is>
      </c>
      <c r="C100" s="1" t="n"/>
      <c r="D100" s="32" t="inlineStr">
        <is>
          <t>$k</t>
        </is>
      </c>
      <c r="E100" s="52" t="n"/>
      <c r="F100" s="52" t="n"/>
      <c r="G100" s="52" t="n"/>
      <c r="H100" s="52" t="n">
        <v>7.26002</v>
      </c>
      <c r="I100" s="52" t="n"/>
      <c r="J100" s="52" t="n"/>
      <c r="K100" s="52" t="n"/>
      <c r="L100" s="52" t="n">
        <v>16.48183</v>
      </c>
      <c r="M100" s="52" t="n"/>
      <c r="N100" s="52" t="n"/>
      <c r="O100" s="52" t="n"/>
      <c r="P100" s="52" t="n"/>
      <c r="Q100" s="52" t="n">
        <v>242.54598</v>
      </c>
      <c r="R100" s="52" t="n"/>
      <c r="S100" s="52" t="n"/>
      <c r="T100" s="52" t="n"/>
      <c r="U100" s="52" t="n">
        <v>89.10865</v>
      </c>
      <c r="V100" s="52" t="n"/>
      <c r="W100" s="52" t="n"/>
      <c r="X100" s="52" t="n"/>
      <c r="Y100" s="52" t="n"/>
      <c r="Z100" s="52" t="n">
        <v>83.16731</v>
      </c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  <c r="AL100" s="52" t="n"/>
      <c r="AM100" s="52" t="n"/>
      <c r="AN100" s="52" t="n"/>
      <c r="AO100" s="52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  <c r="BB100" s="52" t="n"/>
      <c r="BC100" s="52" t="n"/>
      <c r="BD100" s="52" t="n"/>
      <c r="BE100" s="52" t="n"/>
    </row>
    <row r="101" ht="15.75" customHeight="1">
      <c r="B101" s="9" t="inlineStr">
        <is>
          <t>Budgeted (Monthly)</t>
        </is>
      </c>
      <c r="D101" s="10" t="inlineStr">
        <is>
          <t>$k</t>
        </is>
      </c>
      <c r="E101" s="54" t="n"/>
      <c r="F101" s="54" t="n"/>
      <c r="G101" s="54" t="n"/>
      <c r="H101" s="54" t="n">
        <v>52.5</v>
      </c>
      <c r="I101" s="54" t="n"/>
      <c r="J101" s="54" t="n"/>
      <c r="K101" s="54" t="n"/>
      <c r="L101" s="54" t="n">
        <v>52.5</v>
      </c>
      <c r="M101" s="54" t="n"/>
      <c r="N101" s="54" t="n"/>
      <c r="O101" s="54" t="n"/>
      <c r="P101" s="54" t="n"/>
      <c r="Q101" s="54" t="n">
        <v>52.5</v>
      </c>
      <c r="R101" s="54" t="n"/>
      <c r="S101" s="54" t="n"/>
      <c r="T101" s="54" t="n"/>
      <c r="U101" s="54" t="n">
        <v>552.5</v>
      </c>
      <c r="V101" s="54" t="n"/>
      <c r="W101" s="54" t="n"/>
      <c r="X101" s="54" t="n"/>
      <c r="Y101" s="54" t="n"/>
      <c r="Z101" s="54" t="n">
        <v>552.5</v>
      </c>
      <c r="AA101" s="54" t="n"/>
      <c r="AB101" s="54" t="n"/>
      <c r="AC101" s="54" t="n"/>
      <c r="AD101" s="54" t="n">
        <v>552.5</v>
      </c>
      <c r="AE101" s="54" t="n"/>
      <c r="AF101" s="54" t="n"/>
      <c r="AG101" s="54" t="n"/>
      <c r="AH101" s="54" t="n">
        <v>52.5</v>
      </c>
      <c r="AI101" s="54" t="n"/>
      <c r="AJ101" s="54" t="n"/>
      <c r="AK101" s="54" t="n"/>
      <c r="AL101" s="54" t="n"/>
      <c r="AM101" s="54" t="n">
        <v>52.5</v>
      </c>
      <c r="AN101" s="54" t="n"/>
      <c r="AO101" s="54" t="n"/>
      <c r="AP101" s="54" t="n"/>
      <c r="AQ101" s="54" t="n">
        <v>52.5</v>
      </c>
      <c r="AR101" s="54" t="n"/>
      <c r="AS101" s="54" t="n"/>
      <c r="AT101" s="54" t="n"/>
      <c r="AU101" s="54" t="n">
        <v>52.5</v>
      </c>
      <c r="AV101" s="54" t="n"/>
      <c r="AW101" s="54" t="n"/>
      <c r="AX101" s="54" t="n"/>
      <c r="AY101" s="54" t="n"/>
      <c r="AZ101" s="54" t="n">
        <v>52.5</v>
      </c>
      <c r="BA101" s="54" t="n"/>
      <c r="BB101" s="54" t="n"/>
      <c r="BC101" s="54" t="n"/>
      <c r="BD101" s="54" t="n">
        <v>52.5</v>
      </c>
      <c r="BE101" s="54" t="n"/>
    </row>
    <row r="102" ht="15.75" customHeight="1">
      <c r="B102" s="7" t="inlineStr">
        <is>
          <t>As % of budget - this month</t>
        </is>
      </c>
      <c r="D102" s="17" t="inlineStr">
        <is>
          <t>%</t>
        </is>
      </c>
      <c r="E102" s="53" t="n"/>
      <c r="F102" s="53" t="n"/>
      <c r="G102" s="53" t="n"/>
      <c r="H102" s="53">
        <f>IFERROR(SUM(E100:H100)/H101,"")</f>
        <v/>
      </c>
      <c r="I102" s="53" t="n"/>
      <c r="J102" s="53" t="n"/>
      <c r="K102" s="53" t="n"/>
      <c r="L102" s="53">
        <f>IFERROR(SUM(I100:L100)/L101,"")</f>
        <v/>
      </c>
      <c r="M102" s="53" t="n"/>
      <c r="N102" s="53" t="n"/>
      <c r="O102" s="53" t="n"/>
      <c r="P102" s="53" t="n"/>
      <c r="Q102" s="53">
        <f>IFERROR(SUM(M100:Q100)/Q101,"")</f>
        <v/>
      </c>
      <c r="R102" s="53" t="n"/>
      <c r="S102" s="53" t="n"/>
      <c r="T102" s="53" t="n"/>
      <c r="U102" s="53">
        <f>IFERROR(SUM(R100:U100)/U101,"")</f>
        <v/>
      </c>
      <c r="V102" s="53" t="n"/>
      <c r="W102" s="53" t="n"/>
      <c r="X102" s="53" t="n"/>
      <c r="Y102" s="53" t="n"/>
      <c r="Z102" s="53">
        <f>IFERROR(SUM(V100:Z100)/Z101,"")</f>
        <v/>
      </c>
      <c r="AA102" s="53" t="n"/>
      <c r="AB102" s="53" t="n"/>
      <c r="AC102" s="53" t="n"/>
      <c r="AD102" s="53">
        <f>IFERROR(SUM(AA100:AD100)/AD101,"")</f>
        <v/>
      </c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</row>
    <row r="103" ht="15.75" customHeight="1">
      <c r="B103" s="7" t="inlineStr">
        <is>
          <t>As % of quarterly budget (QTD)</t>
        </is>
      </c>
      <c r="D103" s="17" t="inlineStr">
        <is>
          <t>%</t>
        </is>
      </c>
      <c r="E103" s="53" t="n"/>
      <c r="F103" s="53" t="n"/>
      <c r="G103" s="53" t="n"/>
      <c r="H103" s="53">
        <f>IFERROR(SUM(E100:H100)/(H101+L101+Q101),"")</f>
        <v/>
      </c>
      <c r="I103" s="53" t="n"/>
      <c r="J103" s="53" t="n"/>
      <c r="K103" s="53" t="n"/>
      <c r="L103" s="53">
        <f>IFERROR(SUM(E100:L100)/(H101+L101+Q101),"")</f>
        <v/>
      </c>
      <c r="M103" s="53" t="n"/>
      <c r="N103" s="53" t="n"/>
      <c r="O103" s="53" t="n"/>
      <c r="P103" s="53" t="n"/>
      <c r="Q103" s="53">
        <f>IFERROR(SUM(E100:Q100)/(H101+L101+Q101),"")</f>
        <v/>
      </c>
      <c r="R103" s="53" t="n"/>
      <c r="S103" s="53" t="n"/>
      <c r="T103" s="53" t="n"/>
      <c r="U103" s="53">
        <f>IFERROR(SUM(R100:U100)/(U101+Z101+AD101),"")</f>
        <v/>
      </c>
      <c r="V103" s="53" t="n"/>
      <c r="W103" s="53" t="n"/>
      <c r="X103" s="53" t="n"/>
      <c r="Y103" s="53" t="n"/>
      <c r="Z103" s="53">
        <f>IFERROR(SUM(R100:Z100)/(U101+Z101+AD101),"")</f>
        <v/>
      </c>
      <c r="AA103" s="53" t="n"/>
      <c r="AB103" s="53" t="n"/>
      <c r="AC103" s="53" t="n"/>
      <c r="AD103" s="53">
        <f>IFERROR(SUM(R100:AD100)/(U101+Z101+AD101),"")</f>
        <v/>
      </c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</row>
    <row r="104" ht="15.75" customHeight="1">
      <c r="B104" s="7" t="inlineStr">
        <is>
          <t>As % of annual budget (YTD)</t>
        </is>
      </c>
      <c r="D104" s="17" t="inlineStr">
        <is>
          <t>%</t>
        </is>
      </c>
      <c r="E104" s="53" t="n"/>
      <c r="F104" s="53" t="n"/>
      <c r="G104" s="53" t="n"/>
      <c r="H104" s="53">
        <f>IFERROR(SUM($E$100:H100)/SUM($E$101:BD101),"")</f>
        <v/>
      </c>
      <c r="I104" s="53" t="n"/>
      <c r="J104" s="53" t="n"/>
      <c r="K104" s="53" t="n"/>
      <c r="L104" s="53">
        <f>IFERROR(SUM($E$100:L100)/SUM($E$101:BD101),"")</f>
        <v/>
      </c>
      <c r="M104" s="53" t="n"/>
      <c r="N104" s="53" t="n"/>
      <c r="O104" s="53" t="n"/>
      <c r="P104" s="53" t="n"/>
      <c r="Q104" s="53">
        <f>IFERROR(SUM($E$100:Q100)/SUM($E$101:BD101),"")</f>
        <v/>
      </c>
      <c r="R104" s="53" t="n"/>
      <c r="S104" s="53" t="n"/>
      <c r="T104" s="53" t="n"/>
      <c r="U104" s="53">
        <f>IFERROR(SUM($E$100:U100)/SUM($E$101:BD101),"")</f>
        <v/>
      </c>
      <c r="V104" s="53" t="n"/>
      <c r="W104" s="53" t="n"/>
      <c r="X104" s="53" t="n"/>
      <c r="Y104" s="53" t="n"/>
      <c r="Z104" s="53">
        <f>IFERROR(SUM($E$100:Z100)/SUM($E$101:BD101),"")</f>
        <v/>
      </c>
      <c r="AA104" s="53" t="n"/>
      <c r="AB104" s="53" t="n"/>
      <c r="AC104" s="53" t="n"/>
      <c r="AD104" s="53">
        <f>IFERROR(SUM($E$100:AD100)/SUM($E$101:BD101),"")</f>
        <v/>
      </c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</row>
    <row r="105" ht="15.75" customHeight="1"/>
    <row r="106" ht="15.75" customFormat="1" customHeight="1" s="1">
      <c r="A106" s="1" t="inlineStr">
        <is>
          <t>Ads</t>
        </is>
      </c>
      <c r="B106" s="1" t="inlineStr">
        <is>
          <t>Real-time tracking</t>
        </is>
      </c>
      <c r="D106" s="24" t="inlineStr">
        <is>
          <t>$k</t>
        </is>
      </c>
      <c r="E106" s="52" t="n">
        <v>14.40454</v>
      </c>
      <c r="F106" s="52" t="n">
        <v>14.41236</v>
      </c>
      <c r="G106" s="52" t="n">
        <v>16.71242</v>
      </c>
      <c r="H106" s="52" t="n">
        <v>19.17292</v>
      </c>
      <c r="I106" s="52" t="n">
        <v>21.20329</v>
      </c>
      <c r="J106" s="52" t="n">
        <v>16.23922</v>
      </c>
      <c r="K106" s="52" t="n">
        <v>20.99318</v>
      </c>
      <c r="L106" s="52" t="n">
        <v>22.75174</v>
      </c>
      <c r="M106" s="52" t="n">
        <v>25.30943</v>
      </c>
      <c r="N106" s="52" t="n">
        <v>24.17811</v>
      </c>
      <c r="O106" s="52" t="n">
        <v>23.91804</v>
      </c>
      <c r="P106" s="52" t="n">
        <v>23.81779</v>
      </c>
      <c r="Q106" s="52" t="n">
        <v>23.92942</v>
      </c>
      <c r="R106" s="52" t="n">
        <v>21.59292</v>
      </c>
      <c r="S106" s="52" t="n">
        <v>22.96889</v>
      </c>
      <c r="T106" s="52" t="n">
        <v>21.97835</v>
      </c>
      <c r="U106" s="52" t="n">
        <v>11.89201</v>
      </c>
      <c r="V106" s="52" t="n">
        <v>15.57232</v>
      </c>
      <c r="W106" s="52" t="n">
        <v>15.50597</v>
      </c>
      <c r="X106" s="52" t="n">
        <v>17.59154</v>
      </c>
      <c r="Y106" s="52" t="n">
        <v>21.72046</v>
      </c>
      <c r="Z106" s="52" t="n">
        <v>18.06574</v>
      </c>
      <c r="AA106" s="52" t="n">
        <v>17.35348</v>
      </c>
      <c r="AB106" s="52" t="n">
        <v>18.93834</v>
      </c>
      <c r="AC106" s="52" t="n">
        <v>21.15008</v>
      </c>
      <c r="AD106" s="52" t="n">
        <v>27.19254</v>
      </c>
      <c r="AE106" s="52" t="n"/>
      <c r="AF106" s="52" t="n"/>
      <c r="AG106" s="52" t="n"/>
      <c r="AH106" s="52" t="n"/>
      <c r="AI106" s="52" t="n"/>
      <c r="AJ106" s="52" t="n"/>
      <c r="AK106" s="52" t="n"/>
      <c r="AL106" s="52" t="n"/>
      <c r="AM106" s="52" t="n"/>
      <c r="AN106" s="52" t="n"/>
      <c r="AO106" s="52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  <c r="BB106" s="52" t="n"/>
      <c r="BC106" s="52" t="n"/>
      <c r="BD106" s="52" t="n"/>
      <c r="BE106" s="52" t="n"/>
    </row>
    <row r="107" ht="15.75" customHeight="1">
      <c r="B107" s="9" t="inlineStr">
        <is>
          <t>Budgeted (Monthly)</t>
        </is>
      </c>
      <c r="C107" s="9" t="n"/>
      <c r="D107" s="10" t="inlineStr">
        <is>
          <t>$k</t>
        </is>
      </c>
      <c r="E107" s="54" t="n"/>
      <c r="F107" s="54" t="n"/>
      <c r="G107" s="54" t="n"/>
      <c r="H107" s="54" t="n">
        <v>50</v>
      </c>
      <c r="I107" s="54" t="n"/>
      <c r="J107" s="54" t="n"/>
      <c r="K107" s="54" t="n"/>
      <c r="L107" s="54" t="n">
        <v>50</v>
      </c>
      <c r="M107" s="54" t="n"/>
      <c r="N107" s="54" t="n"/>
      <c r="O107" s="54" t="n"/>
      <c r="P107" s="54" t="n"/>
      <c r="Q107" s="54" t="n">
        <v>50</v>
      </c>
      <c r="R107" s="54" t="n"/>
      <c r="S107" s="54" t="n"/>
      <c r="T107" s="54" t="n"/>
      <c r="U107" s="54" t="n">
        <v>50</v>
      </c>
      <c r="V107" s="54" t="n"/>
      <c r="W107" s="54" t="n"/>
      <c r="X107" s="54" t="n"/>
      <c r="Y107" s="54" t="n"/>
      <c r="Z107" s="54" t="n">
        <v>50</v>
      </c>
      <c r="AA107" s="54" t="n"/>
      <c r="AB107" s="54" t="n"/>
      <c r="AC107" s="54" t="n"/>
      <c r="AD107" s="54" t="n">
        <v>50</v>
      </c>
      <c r="AE107" s="54" t="n"/>
      <c r="AF107" s="54" t="n"/>
      <c r="AG107" s="54" t="n"/>
      <c r="AH107" s="54" t="n">
        <v>50</v>
      </c>
      <c r="AI107" s="54" t="n"/>
      <c r="AJ107" s="54" t="n"/>
      <c r="AK107" s="54" t="n"/>
      <c r="AL107" s="54" t="n"/>
      <c r="AM107" s="54" t="n">
        <v>50</v>
      </c>
      <c r="AN107" s="54" t="n"/>
      <c r="AO107" s="54" t="n"/>
      <c r="AP107" s="54" t="n"/>
      <c r="AQ107" s="54" t="n">
        <v>50</v>
      </c>
      <c r="AR107" s="54" t="n"/>
      <c r="AS107" s="54" t="n"/>
      <c r="AT107" s="54" t="n"/>
      <c r="AU107" s="54" t="n">
        <v>50</v>
      </c>
      <c r="AV107" s="54" t="n"/>
      <c r="AW107" s="54" t="n"/>
      <c r="AX107" s="54" t="n"/>
      <c r="AY107" s="54" t="n"/>
      <c r="AZ107" s="54" t="n">
        <v>50</v>
      </c>
      <c r="BA107" s="54" t="n"/>
      <c r="BB107" s="54" t="n"/>
      <c r="BC107" s="54" t="n"/>
      <c r="BD107" s="54" t="n">
        <v>50</v>
      </c>
      <c r="BE107" s="54" t="n"/>
    </row>
    <row r="108" ht="15.75" customHeight="1"/>
    <row r="109" ht="15.75" customFormat="1" customHeight="1" s="1">
      <c r="A109" s="1" t="inlineStr">
        <is>
          <t>Other Marketing - Retail marketing, etc</t>
        </is>
      </c>
      <c r="D109" s="24" t="inlineStr">
        <is>
          <t>$k</t>
        </is>
      </c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  <c r="AL109" s="52" t="n"/>
      <c r="AM109" s="52" t="n"/>
      <c r="AN109" s="52" t="n"/>
      <c r="AO109" s="52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  <c r="BB109" s="52" t="n"/>
      <c r="BC109" s="52" t="n"/>
      <c r="BD109" s="52" t="n"/>
      <c r="BE109" s="52" t="n"/>
    </row>
    <row r="110" ht="15.75" customHeight="1">
      <c r="B110" s="9" t="inlineStr">
        <is>
          <t>Budgeted (Monthly)</t>
        </is>
      </c>
      <c r="C110" s="9" t="n"/>
      <c r="D110" s="10" t="inlineStr">
        <is>
          <t>$k</t>
        </is>
      </c>
      <c r="E110" s="54" t="n"/>
      <c r="F110" s="54" t="n"/>
      <c r="G110" s="54" t="n"/>
      <c r="H110" s="54" t="n">
        <v>2.5</v>
      </c>
      <c r="I110" s="54" t="n"/>
      <c r="J110" s="54" t="n"/>
      <c r="K110" s="54" t="n"/>
      <c r="L110" s="54" t="n">
        <v>2.5</v>
      </c>
      <c r="M110" s="54" t="n"/>
      <c r="N110" s="54" t="n"/>
      <c r="O110" s="54" t="n"/>
      <c r="P110" s="54" t="n"/>
      <c r="Q110" s="54" t="n">
        <v>2.5</v>
      </c>
      <c r="R110" s="54" t="n"/>
      <c r="S110" s="54" t="n"/>
      <c r="T110" s="54" t="n"/>
      <c r="U110" s="54" t="n">
        <v>502.5</v>
      </c>
      <c r="V110" s="54" t="n"/>
      <c r="W110" s="54" t="n"/>
      <c r="X110" s="54" t="n"/>
      <c r="Y110" s="54" t="n"/>
      <c r="Z110" s="54" t="n">
        <v>502.5</v>
      </c>
      <c r="AA110" s="54" t="n"/>
      <c r="AB110" s="54" t="n"/>
      <c r="AC110" s="54" t="n"/>
      <c r="AD110" s="54" t="n">
        <v>502.5</v>
      </c>
      <c r="AE110" s="54" t="n"/>
      <c r="AF110" s="54" t="n"/>
      <c r="AG110" s="54" t="n"/>
      <c r="AH110" s="54" t="n">
        <v>2.5</v>
      </c>
      <c r="AI110" s="54" t="n"/>
      <c r="AJ110" s="54" t="n"/>
      <c r="AK110" s="54" t="n"/>
      <c r="AL110" s="54" t="n"/>
      <c r="AM110" s="54" t="n">
        <v>2.5</v>
      </c>
      <c r="AN110" s="54" t="n"/>
      <c r="AO110" s="54" t="n"/>
      <c r="AP110" s="54" t="n"/>
      <c r="AQ110" s="54" t="n">
        <v>2.5</v>
      </c>
      <c r="AR110" s="54" t="n"/>
      <c r="AS110" s="54" t="n"/>
      <c r="AT110" s="54" t="n"/>
      <c r="AU110" s="54" t="n">
        <v>2.5</v>
      </c>
      <c r="AV110" s="54" t="n"/>
      <c r="AW110" s="54" t="n"/>
      <c r="AX110" s="54" t="n"/>
      <c r="AY110" s="54" t="n"/>
      <c r="AZ110" s="54" t="n">
        <v>2.5</v>
      </c>
      <c r="BA110" s="54" t="n"/>
      <c r="BB110" s="54" t="n"/>
      <c r="BC110" s="54" t="n"/>
      <c r="BD110" s="54" t="n">
        <v>2.5</v>
      </c>
      <c r="BE110" s="54" t="n"/>
    </row>
    <row r="111" ht="15.75" customHeight="1"/>
    <row r="112" ht="15.75" customHeight="1"/>
    <row r="113" ht="15.75" customFormat="1" customHeight="1" s="29">
      <c r="A113" s="28" t="inlineStr">
        <is>
          <t>The Home Depot (In-store + Online)</t>
        </is>
      </c>
      <c r="D113" s="30" t="n"/>
    </row>
    <row r="114" ht="15.75" customHeight="1">
      <c r="A114" s="1" t="inlineStr">
        <is>
          <t>Sell-in value</t>
        </is>
      </c>
      <c r="D114" s="24" t="inlineStr">
        <is>
          <t>$k</t>
        </is>
      </c>
      <c r="E114" s="52" t="n">
        <v>57.569</v>
      </c>
      <c r="F114" s="52" t="n">
        <v>222.528</v>
      </c>
      <c r="G114" s="52" t="n">
        <v>196.031</v>
      </c>
      <c r="H114" s="52" t="n">
        <v>142.685</v>
      </c>
      <c r="I114" s="52" t="n">
        <v>1550.09</v>
      </c>
      <c r="J114" s="52" t="n">
        <v>579.847</v>
      </c>
      <c r="K114" s="52" t="n">
        <v>80.14</v>
      </c>
      <c r="L114" s="52" t="n">
        <v>363.178</v>
      </c>
      <c r="M114" s="52" t="n">
        <v>133.191</v>
      </c>
      <c r="N114" s="52" t="n">
        <v>279.306</v>
      </c>
      <c r="O114" s="52" t="n">
        <v>125.933</v>
      </c>
      <c r="P114" s="52" t="n">
        <v>476.66</v>
      </c>
      <c r="Q114" s="52" t="n">
        <v>169.942</v>
      </c>
      <c r="R114" s="52" t="n">
        <v>-1119.731</v>
      </c>
      <c r="S114" s="52" t="n">
        <v>58.988</v>
      </c>
      <c r="T114" s="52" t="n">
        <v>191.748</v>
      </c>
      <c r="U114" s="52" t="n">
        <v>95.827</v>
      </c>
      <c r="V114" s="52" t="n">
        <v>192.472</v>
      </c>
      <c r="W114" s="52" t="n">
        <v>205.05</v>
      </c>
      <c r="X114" s="52" t="n">
        <v>247.52</v>
      </c>
      <c r="Y114" s="52" t="n">
        <v>372.917</v>
      </c>
      <c r="Z114" s="52" t="n">
        <v>136.111</v>
      </c>
      <c r="AA114" s="52" t="n">
        <v>104.763</v>
      </c>
      <c r="AB114" s="52" t="n">
        <v>1051.633</v>
      </c>
      <c r="AC114" s="52" t="n">
        <v>268.959</v>
      </c>
      <c r="AD114" s="52" t="n">
        <v>497.161</v>
      </c>
      <c r="AE114" s="52" t="n"/>
      <c r="AF114" s="52" t="n"/>
      <c r="AG114" s="52" t="n"/>
      <c r="AH114" s="52" t="n"/>
      <c r="AI114" s="52" t="n"/>
      <c r="AJ114" s="52" t="n"/>
      <c r="AK114" s="52" t="n"/>
      <c r="AL114" s="52" t="n"/>
      <c r="AM114" s="52" t="n"/>
      <c r="AN114" s="52" t="n"/>
      <c r="AO114" s="52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  <c r="BB114" s="52" t="n"/>
      <c r="BC114" s="52" t="n"/>
      <c r="BD114" s="52" t="n"/>
      <c r="BE114" s="52" t="n"/>
    </row>
    <row r="115" ht="15.75" customFormat="1" customHeight="1" s="4">
      <c r="A115" s="3" t="n"/>
      <c r="B115" s="4" t="inlineStr">
        <is>
          <t>% of Total - YTD</t>
        </is>
      </c>
      <c r="D115" s="33" t="inlineStr">
        <is>
          <t>%</t>
        </is>
      </c>
      <c r="E115" s="57">
        <f>IFERROR(SUM($E$114:E114)/SUM($E$3:E3),"")</f>
        <v/>
      </c>
      <c r="F115" s="57">
        <f>IFERROR(SUM($E$114:F114)/SUM($E$3:F3),"")</f>
        <v/>
      </c>
      <c r="G115" s="57">
        <f>IFERROR(SUM($E$114:G114)/SUM($E$3:G3),"")</f>
        <v/>
      </c>
      <c r="H115" s="57">
        <f>IFERROR(SUM($E$114:H114)/SUM($E$3:H3),"")</f>
        <v/>
      </c>
      <c r="I115" s="57">
        <f>IFERROR(SUM($E$114:I114)/SUM($E$3:I3),"")</f>
        <v/>
      </c>
      <c r="J115" s="57">
        <f>IFERROR(SUM($E$114:J114)/SUM($E$3:J3),"")</f>
        <v/>
      </c>
      <c r="K115" s="57">
        <f>IFERROR(SUM($E$114:K114)/SUM($E$3:K3),"")</f>
        <v/>
      </c>
      <c r="L115" s="57">
        <f>IFERROR(SUM($E$114:L114)/SUM($E$3:L3),"")</f>
        <v/>
      </c>
      <c r="M115" s="57">
        <f>IFERROR(SUM($E$114:M114)/SUM($E$3:M3),"")</f>
        <v/>
      </c>
      <c r="N115" s="57">
        <f>IFERROR(SUM($E$114:N114)/SUM($E$3:N3),"")</f>
        <v/>
      </c>
      <c r="O115" s="57">
        <f>IFERROR(SUM($E$114:O114)/SUM($E$3:O3),"")</f>
        <v/>
      </c>
      <c r="P115" s="57">
        <f>IFERROR(SUM($E$114:P114)/SUM($E$3:P3),"")</f>
        <v/>
      </c>
      <c r="Q115" s="57">
        <f>IFERROR(SUM($E$114:Q114)/SUM($E$3:Q3),"")</f>
        <v/>
      </c>
      <c r="R115" s="57">
        <f>IFERROR(SUM($E$114:R114)/SUM($E$3:R3),"")</f>
        <v/>
      </c>
      <c r="S115" s="57">
        <f>IFERROR(SUM($E$114:S114)/SUM($E$3:S3),"")</f>
        <v/>
      </c>
      <c r="T115" s="57">
        <f>IFERROR(SUM($E$114:T114)/SUM($E$3:T3),"")</f>
        <v/>
      </c>
      <c r="U115" s="57">
        <f>IFERROR(SUM($E$114:U114)/SUM($E$3:U3),"")</f>
        <v/>
      </c>
      <c r="V115" s="57">
        <f>IFERROR(SUM($E$114:V114)/SUM($E$3:V3),"")</f>
        <v/>
      </c>
      <c r="W115" s="57">
        <f>IFERROR(SUM($E$114:W114)/SUM($E$3:W3),"")</f>
        <v/>
      </c>
      <c r="X115" s="57">
        <f>IFERROR(SUM($E$114:X114)/SUM($E$3:X3),"")</f>
        <v/>
      </c>
      <c r="Y115" s="57">
        <f>IFERROR(SUM($E$114:Y114)/SUM($E$3:Y3),"")</f>
        <v/>
      </c>
      <c r="Z115" s="57">
        <f>IFERROR(SUM($E$114:Z114)/SUM($E$3:Z3),"")</f>
        <v/>
      </c>
      <c r="AA115" s="57">
        <f>IFERROR(SUM($E$114:AA114)/SUM($E$3:AA3),"")</f>
        <v/>
      </c>
      <c r="AB115" s="57">
        <f>IFERROR(SUM($E$114:AB114)/SUM($E$3:AB3),"")</f>
        <v/>
      </c>
      <c r="AC115" s="57">
        <f>IFERROR(SUM($E$114:AC114)/SUM($E$3:AC3),"")</f>
        <v/>
      </c>
      <c r="AD115" s="57">
        <f>IFERROR(SUM($E$114:AD114)/SUM($E$3:AD3),"")</f>
        <v/>
      </c>
      <c r="AE115" s="57" t="n"/>
      <c r="AF115" s="57" t="n"/>
      <c r="AG115" s="57" t="n"/>
      <c r="AH115" s="57" t="n"/>
      <c r="AI115" s="57" t="n"/>
      <c r="AJ115" s="57" t="n"/>
      <c r="AK115" s="57" t="n"/>
      <c r="AL115" s="57" t="n"/>
      <c r="AM115" s="57" t="n"/>
      <c r="AN115" s="57" t="n"/>
      <c r="AO115" s="57" t="n"/>
      <c r="AP115" s="57" t="n"/>
      <c r="AQ115" s="57" t="n"/>
      <c r="AR115" s="57" t="n"/>
      <c r="AS115" s="57" t="n"/>
      <c r="AT115" s="57" t="n"/>
      <c r="AU115" s="57" t="n"/>
      <c r="AV115" s="57" t="n"/>
      <c r="AW115" s="57" t="n"/>
      <c r="AX115" s="57" t="n"/>
      <c r="AY115" s="57" t="n"/>
      <c r="AZ115" s="57" t="n"/>
      <c r="BA115" s="57" t="n"/>
      <c r="BB115" s="57" t="n"/>
      <c r="BC115" s="57" t="n"/>
      <c r="BD115" s="57" t="n"/>
      <c r="BE115" s="57" t="n"/>
    </row>
    <row r="116" ht="15.75" customFormat="1" customHeight="1" s="7">
      <c r="B116" s="7" t="inlineStr">
        <is>
          <t>% of Target</t>
        </is>
      </c>
      <c r="D116" s="8" t="inlineStr">
        <is>
          <t>%</t>
        </is>
      </c>
      <c r="E116" s="53">
        <f>IFERROR(E114/E118,"")</f>
        <v/>
      </c>
      <c r="F116" s="53">
        <f>IFERROR(F114/F118,"")</f>
        <v/>
      </c>
      <c r="G116" s="53">
        <f>IFERROR(G114/G118,"")</f>
        <v/>
      </c>
      <c r="H116" s="53">
        <f>IFERROR(H114/H118,"")</f>
        <v/>
      </c>
      <c r="I116" s="53">
        <f>IFERROR(I114/I118,"")</f>
        <v/>
      </c>
      <c r="J116" s="53">
        <f>IFERROR(J114/J118,"")</f>
        <v/>
      </c>
      <c r="K116" s="53">
        <f>IFERROR(K114/K118,"")</f>
        <v/>
      </c>
      <c r="L116" s="53">
        <f>IFERROR(L114/L118,"")</f>
        <v/>
      </c>
      <c r="M116" s="53">
        <f>IFERROR(M114/M118,"")</f>
        <v/>
      </c>
      <c r="N116" s="53">
        <f>IFERROR(N114/N118,"")</f>
        <v/>
      </c>
      <c r="O116" s="53">
        <f>IFERROR(O114/O118,"")</f>
        <v/>
      </c>
      <c r="P116" s="53">
        <f>IFERROR(P114/P118,"")</f>
        <v/>
      </c>
      <c r="Q116" s="53">
        <f>IFERROR(Q114/Q118,"")</f>
        <v/>
      </c>
      <c r="R116" s="53">
        <f>IFERROR(R114/R118,"")</f>
        <v/>
      </c>
      <c r="S116" s="53">
        <f>IFERROR(S114/S118,"")</f>
        <v/>
      </c>
      <c r="T116" s="53">
        <f>IFERROR(T114/T118,"")</f>
        <v/>
      </c>
      <c r="U116" s="53">
        <f>IFERROR(U114/U118,"")</f>
        <v/>
      </c>
      <c r="V116" s="53">
        <f>IFERROR(V114/V118,"")</f>
        <v/>
      </c>
      <c r="W116" s="53">
        <f>IFERROR(W114/W118,"")</f>
        <v/>
      </c>
      <c r="X116" s="53">
        <f>IFERROR(X114/X118,"")</f>
        <v/>
      </c>
      <c r="Y116" s="53">
        <f>IFERROR(Y114/Y118,"")</f>
        <v/>
      </c>
      <c r="Z116" s="53">
        <f>IFERROR(Z114/Z118,"")</f>
        <v/>
      </c>
      <c r="AA116" s="53">
        <f>IFERROR(AA114/AA118,"")</f>
        <v/>
      </c>
      <c r="AB116" s="53">
        <f>IFERROR(AB114/AB118,"")</f>
        <v/>
      </c>
      <c r="AC116" s="53">
        <f>IFERROR(AC114/AC118,"")</f>
        <v/>
      </c>
      <c r="AD116" s="53">
        <f>IFERROR(AD114/AD118,"")</f>
        <v/>
      </c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</row>
    <row r="117" ht="15.75" customFormat="1" customHeight="1" s="7">
      <c r="B117" s="7" t="inlineStr">
        <is>
          <t>% of Target - YTD</t>
        </is>
      </c>
      <c r="C117" s="16" t="n"/>
      <c r="D117" s="17" t="inlineStr">
        <is>
          <t>%</t>
        </is>
      </c>
      <c r="E117" s="53">
        <f>IFERROR(SUM($E$114:E114)/SUM($E$118:E118),"")</f>
        <v/>
      </c>
      <c r="F117" s="53">
        <f>IFERROR(SUM($E$114:F114)/SUM($E$118:F118),"")</f>
        <v/>
      </c>
      <c r="G117" s="53">
        <f>IFERROR(SUM($E$114:G114)/SUM($E$118:G118),"")</f>
        <v/>
      </c>
      <c r="H117" s="53">
        <f>IFERROR(SUM($E$114:H114)/SUM($E$118:H118),"")</f>
        <v/>
      </c>
      <c r="I117" s="53">
        <f>IFERROR(SUM($E$114:I114)/SUM($E$118:I118),"")</f>
        <v/>
      </c>
      <c r="J117" s="53">
        <f>IFERROR(SUM($E$114:J114)/SUM($E$118:J118),"")</f>
        <v/>
      </c>
      <c r="K117" s="53">
        <f>IFERROR(SUM($E$114:K114)/SUM($E$118:K118),"")</f>
        <v/>
      </c>
      <c r="L117" s="53">
        <f>IFERROR(SUM($E$114:L114)/SUM($E$118:L118),"")</f>
        <v/>
      </c>
      <c r="M117" s="53">
        <f>IFERROR(SUM($E$114:M114)/SUM($E$118:M118),"")</f>
        <v/>
      </c>
      <c r="N117" s="53">
        <f>IFERROR(SUM($E$114:N114)/SUM($E$118:N118),"")</f>
        <v/>
      </c>
      <c r="O117" s="53">
        <f>IFERROR(SUM($E$114:O114)/SUM($E$118:O118),"")</f>
        <v/>
      </c>
      <c r="P117" s="53">
        <f>IFERROR(SUM($E$114:P114)/SUM($E$118:P118),"")</f>
        <v/>
      </c>
      <c r="Q117" s="53">
        <f>IFERROR(SUM($E$114:Q114)/SUM($E$118:Q118),"")</f>
        <v/>
      </c>
      <c r="R117" s="53">
        <f>IFERROR(SUM($E$114:R114)/SUM($E$118:R118),"")</f>
        <v/>
      </c>
      <c r="S117" s="53">
        <f>IFERROR(SUM($E$114:S114)/SUM($E$118:S118),"")</f>
        <v/>
      </c>
      <c r="T117" s="53">
        <f>IFERROR(SUM($E$114:T114)/SUM($E$118:T118),"")</f>
        <v/>
      </c>
      <c r="U117" s="53">
        <f>IFERROR(SUM($E$114:U114)/SUM($E$118:U118),"")</f>
        <v/>
      </c>
      <c r="V117" s="53">
        <f>IFERROR(SUM($E$114:V114)/SUM($E$118:V118),"")</f>
        <v/>
      </c>
      <c r="W117" s="53">
        <f>IFERROR(SUM($E$114:W114)/SUM($E$118:W118),"")</f>
        <v/>
      </c>
      <c r="X117" s="53">
        <f>IFERROR(SUM($E$114:X114)/SUM($E$118:X118),"")</f>
        <v/>
      </c>
      <c r="Y117" s="53">
        <f>IFERROR(SUM($E$114:Y114)/SUM($E$118:Y118),"")</f>
        <v/>
      </c>
      <c r="Z117" s="53">
        <f>IFERROR(SUM($E$114:Z114)/SUM($E$118:Z118),"")</f>
        <v/>
      </c>
      <c r="AA117" s="53">
        <f>IFERROR(SUM($E$114:AA114)/SUM($E$118:AA118),"")</f>
        <v/>
      </c>
      <c r="AB117" s="53">
        <f>IFERROR(SUM($E$114:AB114)/SUM($E$118:AB118),"")</f>
        <v/>
      </c>
      <c r="AC117" s="53">
        <f>IFERROR(SUM($E$114:AC114)/SUM($E$118:AC118),"")</f>
        <v/>
      </c>
      <c r="AD117" s="53">
        <f>IFERROR(SUM($E$114:AD114)/SUM($E$118:AD118),"")</f>
        <v/>
      </c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</row>
    <row r="118" ht="15.75" customFormat="1" customHeight="1" s="9">
      <c r="B118" s="9" t="inlineStr">
        <is>
          <t>Target</t>
        </is>
      </c>
      <c r="D118" s="10" t="inlineStr">
        <is>
          <t>$k</t>
        </is>
      </c>
      <c r="E118" s="54" t="n">
        <v>371.427515208</v>
      </c>
      <c r="F118" s="54" t="n">
        <v>649.998151614</v>
      </c>
      <c r="G118" s="54" t="n">
        <v>649.998151614</v>
      </c>
      <c r="H118" s="54" t="n">
        <v>649.998151614</v>
      </c>
      <c r="I118" s="54" t="n">
        <v>593.715730214</v>
      </c>
      <c r="J118" s="54" t="n">
        <v>256.02325</v>
      </c>
      <c r="K118" s="54" t="n">
        <v>256.02325</v>
      </c>
      <c r="L118" s="54" t="n">
        <v>256.02325</v>
      </c>
      <c r="M118" s="54" t="n">
        <v>261.432611856</v>
      </c>
      <c r="N118" s="54" t="n">
        <v>293.886734806</v>
      </c>
      <c r="O118" s="54" t="n">
        <v>293.886734806</v>
      </c>
      <c r="P118" s="54" t="n">
        <v>293.886734806</v>
      </c>
      <c r="Q118" s="54" t="n">
        <v>293.886734806</v>
      </c>
      <c r="R118" s="54" t="n">
        <v>274.713186673</v>
      </c>
      <c r="S118" s="54" t="n">
        <v>267.042851843</v>
      </c>
      <c r="T118" s="54" t="n">
        <v>267.042851843</v>
      </c>
      <c r="U118" s="54" t="n">
        <v>267.042851843</v>
      </c>
      <c r="V118" s="54" t="n">
        <v>284.745874639</v>
      </c>
      <c r="W118" s="54" t="n">
        <v>308.350286524</v>
      </c>
      <c r="X118" s="54" t="n">
        <v>308.350286524</v>
      </c>
      <c r="Y118" s="54" t="n">
        <v>308.350286524</v>
      </c>
      <c r="Z118" s="54" t="n">
        <v>308.350286524</v>
      </c>
      <c r="AA118" s="54" t="n">
        <v>313.450685546</v>
      </c>
      <c r="AB118" s="54" t="n">
        <v>313.450685546</v>
      </c>
      <c r="AC118" s="54" t="n">
        <v>313.450685546</v>
      </c>
      <c r="AD118" s="54" t="n">
        <v>313.450685546</v>
      </c>
      <c r="AE118" s="54" t="n">
        <v>369.655741354</v>
      </c>
      <c r="AF118" s="54" t="n">
        <v>392.13695766</v>
      </c>
      <c r="AG118" s="54" t="n">
        <v>392.13695766</v>
      </c>
      <c r="AH118" s="54" t="n">
        <v>392.13695766</v>
      </c>
      <c r="AI118" s="54" t="n">
        <v>390.416380456</v>
      </c>
      <c r="AJ118" s="54" t="n">
        <v>386.114937446</v>
      </c>
      <c r="AK118" s="54" t="n">
        <v>386.114937446</v>
      </c>
      <c r="AL118" s="54" t="n">
        <v>386.114937446</v>
      </c>
      <c r="AM118" s="54" t="n">
        <v>386.114937446</v>
      </c>
      <c r="AN118" s="54" t="n">
        <v>1096.685076778</v>
      </c>
      <c r="AO118" s="54" t="n">
        <v>1215.111697457</v>
      </c>
      <c r="AP118" s="54" t="n">
        <v>1215.111697457</v>
      </c>
      <c r="AQ118" s="54" t="n">
        <v>1215.111697457</v>
      </c>
      <c r="AR118" s="54" t="n">
        <v>762.75015796</v>
      </c>
      <c r="AS118" s="54" t="n">
        <v>423.47770143</v>
      </c>
      <c r="AT118" s="54" t="n">
        <v>423.47770143</v>
      </c>
      <c r="AU118" s="54" t="n">
        <v>423.47770143</v>
      </c>
      <c r="AV118" s="54" t="n">
        <v>412.543824639</v>
      </c>
      <c r="AW118" s="54" t="n">
        <v>346.943537699</v>
      </c>
      <c r="AX118" s="54" t="n">
        <v>346.943537699</v>
      </c>
      <c r="AY118" s="54" t="n">
        <v>346.943537699</v>
      </c>
      <c r="AZ118" s="54" t="n">
        <v>346.943537699</v>
      </c>
      <c r="BA118" s="54" t="n">
        <v>309.860804199</v>
      </c>
      <c r="BB118" s="54" t="n">
        <v>303.68084425</v>
      </c>
      <c r="BC118" s="54" t="n">
        <v>303.68084425</v>
      </c>
      <c r="BD118" s="54" t="n">
        <v>303.68084425</v>
      </c>
      <c r="BE118" s="54" t="n">
        <v>173.531911</v>
      </c>
    </row>
    <row r="119" ht="15.75" customHeight="1"/>
    <row r="120" ht="15.75" customHeight="1">
      <c r="A120" s="1" t="inlineStr">
        <is>
          <t xml:space="preserve">Sell-through units </t>
        </is>
      </c>
      <c r="D120" s="24" t="inlineStr">
        <is>
          <t>#</t>
        </is>
      </c>
      <c r="E120" s="52" t="n">
        <v>7925</v>
      </c>
      <c r="F120" s="52" t="n">
        <v>6591</v>
      </c>
      <c r="G120" s="52" t="n">
        <v>6586</v>
      </c>
      <c r="H120" s="52" t="n">
        <v>6032</v>
      </c>
      <c r="I120" s="52" t="n">
        <v>5612</v>
      </c>
      <c r="J120" s="52" t="n">
        <v>5652</v>
      </c>
      <c r="K120" s="52" t="n">
        <v>6200</v>
      </c>
      <c r="L120" s="52" t="n">
        <v>6980</v>
      </c>
      <c r="M120" s="52" t="n">
        <v>7594</v>
      </c>
      <c r="N120" s="52" t="n">
        <v>7368</v>
      </c>
      <c r="O120" s="52" t="n">
        <v>7153</v>
      </c>
      <c r="P120" s="52" t="n">
        <v>6180</v>
      </c>
      <c r="Q120" s="52" t="n">
        <v>6985</v>
      </c>
      <c r="R120" s="52" t="n">
        <v>6180</v>
      </c>
      <c r="S120" s="52" t="n">
        <v>6722</v>
      </c>
      <c r="T120" s="52" t="n">
        <v>6514</v>
      </c>
      <c r="U120" s="52" t="n">
        <v>5646</v>
      </c>
      <c r="V120" s="52" t="n">
        <v>5684</v>
      </c>
      <c r="W120" s="52" t="n">
        <v>5775</v>
      </c>
      <c r="X120" s="52" t="n">
        <v>5340</v>
      </c>
      <c r="Y120" s="52" t="n">
        <v>6157</v>
      </c>
      <c r="Z120" s="52" t="n">
        <v>6522</v>
      </c>
      <c r="AA120" s="52" t="n">
        <v>7764</v>
      </c>
      <c r="AB120" s="52" t="n">
        <v>8184</v>
      </c>
      <c r="AC120" s="52" t="n">
        <v>9340</v>
      </c>
      <c r="AD120" s="52" t="n">
        <v>9385</v>
      </c>
      <c r="AE120" s="52" t="n"/>
      <c r="AF120" s="52" t="n"/>
      <c r="AG120" s="52" t="n"/>
      <c r="AH120" s="52" t="n"/>
      <c r="AI120" s="52" t="n"/>
      <c r="AJ120" s="52" t="n"/>
      <c r="AK120" s="52" t="n"/>
      <c r="AL120" s="52" t="n"/>
      <c r="AM120" s="52" t="n"/>
      <c r="AN120" s="52" t="n"/>
      <c r="AO120" s="52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  <c r="BB120" s="52" t="n"/>
      <c r="BC120" s="52" t="n"/>
      <c r="BD120" s="52" t="n"/>
      <c r="BE120" s="52" t="n"/>
    </row>
    <row r="121" ht="15.75" customFormat="1" customHeight="1" s="4">
      <c r="A121" s="3" t="n"/>
      <c r="B121" s="4" t="inlineStr">
        <is>
          <t>% of Total - YTD</t>
        </is>
      </c>
      <c r="D121" s="33" t="inlineStr">
        <is>
          <t>%</t>
        </is>
      </c>
      <c r="E121" s="57">
        <f>IFERROR(SUM($E$120:E120)/SUM($E$4:E4),"")</f>
        <v/>
      </c>
      <c r="F121" s="57">
        <f>IFERROR(SUM($E$120:F120)/SUM($E$4:F4),"")</f>
        <v/>
      </c>
      <c r="G121" s="57">
        <f>IFERROR(SUM($E$120:G120)/SUM($E$4:G4),"")</f>
        <v/>
      </c>
      <c r="H121" s="57">
        <f>IFERROR(SUM($E$120:H120)/SUM($E$4:H4),"")</f>
        <v/>
      </c>
      <c r="I121" s="57">
        <f>IFERROR(SUM($E$120:I120)/SUM($E$4:I4),"")</f>
        <v/>
      </c>
      <c r="J121" s="57">
        <f>IFERROR(SUM($E$120:J120)/SUM($E$4:J4),"")</f>
        <v/>
      </c>
      <c r="K121" s="57">
        <f>IFERROR(SUM($E$120:K120)/SUM($E$4:K4),"")</f>
        <v/>
      </c>
      <c r="L121" s="57">
        <f>IFERROR(SUM($E$120:L120)/SUM($E$4:L4),"")</f>
        <v/>
      </c>
      <c r="M121" s="57">
        <f>IFERROR(SUM($E$120:M120)/SUM($E$4:M4),"")</f>
        <v/>
      </c>
      <c r="N121" s="57">
        <f>IFERROR(SUM($E$120:N120)/SUM($E$4:N4),"")</f>
        <v/>
      </c>
      <c r="O121" s="57">
        <f>IFERROR(SUM($E$120:O120)/SUM($E$4:O4),"")</f>
        <v/>
      </c>
      <c r="P121" s="57">
        <f>IFERROR(SUM($E$120:P120)/SUM($E$4:P4),"")</f>
        <v/>
      </c>
      <c r="Q121" s="57">
        <f>IFERROR(SUM($E$120:Q120)/SUM($E$4:Q4),"")</f>
        <v/>
      </c>
      <c r="R121" s="57">
        <f>IFERROR(SUM($E$120:R120)/SUM($E$4:R4),"")</f>
        <v/>
      </c>
      <c r="S121" s="57">
        <f>IFERROR(SUM($E$120:S120)/SUM($E$4:S4),"")</f>
        <v/>
      </c>
      <c r="T121" s="57">
        <f>IFERROR(SUM($E$120:T120)/SUM($E$4:T4),"")</f>
        <v/>
      </c>
      <c r="U121" s="57">
        <f>IFERROR(SUM($E$120:U120)/SUM($E$4:U4),"")</f>
        <v/>
      </c>
      <c r="V121" s="57">
        <f>IFERROR(SUM($E$120:V120)/SUM($E$4:V4),"")</f>
        <v/>
      </c>
      <c r="W121" s="57">
        <f>IFERROR(SUM($E$120:W120)/SUM($E$4:W4),"")</f>
        <v/>
      </c>
      <c r="X121" s="57">
        <f>IFERROR(SUM($E$120:X120)/SUM($E$4:X4),"")</f>
        <v/>
      </c>
      <c r="Y121" s="57">
        <f>IFERROR(SUM($E$120:Y120)/SUM($E$4:Y4),"")</f>
        <v/>
      </c>
      <c r="Z121" s="57">
        <f>IFERROR(SUM($E$120:Z120)/SUM($E$4:Z4),"")</f>
        <v/>
      </c>
      <c r="AA121" s="57">
        <f>IFERROR(SUM($E$120:AA120)/SUM($E$4:AA4),"")</f>
        <v/>
      </c>
      <c r="AB121" s="57">
        <f>IFERROR(SUM($E$120:AB120)/SUM($E$4:AB4),"")</f>
        <v/>
      </c>
      <c r="AC121" s="57">
        <f>IFERROR(SUM($E$120:AC120)/SUM($E$4:AC4),"")</f>
        <v/>
      </c>
      <c r="AD121" s="57">
        <f>IFERROR(SUM($E$120:AD120)/SUM($E$4:AD4),"")</f>
        <v/>
      </c>
      <c r="AE121" s="57" t="n"/>
      <c r="AF121" s="57" t="n"/>
      <c r="AG121" s="57" t="n"/>
      <c r="AH121" s="57" t="n"/>
      <c r="AI121" s="57" t="n"/>
      <c r="AJ121" s="57" t="n"/>
      <c r="AK121" s="57" t="n"/>
      <c r="AL121" s="57" t="n"/>
      <c r="AM121" s="57" t="n"/>
      <c r="AN121" s="57" t="n"/>
      <c r="AO121" s="57" t="n"/>
      <c r="AP121" s="57" t="n"/>
      <c r="AQ121" s="57" t="n"/>
      <c r="AR121" s="57" t="n"/>
      <c r="AS121" s="57" t="n"/>
      <c r="AT121" s="57" t="n"/>
      <c r="AU121" s="57" t="n"/>
      <c r="AV121" s="57" t="n"/>
      <c r="AW121" s="57" t="n"/>
      <c r="AX121" s="57" t="n"/>
      <c r="AY121" s="57" t="n"/>
      <c r="AZ121" s="57" t="n"/>
      <c r="BA121" s="57" t="n"/>
      <c r="BB121" s="57" t="n"/>
      <c r="BC121" s="57" t="n"/>
      <c r="BD121" s="57" t="n"/>
      <c r="BE121" s="57" t="n"/>
    </row>
    <row r="122" ht="15.75" customFormat="1" customHeight="1" s="16">
      <c r="A122" s="15" t="n"/>
      <c r="B122" s="16" t="inlineStr">
        <is>
          <t>% of Target</t>
        </is>
      </c>
      <c r="D122" s="17" t="inlineStr">
        <is>
          <t>%</t>
        </is>
      </c>
      <c r="E122" s="53">
        <f>IFERROR(E120/E124,"")</f>
        <v/>
      </c>
      <c r="F122" s="53">
        <f>IFERROR(F120/F124,"")</f>
        <v/>
      </c>
      <c r="G122" s="53">
        <f>IFERROR(G120/G124,"")</f>
        <v/>
      </c>
      <c r="H122" s="53">
        <f>IFERROR(H120/H124,"")</f>
        <v/>
      </c>
      <c r="I122" s="53">
        <f>IFERROR(I120/I124,"")</f>
        <v/>
      </c>
      <c r="J122" s="53">
        <f>IFERROR(J120/J124,"")</f>
        <v/>
      </c>
      <c r="K122" s="53">
        <f>IFERROR(K120/K124,"")</f>
        <v/>
      </c>
      <c r="L122" s="53">
        <f>IFERROR(L120/L124,"")</f>
        <v/>
      </c>
      <c r="M122" s="53">
        <f>IFERROR(M120/M124,"")</f>
        <v/>
      </c>
      <c r="N122" s="53">
        <f>IFERROR(N120/N124,"")</f>
        <v/>
      </c>
      <c r="O122" s="53">
        <f>IFERROR(O120/O124,"")</f>
        <v/>
      </c>
      <c r="P122" s="53">
        <f>IFERROR(P120/P124,"")</f>
        <v/>
      </c>
      <c r="Q122" s="53">
        <f>IFERROR(Q120/Q124,"")</f>
        <v/>
      </c>
      <c r="R122" s="53">
        <f>IFERROR(R120/R124,"")</f>
        <v/>
      </c>
      <c r="S122" s="53">
        <f>IFERROR(S120/S124,"")</f>
        <v/>
      </c>
      <c r="T122" s="53">
        <f>IFERROR(T120/T124,"")</f>
        <v/>
      </c>
      <c r="U122" s="53">
        <f>IFERROR(U120/U124,"")</f>
        <v/>
      </c>
      <c r="V122" s="53">
        <f>IFERROR(V120/V124,"")</f>
        <v/>
      </c>
      <c r="W122" s="53">
        <f>IFERROR(W120/W124,"")</f>
        <v/>
      </c>
      <c r="X122" s="53">
        <f>IFERROR(X120/X124,"")</f>
        <v/>
      </c>
      <c r="Y122" s="53">
        <f>IFERROR(Y120/Y124,"")</f>
        <v/>
      </c>
      <c r="Z122" s="53">
        <f>IFERROR(Z120/Z124,"")</f>
        <v/>
      </c>
      <c r="AA122" s="53">
        <f>IFERROR(AA120/AA124,"")</f>
        <v/>
      </c>
      <c r="AB122" s="53">
        <f>IFERROR(AB120/AB124,"")</f>
        <v/>
      </c>
      <c r="AC122" s="53">
        <f>IFERROR(AC120/AC124,"")</f>
        <v/>
      </c>
      <c r="AD122" s="53">
        <f>IFERROR(AD120/AD124,"")</f>
        <v/>
      </c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</row>
    <row r="123" ht="15.75" customFormat="1" customHeight="1" s="16">
      <c r="A123" s="15" t="n"/>
      <c r="B123" s="7" t="inlineStr">
        <is>
          <t>% of Target - YTD</t>
        </is>
      </c>
      <c r="D123" s="17" t="inlineStr">
        <is>
          <t>%</t>
        </is>
      </c>
      <c r="E123" s="53">
        <f>IFERROR(SUM($E$120:E120)/SUM($E$124:E124),"")</f>
        <v/>
      </c>
      <c r="F123" s="53">
        <f>IFERROR(SUM($E$120:F120)/SUM($E$124:F124),"")</f>
        <v/>
      </c>
      <c r="G123" s="53">
        <f>IFERROR(SUM($E$120:G120)/SUM($E$124:G124),"")</f>
        <v/>
      </c>
      <c r="H123" s="53">
        <f>IFERROR(SUM($E$120:H120)/SUM($E$124:H124),"")</f>
        <v/>
      </c>
      <c r="I123" s="53">
        <f>IFERROR(SUM($E$120:I120)/SUM($E$124:I124),"")</f>
        <v/>
      </c>
      <c r="J123" s="53">
        <f>IFERROR(SUM($E$120:J120)/SUM($E$124:J124),"")</f>
        <v/>
      </c>
      <c r="K123" s="53">
        <f>IFERROR(SUM($E$120:K120)/SUM($E$124:K124),"")</f>
        <v/>
      </c>
      <c r="L123" s="53">
        <f>IFERROR(SUM($E$120:L120)/SUM($E$124:L124),"")</f>
        <v/>
      </c>
      <c r="M123" s="53">
        <f>IFERROR(SUM($E$120:M120)/SUM($E$124:M124),"")</f>
        <v/>
      </c>
      <c r="N123" s="53">
        <f>IFERROR(SUM($E$120:N120)/SUM($E$124:N124),"")</f>
        <v/>
      </c>
      <c r="O123" s="53">
        <f>IFERROR(SUM($E$120:O120)/SUM($E$124:O124),"")</f>
        <v/>
      </c>
      <c r="P123" s="53">
        <f>IFERROR(SUM($E$120:P120)/SUM($E$124:P124),"")</f>
        <v/>
      </c>
      <c r="Q123" s="53">
        <f>IFERROR(SUM($E$120:Q120)/SUM($E$124:Q124),"")</f>
        <v/>
      </c>
      <c r="R123" s="53">
        <f>IFERROR(SUM($E$120:R120)/SUM($E$124:R124),"")</f>
        <v/>
      </c>
      <c r="S123" s="53">
        <f>IFERROR(SUM($E$120:S120)/SUM($E$124:S124),"")</f>
        <v/>
      </c>
      <c r="T123" s="53">
        <f>IFERROR(SUM($E$120:T120)/SUM($E$124:T124),"")</f>
        <v/>
      </c>
      <c r="U123" s="53">
        <f>IFERROR(SUM($E$120:U120)/SUM($E$124:U124),"")</f>
        <v/>
      </c>
      <c r="V123" s="53">
        <f>IFERROR(SUM($E$120:V120)/SUM($E$124:V124),"")</f>
        <v/>
      </c>
      <c r="W123" s="53">
        <f>IFERROR(SUM($E$120:W120)/SUM($E$124:W124),"")</f>
        <v/>
      </c>
      <c r="X123" s="53">
        <f>IFERROR(SUM($E$120:X120)/SUM($E$124:X124),"")</f>
        <v/>
      </c>
      <c r="Y123" s="53">
        <f>IFERROR(SUM($E$120:Y120)/SUM($E$124:Y124),"")</f>
        <v/>
      </c>
      <c r="Z123" s="53">
        <f>IFERROR(SUM($E$120:Z120)/SUM($E$124:Z124),"")</f>
        <v/>
      </c>
      <c r="AA123" s="53">
        <f>IFERROR(SUM($E$120:AA120)/SUM($E$124:AA124),"")</f>
        <v/>
      </c>
      <c r="AB123" s="53">
        <f>IFERROR(SUM($E$120:AB120)/SUM($E$124:AB124),"")</f>
        <v/>
      </c>
      <c r="AC123" s="53">
        <f>IFERROR(SUM($E$120:AC120)/SUM($E$124:AC124),"")</f>
        <v/>
      </c>
      <c r="AD123" s="53">
        <f>IFERROR(SUM($E$120:AD120)/SUM($E$124:AD124),"")</f>
        <v/>
      </c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</row>
    <row r="124" ht="15.75" customFormat="1" customHeight="1" s="13">
      <c r="A124" s="12" t="n"/>
      <c r="B124" s="13" t="inlineStr">
        <is>
          <t>Target</t>
        </is>
      </c>
      <c r="D124" s="14" t="inlineStr">
        <is>
          <t>#</t>
        </is>
      </c>
      <c r="E124" s="54" t="n">
        <v>7925</v>
      </c>
      <c r="F124" s="54" t="n">
        <v>20532</v>
      </c>
      <c r="G124" s="54" t="n">
        <v>9377</v>
      </c>
      <c r="H124" s="54" t="n">
        <v>9369</v>
      </c>
      <c r="I124" s="54" t="n">
        <v>9255</v>
      </c>
      <c r="J124" s="54" t="n">
        <v>6331</v>
      </c>
      <c r="K124" s="54" t="n">
        <v>6845</v>
      </c>
      <c r="L124" s="54" t="n">
        <v>5480</v>
      </c>
      <c r="M124" s="54" t="n">
        <v>5272</v>
      </c>
      <c r="N124" s="54" t="n">
        <v>5374</v>
      </c>
      <c r="O124" s="54" t="n">
        <v>5477</v>
      </c>
      <c r="P124" s="54" t="n">
        <v>7760</v>
      </c>
      <c r="Q124" s="54" t="n">
        <v>3420</v>
      </c>
      <c r="R124" s="54" t="n">
        <v>3449</v>
      </c>
      <c r="S124" s="54" t="n">
        <v>5226</v>
      </c>
      <c r="T124" s="54" t="n">
        <v>3809</v>
      </c>
      <c r="U124" s="54" t="n">
        <v>6205</v>
      </c>
      <c r="V124" s="54" t="n">
        <v>5652</v>
      </c>
      <c r="W124" s="54" t="n">
        <v>6138</v>
      </c>
      <c r="X124" s="54" t="n">
        <v>6138</v>
      </c>
      <c r="Y124" s="54" t="n">
        <v>6899</v>
      </c>
      <c r="Z124" s="54" t="n">
        <v>5738</v>
      </c>
      <c r="AA124" s="54" t="n">
        <v>7185</v>
      </c>
      <c r="AB124" s="54" t="n">
        <v>6514</v>
      </c>
      <c r="AC124" s="54" t="n">
        <v>5989</v>
      </c>
      <c r="AD124" s="54" t="n">
        <v>6514</v>
      </c>
      <c r="AE124" s="54" t="n">
        <v>6238</v>
      </c>
      <c r="AF124" s="54" t="n">
        <v>14374</v>
      </c>
      <c r="AG124" s="54" t="n">
        <v>7058</v>
      </c>
      <c r="AH124" s="54" t="n">
        <v>6808</v>
      </c>
      <c r="AI124" s="54" t="n">
        <v>6863</v>
      </c>
      <c r="AJ124" s="54" t="n">
        <v>9149</v>
      </c>
      <c r="AK124" s="54" t="n">
        <v>6705</v>
      </c>
      <c r="AL124" s="54" t="n">
        <v>6913</v>
      </c>
      <c r="AM124" s="54" t="n">
        <v>6750</v>
      </c>
      <c r="AN124" s="54" t="n">
        <v>13610</v>
      </c>
      <c r="AO124" s="54" t="n">
        <v>18151</v>
      </c>
      <c r="AP124" s="54" t="n">
        <v>18146</v>
      </c>
      <c r="AQ124" s="54" t="n">
        <v>58872</v>
      </c>
      <c r="AR124" s="54" t="n">
        <v>10852</v>
      </c>
      <c r="AS124" s="54" t="n">
        <v>7754</v>
      </c>
      <c r="AT124" s="54" t="n">
        <v>16736</v>
      </c>
      <c r="AU124" s="54" t="n">
        <v>7121</v>
      </c>
      <c r="AV124" s="54" t="n">
        <v>6604</v>
      </c>
      <c r="AW124" s="54" t="n">
        <v>5336</v>
      </c>
      <c r="AX124" s="54" t="n">
        <v>5213</v>
      </c>
      <c r="AY124" s="54" t="n">
        <v>5051</v>
      </c>
      <c r="AZ124" s="54" t="n">
        <v>5602</v>
      </c>
      <c r="BA124" s="54" t="n">
        <v>7898</v>
      </c>
      <c r="BB124" s="54" t="n">
        <v>8000</v>
      </c>
      <c r="BC124" s="54" t="n">
        <v>8000</v>
      </c>
      <c r="BD124" s="54" t="n">
        <v>7752</v>
      </c>
      <c r="BE124" s="54" t="n"/>
    </row>
    <row r="125" ht="15.75" customHeight="1">
      <c r="C125" s="11" t="inlineStr">
        <is>
          <t xml:space="preserve">Cam </t>
        </is>
      </c>
      <c r="D125" s="6" t="inlineStr">
        <is>
          <t>#</t>
        </is>
      </c>
      <c r="E125" s="51" t="n">
        <v>7567</v>
      </c>
      <c r="F125" s="51" t="n">
        <v>6230</v>
      </c>
      <c r="G125" s="51" t="n">
        <v>6106</v>
      </c>
      <c r="H125" s="51" t="n">
        <v>5546</v>
      </c>
      <c r="I125" s="51" t="n">
        <v>5218</v>
      </c>
      <c r="J125" s="51" t="n">
        <v>5345</v>
      </c>
      <c r="K125" s="51" t="n">
        <v>5868</v>
      </c>
      <c r="L125" s="51" t="n">
        <v>6619</v>
      </c>
      <c r="M125" s="51" t="n">
        <v>7170</v>
      </c>
      <c r="N125" s="51" t="n">
        <v>6880</v>
      </c>
      <c r="O125" s="51" t="n">
        <v>6805</v>
      </c>
      <c r="P125" s="51" t="n">
        <v>5849</v>
      </c>
      <c r="Q125" s="51" t="n">
        <v>6703</v>
      </c>
      <c r="R125" s="51" t="n">
        <v>5935</v>
      </c>
      <c r="S125" s="51" t="n">
        <v>6657</v>
      </c>
      <c r="T125" s="51" t="n">
        <v>6449</v>
      </c>
      <c r="U125" s="51" t="n">
        <v>5565</v>
      </c>
      <c r="V125" s="51" t="n">
        <v>5578</v>
      </c>
      <c r="W125" s="51" t="n">
        <v>5691</v>
      </c>
      <c r="X125" s="51" t="n">
        <v>5276</v>
      </c>
      <c r="Y125" s="51" t="n">
        <v>6060</v>
      </c>
      <c r="Z125" s="51" t="n">
        <v>6433</v>
      </c>
      <c r="AA125" s="51" t="n">
        <v>7688</v>
      </c>
      <c r="AB125" s="51" t="n">
        <v>8096</v>
      </c>
      <c r="AC125" s="51" t="n">
        <v>9264</v>
      </c>
      <c r="AD125" s="51" t="n">
        <v>9296</v>
      </c>
      <c r="AE125" s="51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  <c r="BE125" s="51" t="n"/>
    </row>
    <row r="126" ht="15.75" customHeight="1">
      <c r="C126" s="11" t="inlineStr">
        <is>
          <t>Non Cam</t>
        </is>
      </c>
      <c r="D126" s="6" t="inlineStr">
        <is>
          <t>#</t>
        </is>
      </c>
      <c r="E126" s="51" t="n">
        <v>358</v>
      </c>
      <c r="F126" s="51" t="n">
        <v>361</v>
      </c>
      <c r="G126" s="51" t="n">
        <v>479</v>
      </c>
      <c r="H126" s="51" t="n">
        <v>486</v>
      </c>
      <c r="I126" s="51" t="n">
        <v>394</v>
      </c>
      <c r="J126" s="51" t="n">
        <v>287</v>
      </c>
      <c r="K126" s="51" t="n">
        <v>263</v>
      </c>
      <c r="L126" s="51" t="n">
        <v>233</v>
      </c>
      <c r="M126" s="51" t="n">
        <v>236</v>
      </c>
      <c r="N126" s="51" t="n">
        <v>289</v>
      </c>
      <c r="O126" s="51" t="n">
        <v>146</v>
      </c>
      <c r="P126" s="51" t="n">
        <v>148</v>
      </c>
      <c r="Q126" s="51" t="n">
        <v>29</v>
      </c>
      <c r="R126" s="51" t="n">
        <v>69</v>
      </c>
      <c r="S126" s="51" t="n">
        <v>65</v>
      </c>
      <c r="T126" s="51" t="n">
        <v>65</v>
      </c>
      <c r="U126" s="51" t="n">
        <v>81</v>
      </c>
      <c r="V126" s="51" t="n">
        <v>106</v>
      </c>
      <c r="W126" s="51" t="n">
        <v>84</v>
      </c>
      <c r="X126" s="51" t="n">
        <v>64</v>
      </c>
      <c r="Y126" s="51" t="n">
        <v>97</v>
      </c>
      <c r="Z126" s="51" t="n">
        <v>89</v>
      </c>
      <c r="AA126" s="51" t="n">
        <v>76</v>
      </c>
      <c r="AB126" s="51" t="n">
        <v>88</v>
      </c>
      <c r="AC126" s="51" t="n">
        <v>76</v>
      </c>
      <c r="AD126" s="51" t="n">
        <v>89</v>
      </c>
      <c r="AE126" s="51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  <c r="BE126" s="51" t="n"/>
    </row>
    <row r="127" ht="15.75" customHeight="1">
      <c r="C127" s="6" t="n"/>
    </row>
    <row r="128" ht="15.75" customFormat="1" customHeight="1" s="1">
      <c r="A128" s="1" t="inlineStr">
        <is>
          <t xml:space="preserve">Promo </t>
        </is>
      </c>
      <c r="B128" s="1" t="inlineStr">
        <is>
          <t>Real-time tracking</t>
        </is>
      </c>
      <c r="D128" s="24" t="inlineStr">
        <is>
          <t>$k</t>
        </is>
      </c>
      <c r="E128" s="52" t="n"/>
      <c r="F128" s="52" t="n"/>
      <c r="G128" s="52" t="n"/>
      <c r="H128" s="52" t="n"/>
      <c r="I128" s="52" t="n"/>
      <c r="J128" s="52" t="n">
        <v>11.86</v>
      </c>
      <c r="K128" s="52" t="n">
        <v>13.7</v>
      </c>
      <c r="L128" s="52" t="n">
        <v>16.17</v>
      </c>
      <c r="M128" s="52" t="n">
        <v>7.43</v>
      </c>
      <c r="N128" s="52" t="n"/>
      <c r="O128" s="52" t="n"/>
      <c r="P128" s="52" t="n"/>
      <c r="Q128" s="52" t="n">
        <v>37.574</v>
      </c>
      <c r="R128" s="52" t="n">
        <v>12.372</v>
      </c>
      <c r="S128" s="52" t="n">
        <v>28.236</v>
      </c>
      <c r="T128" s="52" t="n">
        <v>25.323</v>
      </c>
      <c r="U128" s="52" t="n">
        <v>4.6</v>
      </c>
      <c r="V128" s="52" t="n">
        <v>5.55</v>
      </c>
      <c r="W128" s="52" t="n">
        <v>2.25</v>
      </c>
      <c r="X128" s="52" t="n">
        <v>0.55</v>
      </c>
      <c r="Y128" s="52" t="n">
        <v>31.967</v>
      </c>
      <c r="Z128" s="52" t="n">
        <v>6.106</v>
      </c>
      <c r="AA128" s="52" t="n">
        <v>22.44</v>
      </c>
      <c r="AB128" s="52" t="n">
        <v>37.98</v>
      </c>
      <c r="AC128" s="52" t="n">
        <v>150.499</v>
      </c>
      <c r="AD128" s="52" t="n">
        <v>160.858</v>
      </c>
      <c r="AE128" s="52" t="n"/>
      <c r="AF128" s="52" t="n"/>
      <c r="AG128" s="52" t="n"/>
      <c r="AH128" s="52" t="n"/>
      <c r="AI128" s="52" t="n"/>
      <c r="AJ128" s="52" t="n"/>
      <c r="AK128" s="52" t="n"/>
      <c r="AL128" s="52" t="n"/>
      <c r="AM128" s="52" t="n"/>
      <c r="AN128" s="52" t="n"/>
      <c r="AO128" s="52" t="n"/>
      <c r="AP128" s="52" t="n"/>
      <c r="AQ128" s="52" t="n"/>
      <c r="AR128" s="52" t="n"/>
      <c r="AS128" s="52" t="n"/>
      <c r="AT128" s="52" t="n"/>
      <c r="AU128" s="52" t="n"/>
      <c r="AV128" s="52" t="n"/>
      <c r="AW128" s="52" t="n"/>
      <c r="AX128" s="52" t="n"/>
      <c r="AY128" s="52" t="n"/>
      <c r="AZ128" s="52" t="n"/>
      <c r="BA128" s="52" t="n"/>
      <c r="BB128" s="52" t="n"/>
      <c r="BC128" s="52" t="n"/>
      <c r="BD128" s="52" t="n"/>
      <c r="BE128" s="52" t="n"/>
    </row>
    <row r="129" ht="15.75" customFormat="1" customHeight="1" s="1">
      <c r="B129" s="49" t="inlineStr">
        <is>
          <t>Finance Actuals (Monthly)</t>
        </is>
      </c>
      <c r="D129" s="32" t="inlineStr">
        <is>
          <t>$k</t>
        </is>
      </c>
      <c r="E129" s="52" t="n"/>
      <c r="F129" s="52" t="n"/>
      <c r="G129" s="52" t="n"/>
      <c r="H129" s="52" t="n">
        <v>1.30591</v>
      </c>
      <c r="I129" s="52" t="n"/>
      <c r="J129" s="52" t="n"/>
      <c r="K129" s="52" t="n"/>
      <c r="L129" s="52" t="n">
        <v>23.82729</v>
      </c>
      <c r="M129" s="52" t="n"/>
      <c r="N129" s="52" t="n"/>
      <c r="O129" s="52" t="n"/>
      <c r="P129" s="52" t="n"/>
      <c r="Q129" s="52" t="n">
        <v>14.7216</v>
      </c>
      <c r="R129" s="52" t="n"/>
      <c r="S129" s="52" t="n"/>
      <c r="T129" s="52" t="n"/>
      <c r="U129" s="52" t="n">
        <v>51.55344</v>
      </c>
      <c r="V129" s="52" t="n"/>
      <c r="W129" s="52" t="n"/>
      <c r="X129" s="52" t="n"/>
      <c r="Y129" s="52" t="n"/>
      <c r="Z129" s="52" t="n">
        <v>23.46755</v>
      </c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  <c r="AL129" s="52" t="n"/>
      <c r="AM129" s="52" t="n"/>
      <c r="AN129" s="52" t="n"/>
      <c r="AO129" s="52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  <c r="BB129" s="52" t="n"/>
      <c r="BC129" s="52" t="n"/>
      <c r="BD129" s="52" t="n"/>
      <c r="BE129" s="52" t="n"/>
    </row>
    <row r="130" ht="15.75" customFormat="1" customHeight="1" s="9">
      <c r="B130" s="9" t="inlineStr">
        <is>
          <t>Budgeted (Monthly)</t>
        </is>
      </c>
      <c r="D130" s="10" t="inlineStr">
        <is>
          <t>$k</t>
        </is>
      </c>
      <c r="E130" s="54" t="n"/>
      <c r="F130" s="54" t="n"/>
      <c r="G130" s="54" t="n"/>
      <c r="H130" s="54" t="n">
        <v>0</v>
      </c>
      <c r="I130" s="54" t="n"/>
      <c r="J130" s="54" t="n"/>
      <c r="K130" s="54" t="n"/>
      <c r="L130" s="54" t="n">
        <v>0</v>
      </c>
      <c r="M130" s="54" t="n"/>
      <c r="N130" s="54" t="n"/>
      <c r="O130" s="54" t="n"/>
      <c r="P130" s="54" t="n"/>
      <c r="Q130" s="54" t="n">
        <v>94.67994823348118</v>
      </c>
      <c r="R130" s="54" t="n"/>
      <c r="S130" s="54" t="n"/>
      <c r="T130" s="54" t="n"/>
      <c r="U130" s="54" t="n">
        <v>132.4050657554984</v>
      </c>
      <c r="V130" s="54" t="n"/>
      <c r="W130" s="54" t="n"/>
      <c r="X130" s="54" t="n"/>
      <c r="Y130" s="54" t="n"/>
      <c r="Z130" s="54" t="n">
        <v>72.67362967897114</v>
      </c>
      <c r="AA130" s="54" t="n"/>
      <c r="AB130" s="54" t="n"/>
      <c r="AC130" s="54" t="n"/>
      <c r="AD130" s="54" t="n">
        <v>84.21788279513686</v>
      </c>
      <c r="AE130" s="54" t="n"/>
      <c r="AF130" s="54" t="n"/>
      <c r="AG130" s="54" t="n"/>
      <c r="AH130" s="54" t="n">
        <v>80.78131734495601</v>
      </c>
      <c r="AI130" s="54" t="n"/>
      <c r="AJ130" s="54" t="n"/>
      <c r="AK130" s="54" t="n"/>
      <c r="AL130" s="54" t="n"/>
      <c r="AM130" s="54" t="n">
        <v>67.80817786925807</v>
      </c>
      <c r="AN130" s="54" t="n"/>
      <c r="AO130" s="54" t="n"/>
      <c r="AP130" s="54" t="n"/>
      <c r="AQ130" s="54" t="n">
        <v>89.95808003060374</v>
      </c>
      <c r="AR130" s="54" t="n"/>
      <c r="AS130" s="54" t="n"/>
      <c r="AT130" s="54" t="n"/>
      <c r="AU130" s="54" t="n">
        <v>0</v>
      </c>
      <c r="AV130" s="54" t="n"/>
      <c r="AW130" s="54" t="n"/>
      <c r="AX130" s="54" t="n"/>
      <c r="AY130" s="54" t="n"/>
      <c r="AZ130" s="54" t="n">
        <v>332.9907088719564</v>
      </c>
      <c r="BA130" s="54" t="n"/>
      <c r="BB130" s="54" t="n"/>
      <c r="BC130" s="54" t="n"/>
      <c r="BD130" s="54" t="n">
        <v>500.7711038074681</v>
      </c>
      <c r="BE130" s="54" t="n"/>
    </row>
    <row r="131" ht="15.75" customHeight="1">
      <c r="B131" s="7" t="inlineStr">
        <is>
          <t>As % of budget - this month</t>
        </is>
      </c>
      <c r="D131" s="17" t="inlineStr">
        <is>
          <t>%</t>
        </is>
      </c>
      <c r="E131" s="53" t="n"/>
      <c r="F131" s="53" t="n"/>
      <c r="G131" s="53" t="n"/>
      <c r="H131" s="53">
        <f>IFERROR(SUM(E129:H129)/H130,"")</f>
        <v/>
      </c>
      <c r="I131" s="53" t="n"/>
      <c r="J131" s="53" t="n"/>
      <c r="K131" s="53" t="n"/>
      <c r="L131" s="53">
        <f>IFERROR(SUM(I129:L129)/L130,"")</f>
        <v/>
      </c>
      <c r="M131" s="53" t="n"/>
      <c r="N131" s="53" t="n"/>
      <c r="O131" s="53" t="n"/>
      <c r="P131" s="53" t="n"/>
      <c r="Q131" s="53">
        <f>IFERROR(SUM(M129:Q129)/Q130,"")</f>
        <v/>
      </c>
      <c r="R131" s="53" t="n"/>
      <c r="S131" s="53" t="n"/>
      <c r="T131" s="53" t="n"/>
      <c r="U131" s="53">
        <f>IFERROR(SUM(R129:U129)/U130,"")</f>
        <v/>
      </c>
      <c r="V131" s="53" t="n"/>
      <c r="W131" s="53" t="n"/>
      <c r="X131" s="53" t="n"/>
      <c r="Y131" s="53" t="n"/>
      <c r="Z131" s="53">
        <f>IFERROR(SUM(V129:Z129)/Z130,"")</f>
        <v/>
      </c>
      <c r="AA131" s="53" t="n"/>
      <c r="AB131" s="53" t="n"/>
      <c r="AC131" s="53" t="n"/>
      <c r="AD131" s="53">
        <f>IFERROR(SUM(AA129:AD129)/AD130,"")</f>
        <v/>
      </c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</row>
    <row r="132" ht="15.75" customHeight="1">
      <c r="B132" s="7" t="inlineStr">
        <is>
          <t>As % of quarterly budget (QTD)</t>
        </is>
      </c>
      <c r="D132" s="17" t="inlineStr">
        <is>
          <t>%</t>
        </is>
      </c>
      <c r="E132" s="53" t="n"/>
      <c r="F132" s="53" t="n"/>
      <c r="G132" s="53" t="n"/>
      <c r="H132" s="53">
        <f>IFERROR(SUM(E129:H129)/(H130+L130+Q130),"")</f>
        <v/>
      </c>
      <c r="I132" s="53" t="n"/>
      <c r="J132" s="53" t="n"/>
      <c r="K132" s="53" t="n"/>
      <c r="L132" s="53">
        <f>IFERROR(SUM(E129:L129)/(H130+L130+Q130),"")</f>
        <v/>
      </c>
      <c r="M132" s="53" t="n"/>
      <c r="N132" s="53" t="n"/>
      <c r="O132" s="53" t="n"/>
      <c r="P132" s="53" t="n"/>
      <c r="Q132" s="53">
        <f>IFERROR(SUM(E129:Q129)/(H130+L130+Q130),"")</f>
        <v/>
      </c>
      <c r="R132" s="53" t="n"/>
      <c r="S132" s="53" t="n"/>
      <c r="T132" s="53" t="n"/>
      <c r="U132" s="53">
        <f>IFERROR(SUM(R129:U129)/(U130+Z130+AD130),"")</f>
        <v/>
      </c>
      <c r="V132" s="53" t="n"/>
      <c r="W132" s="53" t="n"/>
      <c r="X132" s="53" t="n"/>
      <c r="Y132" s="53" t="n"/>
      <c r="Z132" s="53">
        <f>IFERROR(SUM(R129:Z129)/(U130+Z130+AD130),"")</f>
        <v/>
      </c>
      <c r="AA132" s="53" t="n"/>
      <c r="AB132" s="53" t="n"/>
      <c r="AC132" s="53" t="n"/>
      <c r="AD132" s="53">
        <f>IFERROR(SUM(R129:AD129)/(U130+Z130+AD130),"")</f>
        <v/>
      </c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</row>
    <row r="133" ht="15.75" customHeight="1">
      <c r="B133" s="7" t="inlineStr">
        <is>
          <t>As % of annual budget (YTD)</t>
        </is>
      </c>
      <c r="D133" s="17" t="inlineStr">
        <is>
          <t>%</t>
        </is>
      </c>
      <c r="E133" s="53" t="n"/>
      <c r="F133" s="53" t="n"/>
      <c r="G133" s="53" t="n"/>
      <c r="H133" s="53">
        <f>IFERROR(SUM($E$129:H129)/SUM($E$130:BD130),"")</f>
        <v/>
      </c>
      <c r="I133" s="53" t="n"/>
      <c r="J133" s="53" t="n"/>
      <c r="K133" s="53" t="n"/>
      <c r="L133" s="53">
        <f>IFERROR(SUM($E$129:L129)/SUM($E$130:BD130),"")</f>
        <v/>
      </c>
      <c r="M133" s="53" t="n"/>
      <c r="N133" s="53" t="n"/>
      <c r="O133" s="53" t="n"/>
      <c r="P133" s="53" t="n"/>
      <c r="Q133" s="53">
        <f>IFERROR(SUM($E$129:Q129)/SUM($E$130:BD130),"")</f>
        <v/>
      </c>
      <c r="R133" s="53" t="n"/>
      <c r="S133" s="53" t="n"/>
      <c r="T133" s="53" t="n"/>
      <c r="U133" s="53">
        <f>IFERROR(SUM($E$129:U129)/SUM($E$130:BD130),"")</f>
        <v/>
      </c>
      <c r="V133" s="53" t="n"/>
      <c r="W133" s="53" t="n"/>
      <c r="X133" s="53" t="n"/>
      <c r="Y133" s="53" t="n"/>
      <c r="Z133" s="53">
        <f>IFERROR(SUM($E$129:Z129)/SUM($E$130:BD130),"")</f>
        <v/>
      </c>
      <c r="AA133" s="53" t="n"/>
      <c r="AB133" s="53" t="n"/>
      <c r="AC133" s="53" t="n"/>
      <c r="AD133" s="53">
        <f>IFERROR(SUM($E$129:AD129)/SUM($E$130:BD130),"")</f>
        <v/>
      </c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</row>
    <row r="134" ht="15.75" customHeight="1"/>
    <row r="135" ht="15.75" customHeight="1">
      <c r="A135" s="1" t="inlineStr">
        <is>
          <t>Total Marketing</t>
        </is>
      </c>
      <c r="B135" s="1" t="n"/>
      <c r="C135" s="1" t="n"/>
      <c r="D135" s="24" t="inlineStr">
        <is>
          <t>$k</t>
        </is>
      </c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  <c r="AG135" s="52" t="n"/>
      <c r="AH135" s="52" t="n"/>
      <c r="AI135" s="52" t="n"/>
      <c r="AJ135" s="52" t="n"/>
      <c r="AK135" s="52" t="n"/>
      <c r="AL135" s="52" t="n"/>
      <c r="AM135" s="52" t="n"/>
      <c r="AN135" s="52" t="n"/>
      <c r="AO135" s="52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  <c r="BB135" s="52" t="n"/>
      <c r="BC135" s="52" t="n"/>
      <c r="BD135" s="52" t="n"/>
      <c r="BE135" s="52" t="n"/>
    </row>
    <row r="136" ht="15.75" customHeight="1">
      <c r="A136" s="1" t="n"/>
      <c r="B136" s="49" t="inlineStr">
        <is>
          <t>Finance Actuals (Monthly)</t>
        </is>
      </c>
      <c r="C136" s="1" t="n"/>
      <c r="D136" s="32" t="inlineStr">
        <is>
          <t>$k</t>
        </is>
      </c>
      <c r="E136" s="52" t="n"/>
      <c r="F136" s="52" t="n"/>
      <c r="G136" s="52" t="n"/>
      <c r="H136" s="52" t="n">
        <v>38.5359</v>
      </c>
      <c r="I136" s="52" t="n"/>
      <c r="J136" s="52" t="n"/>
      <c r="K136" s="52" t="n"/>
      <c r="L136" s="52" t="n">
        <v>97.55410999999998</v>
      </c>
      <c r="M136" s="52" t="n"/>
      <c r="N136" s="52" t="n"/>
      <c r="O136" s="52" t="n"/>
      <c r="P136" s="52" t="n"/>
      <c r="Q136" s="52" t="n">
        <v>181.99159</v>
      </c>
      <c r="R136" s="52" t="n"/>
      <c r="S136" s="52" t="n"/>
      <c r="T136" s="52" t="n"/>
      <c r="U136" s="52" t="n">
        <v>14.66632</v>
      </c>
      <c r="V136" s="52" t="n"/>
      <c r="W136" s="52" t="n"/>
      <c r="X136" s="52" t="n"/>
      <c r="Y136" s="52" t="n"/>
      <c r="Z136" s="52" t="n">
        <v>69.33326000000001</v>
      </c>
      <c r="AA136" s="52" t="n"/>
      <c r="AB136" s="52" t="n"/>
      <c r="AC136" s="52" t="n"/>
      <c r="AD136" s="52" t="n"/>
      <c r="AE136" s="52" t="n"/>
      <c r="AF136" s="52" t="n"/>
      <c r="AG136" s="52" t="n"/>
      <c r="AH136" s="52" t="n"/>
      <c r="AI136" s="52" t="n"/>
      <c r="AJ136" s="52" t="n"/>
      <c r="AK136" s="52" t="n"/>
      <c r="AL136" s="52" t="n"/>
      <c r="AM136" s="52" t="n"/>
      <c r="AN136" s="52" t="n"/>
      <c r="AO136" s="52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  <c r="BB136" s="52" t="n"/>
      <c r="BC136" s="52" t="n"/>
      <c r="BD136" s="52" t="n"/>
      <c r="BE136" s="52" t="n"/>
    </row>
    <row r="137" ht="15.75" customHeight="1">
      <c r="B137" s="9" t="inlineStr">
        <is>
          <t>Budgeted (Monthly)</t>
        </is>
      </c>
      <c r="D137" s="10" t="inlineStr">
        <is>
          <t>$k</t>
        </is>
      </c>
      <c r="E137" s="54" t="n"/>
      <c r="F137" s="54" t="n"/>
      <c r="G137" s="54" t="n"/>
      <c r="H137" s="54" t="n">
        <v>184.1666666666667</v>
      </c>
      <c r="I137" s="54" t="n"/>
      <c r="J137" s="54" t="n"/>
      <c r="K137" s="54" t="n"/>
      <c r="L137" s="54" t="n">
        <v>184.1666666666667</v>
      </c>
      <c r="M137" s="54" t="n"/>
      <c r="N137" s="54" t="n"/>
      <c r="O137" s="54" t="n"/>
      <c r="P137" s="54" t="n"/>
      <c r="Q137" s="54" t="n">
        <v>184.1666666666667</v>
      </c>
      <c r="R137" s="54" t="n"/>
      <c r="S137" s="54" t="n"/>
      <c r="T137" s="54" t="n"/>
      <c r="U137" s="54" t="n">
        <v>145.8333333333333</v>
      </c>
      <c r="V137" s="54" t="n"/>
      <c r="W137" s="54" t="n"/>
      <c r="X137" s="54" t="n"/>
      <c r="Y137" s="54" t="n"/>
      <c r="Z137" s="54" t="n">
        <v>145.8333333333333</v>
      </c>
      <c r="AA137" s="54" t="n"/>
      <c r="AB137" s="54" t="n"/>
      <c r="AC137" s="54" t="n"/>
      <c r="AD137" s="54" t="n">
        <v>145.8333333333333</v>
      </c>
      <c r="AE137" s="54" t="n"/>
      <c r="AF137" s="54" t="n"/>
      <c r="AG137" s="54" t="n"/>
      <c r="AH137" s="54" t="n">
        <v>145.8333333333333</v>
      </c>
      <c r="AI137" s="54" t="n"/>
      <c r="AJ137" s="54" t="n"/>
      <c r="AK137" s="54" t="n"/>
      <c r="AL137" s="54" t="n"/>
      <c r="AM137" s="54" t="n">
        <v>145.8333333333333</v>
      </c>
      <c r="AN137" s="54" t="n"/>
      <c r="AO137" s="54" t="n"/>
      <c r="AP137" s="54" t="n"/>
      <c r="AQ137" s="54" t="n">
        <v>145.8333333333333</v>
      </c>
      <c r="AR137" s="54" t="n"/>
      <c r="AS137" s="54" t="n"/>
      <c r="AT137" s="54" t="n"/>
      <c r="AU137" s="54" t="n">
        <v>145.8333333333333</v>
      </c>
      <c r="AV137" s="54" t="n"/>
      <c r="AW137" s="54" t="n"/>
      <c r="AX137" s="54" t="n"/>
      <c r="AY137" s="54" t="n"/>
      <c r="AZ137" s="54" t="n">
        <v>145.8333333333333</v>
      </c>
      <c r="BA137" s="54" t="n"/>
      <c r="BB137" s="54" t="n"/>
      <c r="BC137" s="54" t="n"/>
      <c r="BD137" s="54" t="n">
        <v>145.8333333333333</v>
      </c>
      <c r="BE137" s="54" t="n"/>
    </row>
    <row r="138" ht="15.75" customHeight="1">
      <c r="B138" s="7" t="inlineStr">
        <is>
          <t>As % of budget - this month</t>
        </is>
      </c>
      <c r="D138" s="17" t="inlineStr">
        <is>
          <t>%</t>
        </is>
      </c>
      <c r="E138" s="53" t="n"/>
      <c r="F138" s="53" t="n"/>
      <c r="G138" s="53" t="n"/>
      <c r="H138" s="53">
        <f>IFERROR(SUM(E136:H136)/H137,"")</f>
        <v/>
      </c>
      <c r="I138" s="53" t="n"/>
      <c r="J138" s="53" t="n"/>
      <c r="K138" s="53" t="n"/>
      <c r="L138" s="53">
        <f>IFERROR(SUM(I136:L136)/L137,"")</f>
        <v/>
      </c>
      <c r="M138" s="53" t="n"/>
      <c r="N138" s="53" t="n"/>
      <c r="O138" s="53" t="n"/>
      <c r="P138" s="53" t="n"/>
      <c r="Q138" s="53">
        <f>IFERROR(SUM(M136:Q136)/Q137,"")</f>
        <v/>
      </c>
      <c r="R138" s="53" t="n"/>
      <c r="S138" s="53" t="n"/>
      <c r="T138" s="53" t="n"/>
      <c r="U138" s="53">
        <f>IFERROR(SUM(R136:U136)/U137,"")</f>
        <v/>
      </c>
      <c r="V138" s="53" t="n"/>
      <c r="W138" s="53" t="n"/>
      <c r="X138" s="53" t="n"/>
      <c r="Y138" s="53" t="n"/>
      <c r="Z138" s="53">
        <f>IFERROR(SUM(V136:Z136)/Z137,"")</f>
        <v/>
      </c>
      <c r="AA138" s="53" t="n"/>
      <c r="AB138" s="53" t="n"/>
      <c r="AC138" s="53" t="n"/>
      <c r="AD138" s="53">
        <f>IFERROR(SUM(AA136:AD136)/AD137,"")</f>
        <v/>
      </c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</row>
    <row r="139" ht="15.75" customHeight="1">
      <c r="B139" s="7" t="inlineStr">
        <is>
          <t>As % of quarterly budget (QTD)</t>
        </is>
      </c>
      <c r="D139" s="17" t="inlineStr">
        <is>
          <t>%</t>
        </is>
      </c>
      <c r="E139" s="53" t="n"/>
      <c r="F139" s="53" t="n"/>
      <c r="G139" s="53" t="n"/>
      <c r="H139" s="53">
        <f>IFERROR(SUM(E136:H136)/(H137+L137+Q137),"")</f>
        <v/>
      </c>
      <c r="I139" s="53" t="n"/>
      <c r="J139" s="53" t="n"/>
      <c r="K139" s="53" t="n"/>
      <c r="L139" s="53">
        <f>IFERROR(SUM(E136:L136)/(H137+L137+Q137),"")</f>
        <v/>
      </c>
      <c r="M139" s="53" t="n"/>
      <c r="N139" s="53" t="n"/>
      <c r="O139" s="53" t="n"/>
      <c r="P139" s="53" t="n"/>
      <c r="Q139" s="53">
        <f>IFERROR(SUM(E136:Q136)/(H137+L137+Q137),"")</f>
        <v/>
      </c>
      <c r="R139" s="53" t="n"/>
      <c r="S139" s="53" t="n"/>
      <c r="T139" s="53" t="n"/>
      <c r="U139" s="53">
        <f>IFERROR(SUM(R136:U136)/(U137+Z137+AD137),"")</f>
        <v/>
      </c>
      <c r="V139" s="53" t="n"/>
      <c r="W139" s="53" t="n"/>
      <c r="X139" s="53" t="n"/>
      <c r="Y139" s="53" t="n"/>
      <c r="Z139" s="53">
        <f>IFERROR(SUM(R136:Z136)/(U137+Z137+AD137),"")</f>
        <v/>
      </c>
      <c r="AA139" s="53" t="n"/>
      <c r="AB139" s="53" t="n"/>
      <c r="AC139" s="53" t="n"/>
      <c r="AD139" s="53">
        <f>IFERROR(SUM(R136:AD136)/(U137+Z137+AD137),"")</f>
        <v/>
      </c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</row>
    <row r="140" ht="15.75" customHeight="1">
      <c r="B140" s="7" t="inlineStr">
        <is>
          <t>As % of annual budget (YTD)</t>
        </is>
      </c>
      <c r="D140" s="17" t="inlineStr">
        <is>
          <t>%</t>
        </is>
      </c>
      <c r="E140" s="53" t="n"/>
      <c r="F140" s="53" t="n"/>
      <c r="G140" s="53" t="n"/>
      <c r="H140" s="53">
        <f>IFERROR(SUM($E$136:H136)/SUM($E$137:BD137),"")</f>
        <v/>
      </c>
      <c r="I140" s="53" t="n"/>
      <c r="J140" s="53" t="n"/>
      <c r="K140" s="53" t="n"/>
      <c r="L140" s="53">
        <f>IFERROR(SUM($E$136:L136)/SUM($E$137:BD137),"")</f>
        <v/>
      </c>
      <c r="M140" s="53" t="n"/>
      <c r="N140" s="53" t="n"/>
      <c r="O140" s="53" t="n"/>
      <c r="P140" s="53" t="n"/>
      <c r="Q140" s="53">
        <f>IFERROR(SUM($E$136:Q136)/SUM($E$137:BD137),"")</f>
        <v/>
      </c>
      <c r="R140" s="53" t="n"/>
      <c r="S140" s="53" t="n"/>
      <c r="T140" s="53" t="n"/>
      <c r="U140" s="53">
        <f>IFERROR(SUM($E$136:U136)/SUM($E$137:BD137),"")</f>
        <v/>
      </c>
      <c r="V140" s="53" t="n"/>
      <c r="W140" s="53" t="n"/>
      <c r="X140" s="53" t="n"/>
      <c r="Y140" s="53" t="n"/>
      <c r="Z140" s="53">
        <f>IFERROR(SUM($E$136:Z136)/SUM($E$137:BD137),"")</f>
        <v/>
      </c>
      <c r="AA140" s="53" t="n"/>
      <c r="AB140" s="53" t="n"/>
      <c r="AC140" s="53" t="n"/>
      <c r="AD140" s="53">
        <f>IFERROR(SUM($E$136:AD136)/SUM($E$137:BD137),"")</f>
        <v/>
      </c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</row>
    <row r="141" ht="15.75" customHeight="1"/>
    <row r="142" ht="15.75" customFormat="1" customHeight="1" s="1">
      <c r="A142" s="1" t="inlineStr">
        <is>
          <t>Ads</t>
        </is>
      </c>
      <c r="B142" s="1" t="inlineStr">
        <is>
          <t>Real-time tracking</t>
        </is>
      </c>
      <c r="D142" s="24" t="inlineStr">
        <is>
          <t>$k</t>
        </is>
      </c>
      <c r="E142" s="52" t="n">
        <v>16.23609</v>
      </c>
      <c r="F142" s="52" t="n">
        <v>16.29575</v>
      </c>
      <c r="G142" s="52" t="n">
        <v>17.36873</v>
      </c>
      <c r="H142" s="52" t="n">
        <v>17.24599</v>
      </c>
      <c r="I142" s="52" t="n">
        <v>11.54876</v>
      </c>
      <c r="J142" s="52" t="n">
        <v>4.87025</v>
      </c>
      <c r="K142" s="52" t="n">
        <v>7.70212</v>
      </c>
      <c r="L142" s="52" t="n">
        <v>9.360950000000001</v>
      </c>
      <c r="M142" s="52" t="n">
        <v>9.44035</v>
      </c>
      <c r="N142" s="52" t="n">
        <v>10.77068</v>
      </c>
      <c r="O142" s="52" t="n">
        <v>10.94465</v>
      </c>
      <c r="P142" s="52" t="n">
        <v>10.91692</v>
      </c>
      <c r="Q142" s="52" t="n">
        <v>11.13131</v>
      </c>
      <c r="R142" s="52" t="n">
        <v>10.89344</v>
      </c>
      <c r="S142" s="52" t="n">
        <v>8.21918</v>
      </c>
      <c r="T142" s="52" t="n">
        <v>7.19779</v>
      </c>
      <c r="U142" s="52" t="n">
        <v>8.07146</v>
      </c>
      <c r="V142" s="52" t="n">
        <v>8.092499999999999</v>
      </c>
      <c r="W142" s="52" t="n">
        <v>9.57883</v>
      </c>
      <c r="X142" s="52" t="n">
        <v>11.10504</v>
      </c>
      <c r="Y142" s="52" t="n">
        <v>13.59599</v>
      </c>
      <c r="Z142" s="52" t="n">
        <v>19.14241</v>
      </c>
      <c r="AA142" s="52" t="n">
        <v>11.79405</v>
      </c>
      <c r="AB142" s="52" t="n">
        <v>10.48124</v>
      </c>
      <c r="AC142" s="52" t="n">
        <v>10.25265</v>
      </c>
      <c r="AD142" s="52" t="n">
        <v>8.588209999999998</v>
      </c>
      <c r="AE142" s="52" t="n"/>
      <c r="AF142" s="52" t="n"/>
      <c r="AG142" s="52" t="n"/>
      <c r="AH142" s="52" t="n"/>
      <c r="AI142" s="52" t="n"/>
      <c r="AJ142" s="52" t="n"/>
      <c r="AK142" s="52" t="n"/>
      <c r="AL142" s="52" t="n"/>
      <c r="AM142" s="52" t="n"/>
      <c r="AN142" s="52" t="n"/>
      <c r="AO142" s="52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  <c r="BB142" s="52" t="n"/>
      <c r="BC142" s="52" t="n"/>
      <c r="BD142" s="52" t="n"/>
      <c r="BE142" s="52" t="n"/>
    </row>
    <row r="143" ht="15.75" customHeight="1">
      <c r="B143" s="9" t="inlineStr">
        <is>
          <t>Budgeted (Monthly)</t>
        </is>
      </c>
      <c r="C143" s="9" t="n"/>
      <c r="D143" s="10" t="inlineStr">
        <is>
          <t>$k</t>
        </is>
      </c>
      <c r="E143" s="54" t="n"/>
      <c r="F143" s="54" t="n"/>
      <c r="G143" s="54" t="n"/>
      <c r="H143" s="54" t="n">
        <v>64.58333333333334</v>
      </c>
      <c r="I143" s="54" t="n"/>
      <c r="J143" s="54" t="n"/>
      <c r="K143" s="54" t="n"/>
      <c r="L143" s="54" t="n">
        <v>64.58333333333334</v>
      </c>
      <c r="M143" s="54" t="n"/>
      <c r="N143" s="54" t="n"/>
      <c r="O143" s="54" t="n"/>
      <c r="P143" s="54" t="n"/>
      <c r="Q143" s="54" t="n">
        <v>64.58333333333334</v>
      </c>
      <c r="R143" s="54" t="n"/>
      <c r="S143" s="54" t="n"/>
      <c r="T143" s="54" t="n"/>
      <c r="U143" s="54" t="n">
        <v>64.58333333333334</v>
      </c>
      <c r="V143" s="54" t="n"/>
      <c r="W143" s="54" t="n"/>
      <c r="X143" s="54" t="n"/>
      <c r="Y143" s="54" t="n"/>
      <c r="Z143" s="54" t="n">
        <v>64.58333333333334</v>
      </c>
      <c r="AA143" s="54" t="n"/>
      <c r="AB143" s="54" t="n"/>
      <c r="AC143" s="54" t="n"/>
      <c r="AD143" s="54" t="n">
        <v>64.58333333333334</v>
      </c>
      <c r="AE143" s="54" t="n"/>
      <c r="AF143" s="54" t="n"/>
      <c r="AG143" s="54" t="n"/>
      <c r="AH143" s="54" t="n">
        <v>64.58333333333334</v>
      </c>
      <c r="AI143" s="54" t="n"/>
      <c r="AJ143" s="54" t="n"/>
      <c r="AK143" s="54" t="n"/>
      <c r="AL143" s="54" t="n"/>
      <c r="AM143" s="54" t="n">
        <v>64.58333333333334</v>
      </c>
      <c r="AN143" s="54" t="n"/>
      <c r="AO143" s="54" t="n"/>
      <c r="AP143" s="54" t="n"/>
      <c r="AQ143" s="54" t="n">
        <v>64.58333333333334</v>
      </c>
      <c r="AR143" s="54" t="n"/>
      <c r="AS143" s="54" t="n"/>
      <c r="AT143" s="54" t="n"/>
      <c r="AU143" s="54" t="n">
        <v>64.58333333333334</v>
      </c>
      <c r="AV143" s="54" t="n"/>
      <c r="AW143" s="54" t="n"/>
      <c r="AX143" s="54" t="n"/>
      <c r="AY143" s="54" t="n"/>
      <c r="AZ143" s="54" t="n">
        <v>64.58333333333334</v>
      </c>
      <c r="BA143" s="54" t="n"/>
      <c r="BB143" s="54" t="n"/>
      <c r="BC143" s="54" t="n"/>
      <c r="BD143" s="54" t="n">
        <v>64.58333333333334</v>
      </c>
      <c r="BE143" s="54" t="n"/>
    </row>
    <row r="144" ht="15.75" customHeight="1"/>
    <row r="145" ht="15.75" customFormat="1" customHeight="1" s="1">
      <c r="A145" s="1" t="inlineStr">
        <is>
          <t>Other Marketing - Retail marketing, etc</t>
        </is>
      </c>
      <c r="D145" s="24" t="inlineStr">
        <is>
          <t>$k</t>
        </is>
      </c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  <c r="AG145" s="52" t="n"/>
      <c r="AH145" s="52" t="n"/>
      <c r="AI145" s="52" t="n"/>
      <c r="AJ145" s="52" t="n"/>
      <c r="AK145" s="52" t="n"/>
      <c r="AL145" s="52" t="n"/>
      <c r="AM145" s="52" t="n"/>
      <c r="AN145" s="52" t="n"/>
      <c r="AO145" s="52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  <c r="BB145" s="52" t="n"/>
      <c r="BC145" s="52" t="n"/>
      <c r="BD145" s="52" t="n"/>
      <c r="BE145" s="52" t="n"/>
    </row>
    <row r="146" ht="15.75" customHeight="1">
      <c r="B146" s="9" t="inlineStr">
        <is>
          <t>Budgeted (Monthly)</t>
        </is>
      </c>
      <c r="C146" s="9" t="n"/>
      <c r="D146" s="10" t="inlineStr">
        <is>
          <t>$k</t>
        </is>
      </c>
      <c r="E146" s="54" t="n"/>
      <c r="F146" s="54" t="n"/>
      <c r="G146" s="54" t="n"/>
      <c r="H146" s="54" t="n">
        <v>119.5833333333333</v>
      </c>
      <c r="I146" s="54" t="n"/>
      <c r="J146" s="54" t="n"/>
      <c r="K146" s="54" t="n"/>
      <c r="L146" s="54" t="n">
        <v>119.5833333333333</v>
      </c>
      <c r="M146" s="54" t="n"/>
      <c r="N146" s="54" t="n"/>
      <c r="O146" s="54" t="n"/>
      <c r="P146" s="54" t="n"/>
      <c r="Q146" s="54" t="n">
        <v>119.5833333333333</v>
      </c>
      <c r="R146" s="54" t="n"/>
      <c r="S146" s="54" t="n"/>
      <c r="T146" s="54" t="n"/>
      <c r="U146" s="54" t="n">
        <v>81.25</v>
      </c>
      <c r="V146" s="54" t="n"/>
      <c r="W146" s="54" t="n"/>
      <c r="X146" s="54" t="n"/>
      <c r="Y146" s="54" t="n"/>
      <c r="Z146" s="54" t="n">
        <v>81.25</v>
      </c>
      <c r="AA146" s="54" t="n"/>
      <c r="AB146" s="54" t="n"/>
      <c r="AC146" s="54" t="n"/>
      <c r="AD146" s="54" t="n">
        <v>81.25</v>
      </c>
      <c r="AE146" s="54" t="n"/>
      <c r="AF146" s="54" t="n"/>
      <c r="AG146" s="54" t="n"/>
      <c r="AH146" s="54" t="n">
        <v>81.25</v>
      </c>
      <c r="AI146" s="54" t="n"/>
      <c r="AJ146" s="54" t="n"/>
      <c r="AK146" s="54" t="n"/>
      <c r="AL146" s="54" t="n"/>
      <c r="AM146" s="54" t="n">
        <v>81.25</v>
      </c>
      <c r="AN146" s="54" t="n"/>
      <c r="AO146" s="54" t="n"/>
      <c r="AP146" s="54" t="n"/>
      <c r="AQ146" s="54" t="n">
        <v>81.25</v>
      </c>
      <c r="AR146" s="54" t="n"/>
      <c r="AS146" s="54" t="n"/>
      <c r="AT146" s="54" t="n"/>
      <c r="AU146" s="54" t="n">
        <v>81.25</v>
      </c>
      <c r="AV146" s="54" t="n"/>
      <c r="AW146" s="54" t="n"/>
      <c r="AX146" s="54" t="n"/>
      <c r="AY146" s="54" t="n"/>
      <c r="AZ146" s="54" t="n">
        <v>81.25</v>
      </c>
      <c r="BA146" s="54" t="n"/>
      <c r="BB146" s="54" t="n"/>
      <c r="BC146" s="54" t="n"/>
      <c r="BD146" s="54" t="n">
        <v>81.25</v>
      </c>
      <c r="BE146" s="54" t="n"/>
    </row>
    <row r="147" ht="15.75" customHeight="1"/>
    <row r="148" ht="15.75" customHeight="1"/>
    <row r="149" ht="15.75" customFormat="1" customHeight="1" s="35">
      <c r="A149" s="34" t="inlineStr">
        <is>
          <t>Other Omni-channel Accounts</t>
        </is>
      </c>
      <c r="D149" s="36" t="n"/>
    </row>
    <row r="150" ht="15.75" customHeight="1">
      <c r="A150" s="1" t="inlineStr">
        <is>
          <t>Sell-in value</t>
        </is>
      </c>
      <c r="D150" s="24" t="inlineStr">
        <is>
          <t>$k</t>
        </is>
      </c>
      <c r="E150" s="52" t="n">
        <v>547.825</v>
      </c>
      <c r="F150" s="52" t="n">
        <v>40.265</v>
      </c>
      <c r="G150" s="52" t="n">
        <v>36.672</v>
      </c>
      <c r="H150" s="52" t="n">
        <v>69.074</v>
      </c>
      <c r="I150" s="52" t="n">
        <v>127.596</v>
      </c>
      <c r="J150" s="52" t="n">
        <v>86.351</v>
      </c>
      <c r="K150" s="52" t="n">
        <v>26.149</v>
      </c>
      <c r="L150" s="52" t="n">
        <v>44.528</v>
      </c>
      <c r="M150" s="52" t="n">
        <v>156.413</v>
      </c>
      <c r="N150" s="52" t="n">
        <v>40.758</v>
      </c>
      <c r="O150" s="52" t="n">
        <v>45.15</v>
      </c>
      <c r="P150" s="52" t="n">
        <v>48.79</v>
      </c>
      <c r="Q150" s="52" t="n">
        <v>47.999</v>
      </c>
      <c r="R150" s="52" t="n">
        <v>242.401</v>
      </c>
      <c r="S150" s="52" t="n">
        <v>45.439</v>
      </c>
      <c r="T150" s="52" t="n">
        <v>64.428</v>
      </c>
      <c r="U150" s="52" t="n">
        <v>15.019</v>
      </c>
      <c r="V150" s="52" t="n">
        <v>148.254</v>
      </c>
      <c r="W150" s="52" t="n">
        <v>28.287</v>
      </c>
      <c r="X150" s="52" t="n">
        <v>39.21</v>
      </c>
      <c r="Y150" s="52" t="n">
        <v>23.705</v>
      </c>
      <c r="Z150" s="52" t="n">
        <v>121.666</v>
      </c>
      <c r="AA150" s="52" t="n">
        <v>55.168</v>
      </c>
      <c r="AB150" s="52" t="n">
        <v>25.334</v>
      </c>
      <c r="AC150" s="52" t="n">
        <v>22.147</v>
      </c>
      <c r="AD150" s="52" t="n">
        <v>39.172</v>
      </c>
      <c r="AE150" s="52" t="n"/>
      <c r="AF150" s="52" t="n"/>
      <c r="AG150" s="52" t="n"/>
      <c r="AH150" s="52" t="n"/>
      <c r="AI150" s="52" t="n"/>
      <c r="AJ150" s="52" t="n"/>
      <c r="AK150" s="52" t="n"/>
      <c r="AL150" s="52" t="n"/>
      <c r="AM150" s="52" t="n"/>
      <c r="AN150" s="52" t="n"/>
      <c r="AO150" s="52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  <c r="BB150" s="52" t="n"/>
      <c r="BC150" s="52" t="n"/>
      <c r="BD150" s="52" t="n"/>
      <c r="BE150" s="52" t="n"/>
    </row>
    <row r="151" ht="15.75" customFormat="1" customHeight="1" s="4">
      <c r="A151" s="3" t="n"/>
      <c r="B151" s="4" t="inlineStr">
        <is>
          <t>% of Total - YTD</t>
        </is>
      </c>
      <c r="D151" s="33" t="inlineStr">
        <is>
          <t>%</t>
        </is>
      </c>
      <c r="E151" s="57">
        <f>IFERROR(SUM($E$150:E150)/SUM($E$3:E3),"")</f>
        <v/>
      </c>
      <c r="F151" s="57">
        <f>IFERROR(SUM($E$150:F150)/SUM($E$3:F3),"")</f>
        <v/>
      </c>
      <c r="G151" s="57">
        <f>IFERROR(SUM($E$150:G150)/SUM($E$3:G3),"")</f>
        <v/>
      </c>
      <c r="H151" s="57">
        <f>IFERROR(SUM($E$150:H150)/SUM($E$3:H3),"")</f>
        <v/>
      </c>
      <c r="I151" s="57">
        <f>IFERROR(SUM($E$150:I150)/SUM($E$3:I3),"")</f>
        <v/>
      </c>
      <c r="J151" s="57">
        <f>IFERROR(SUM($E$150:J150)/SUM($E$3:J3),"")</f>
        <v/>
      </c>
      <c r="K151" s="57">
        <f>IFERROR(SUM($E$150:K150)/SUM($E$3:K3),"")</f>
        <v/>
      </c>
      <c r="L151" s="57">
        <f>IFERROR(SUM($E$150:L150)/SUM($E$3:L3),"")</f>
        <v/>
      </c>
      <c r="M151" s="57">
        <f>IFERROR(SUM($E$150:M150)/SUM($E$3:M3),"")</f>
        <v/>
      </c>
      <c r="N151" s="57">
        <f>IFERROR(SUM($E$150:N150)/SUM($E$3:N3),"")</f>
        <v/>
      </c>
      <c r="O151" s="57">
        <f>IFERROR(SUM($E$150:O150)/SUM($E$3:O3),"")</f>
        <v/>
      </c>
      <c r="P151" s="57">
        <f>IFERROR(SUM($E$150:P150)/SUM($E$3:P3),"")</f>
        <v/>
      </c>
      <c r="Q151" s="57">
        <f>IFERROR(SUM($E$150:Q150)/SUM($E$3:Q3),"")</f>
        <v/>
      </c>
      <c r="R151" s="57">
        <f>IFERROR(SUM($E$150:R150)/SUM($E$3:R3),"")</f>
        <v/>
      </c>
      <c r="S151" s="57">
        <f>IFERROR(SUM($E$150:S150)/SUM($E$3:S3),"")</f>
        <v/>
      </c>
      <c r="T151" s="57">
        <f>IFERROR(SUM($E$150:T150)/SUM($E$3:T3),"")</f>
        <v/>
      </c>
      <c r="U151" s="57">
        <f>IFERROR(SUM($E$150:U150)/SUM($E$3:U3),"")</f>
        <v/>
      </c>
      <c r="V151" s="57">
        <f>IFERROR(SUM($E$150:V150)/SUM($E$3:V3),"")</f>
        <v/>
      </c>
      <c r="W151" s="57">
        <f>IFERROR(SUM($E$150:W150)/SUM($E$3:W3),"")</f>
        <v/>
      </c>
      <c r="X151" s="57">
        <f>IFERROR(SUM($E$150:X150)/SUM($E$3:X3),"")</f>
        <v/>
      </c>
      <c r="Y151" s="57">
        <f>IFERROR(SUM($E$150:Y150)/SUM($E$3:Y3),"")</f>
        <v/>
      </c>
      <c r="Z151" s="57">
        <f>IFERROR(SUM($E$150:Z150)/SUM($E$3:Z3),"")</f>
        <v/>
      </c>
      <c r="AA151" s="57">
        <f>IFERROR(SUM($E$150:AA150)/SUM($E$3:AA3),"")</f>
        <v/>
      </c>
      <c r="AB151" s="57">
        <f>IFERROR(SUM($E$150:AB150)/SUM($E$3:AB3),"")</f>
        <v/>
      </c>
      <c r="AC151" s="57">
        <f>IFERROR(SUM($E$150:AC150)/SUM($E$3:AC3),"")</f>
        <v/>
      </c>
      <c r="AD151" s="57">
        <f>IFERROR(SUM($E$150:AD150)/SUM($E$3:AD3),"")</f>
        <v/>
      </c>
      <c r="AE151" s="57" t="n"/>
      <c r="AF151" s="57" t="n"/>
      <c r="AG151" s="57" t="n"/>
      <c r="AH151" s="57" t="n"/>
      <c r="AI151" s="57" t="n"/>
      <c r="AJ151" s="57" t="n"/>
      <c r="AK151" s="57" t="n"/>
      <c r="AL151" s="57" t="n"/>
      <c r="AM151" s="57" t="n"/>
      <c r="AN151" s="57" t="n"/>
      <c r="AO151" s="57" t="n"/>
      <c r="AP151" s="57" t="n"/>
      <c r="AQ151" s="57" t="n"/>
      <c r="AR151" s="57" t="n"/>
      <c r="AS151" s="57" t="n"/>
      <c r="AT151" s="57" t="n"/>
      <c r="AU151" s="57" t="n"/>
      <c r="AV151" s="57" t="n"/>
      <c r="AW151" s="57" t="n"/>
      <c r="AX151" s="57" t="n"/>
      <c r="AY151" s="57" t="n"/>
      <c r="AZ151" s="57" t="n"/>
      <c r="BA151" s="57" t="n"/>
      <c r="BB151" s="57" t="n"/>
      <c r="BC151" s="57" t="n"/>
      <c r="BD151" s="57" t="n"/>
      <c r="BE151" s="57" t="n"/>
    </row>
    <row r="152" ht="15.75" customFormat="1" customHeight="1" s="7">
      <c r="B152" s="7" t="inlineStr">
        <is>
          <t>% of Target</t>
        </is>
      </c>
      <c r="D152" s="8" t="inlineStr">
        <is>
          <t>%</t>
        </is>
      </c>
      <c r="E152" s="53">
        <f>IFERROR(E150/E154,"")</f>
        <v/>
      </c>
      <c r="F152" s="53">
        <f>IFERROR(F150/F154,"")</f>
        <v/>
      </c>
      <c r="G152" s="53">
        <f>IFERROR(G150/G154,"")</f>
        <v/>
      </c>
      <c r="H152" s="53">
        <f>IFERROR(H150/H154,"")</f>
        <v/>
      </c>
      <c r="I152" s="53">
        <f>IFERROR(I150/I154,"")</f>
        <v/>
      </c>
      <c r="J152" s="53">
        <f>IFERROR(J150/J154,"")</f>
        <v/>
      </c>
      <c r="K152" s="53">
        <f>IFERROR(K150/K154,"")</f>
        <v/>
      </c>
      <c r="L152" s="53">
        <f>IFERROR(L150/L154,"")</f>
        <v/>
      </c>
      <c r="M152" s="53">
        <f>IFERROR(M150/M154,"")</f>
        <v/>
      </c>
      <c r="N152" s="53">
        <f>IFERROR(N150/N154,"")</f>
        <v/>
      </c>
      <c r="O152" s="53">
        <f>IFERROR(O150/O154,"")</f>
        <v/>
      </c>
      <c r="P152" s="53">
        <f>IFERROR(P150/P154,"")</f>
        <v/>
      </c>
      <c r="Q152" s="53">
        <f>IFERROR(Q150/Q154,"")</f>
        <v/>
      </c>
      <c r="R152" s="53">
        <f>IFERROR(R150/R154,"")</f>
        <v/>
      </c>
      <c r="S152" s="53">
        <f>IFERROR(S150/S154,"")</f>
        <v/>
      </c>
      <c r="T152" s="53">
        <f>IFERROR(T150/T154,"")</f>
        <v/>
      </c>
      <c r="U152" s="53">
        <f>IFERROR(U150/U154,"")</f>
        <v/>
      </c>
      <c r="V152" s="53">
        <f>IFERROR(V150/V154,"")</f>
        <v/>
      </c>
      <c r="W152" s="53">
        <f>IFERROR(W150/W154,"")</f>
        <v/>
      </c>
      <c r="X152" s="53">
        <f>IFERROR(X150/X154,"")</f>
        <v/>
      </c>
      <c r="Y152" s="53">
        <f>IFERROR(Y150/Y154,"")</f>
        <v/>
      </c>
      <c r="Z152" s="53">
        <f>IFERROR(Z150/Z154,"")</f>
        <v/>
      </c>
      <c r="AA152" s="53">
        <f>IFERROR(AA150/AA154,"")</f>
        <v/>
      </c>
      <c r="AB152" s="53">
        <f>IFERROR(AB150/AB154,"")</f>
        <v/>
      </c>
      <c r="AC152" s="53">
        <f>IFERROR(AC150/AC154,"")</f>
        <v/>
      </c>
      <c r="AD152" s="53">
        <f>IFERROR(AD150/AD154,"")</f>
        <v/>
      </c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</row>
    <row r="153" ht="15.75" customFormat="1" customHeight="1" s="7">
      <c r="B153" s="7" t="inlineStr">
        <is>
          <t>% of Target - YTD</t>
        </is>
      </c>
      <c r="C153" s="16" t="n"/>
      <c r="D153" s="17" t="inlineStr">
        <is>
          <t>%</t>
        </is>
      </c>
      <c r="E153" s="53">
        <f>IFERROR(SUM($E$150:E150)/SUM($E$154:E154),"")</f>
        <v/>
      </c>
      <c r="F153" s="53">
        <f>IFERROR(SUM($E$150:F150)/SUM($E$154:F154),"")</f>
        <v/>
      </c>
      <c r="G153" s="53">
        <f>IFERROR(SUM($E$150:G150)/SUM($E$154:G154),"")</f>
        <v/>
      </c>
      <c r="H153" s="53">
        <f>IFERROR(SUM($E$150:H150)/SUM($E$154:H154),"")</f>
        <v/>
      </c>
      <c r="I153" s="53">
        <f>IFERROR(SUM($E$150:I150)/SUM($E$154:I154),"")</f>
        <v/>
      </c>
      <c r="J153" s="53">
        <f>IFERROR(SUM($E$150:J150)/SUM($E$154:J154),"")</f>
        <v/>
      </c>
      <c r="K153" s="53">
        <f>IFERROR(SUM($E$150:K150)/SUM($E$154:K154),"")</f>
        <v/>
      </c>
      <c r="L153" s="53">
        <f>IFERROR(SUM($E$150:L150)/SUM($E$154:L154),"")</f>
        <v/>
      </c>
      <c r="M153" s="53">
        <f>IFERROR(SUM($E$150:M150)/SUM($E$154:M154),"")</f>
        <v/>
      </c>
      <c r="N153" s="53">
        <f>IFERROR(SUM($E$150:N150)/SUM($E$154:N154),"")</f>
        <v/>
      </c>
      <c r="O153" s="53">
        <f>IFERROR(SUM($E$150:O150)/SUM($E$154:O154),"")</f>
        <v/>
      </c>
      <c r="P153" s="53">
        <f>IFERROR(SUM($E$150:P150)/SUM($E$154:P154),"")</f>
        <v/>
      </c>
      <c r="Q153" s="53">
        <f>IFERROR(SUM($E$150:Q150)/SUM($E$154:Q154),"")</f>
        <v/>
      </c>
      <c r="R153" s="53">
        <f>IFERROR(SUM($E$150:R150)/SUM($E$154:R154),"")</f>
        <v/>
      </c>
      <c r="S153" s="53">
        <f>IFERROR(SUM($E$150:S150)/SUM($E$154:S154),"")</f>
        <v/>
      </c>
      <c r="T153" s="53">
        <f>IFERROR(SUM($E$150:T150)/SUM($E$154:T154),"")</f>
        <v/>
      </c>
      <c r="U153" s="53">
        <f>IFERROR(SUM($E$150:U150)/SUM($E$154:U154),"")</f>
        <v/>
      </c>
      <c r="V153" s="53">
        <f>IFERROR(SUM($E$150:V150)/SUM($E$154:V154),"")</f>
        <v/>
      </c>
      <c r="W153" s="53">
        <f>IFERROR(SUM($E$150:W150)/SUM($E$154:W154),"")</f>
        <v/>
      </c>
      <c r="X153" s="53">
        <f>IFERROR(SUM($E$150:X150)/SUM($E$154:X154),"")</f>
        <v/>
      </c>
      <c r="Y153" s="53">
        <f>IFERROR(SUM($E$150:Y150)/SUM($E$154:Y154),"")</f>
        <v/>
      </c>
      <c r="Z153" s="53">
        <f>IFERROR(SUM($E$150:Z150)/SUM($E$154:Z154),"")</f>
        <v/>
      </c>
      <c r="AA153" s="53">
        <f>IFERROR(SUM($E$150:AA150)/SUM($E$154:AA154),"")</f>
        <v/>
      </c>
      <c r="AB153" s="53">
        <f>IFERROR(SUM($E$150:AB150)/SUM($E$154:AB154),"")</f>
        <v/>
      </c>
      <c r="AC153" s="53">
        <f>IFERROR(SUM($E$150:AC150)/SUM($E$154:AC154),"")</f>
        <v/>
      </c>
      <c r="AD153" s="53">
        <f>IFERROR(SUM($E$150:AD150)/SUM($E$154:AD154),"")</f>
        <v/>
      </c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</row>
    <row r="154" ht="15.75" customFormat="1" customHeight="1" s="9">
      <c r="B154" s="9" t="inlineStr">
        <is>
          <t>Target</t>
        </is>
      </c>
      <c r="D154" s="10" t="inlineStr">
        <is>
          <t>$k</t>
        </is>
      </c>
      <c r="E154" s="54" t="n">
        <v>41.219788528</v>
      </c>
      <c r="F154" s="54" t="n">
        <v>72.134629924</v>
      </c>
      <c r="G154" s="54" t="n">
        <v>72.134629924</v>
      </c>
      <c r="H154" s="54" t="n">
        <v>72.134629924</v>
      </c>
      <c r="I154" s="54" t="n">
        <v>75.09150526799999</v>
      </c>
      <c r="J154" s="54" t="n">
        <v>92.8335</v>
      </c>
      <c r="K154" s="54" t="n">
        <v>92.8335</v>
      </c>
      <c r="L154" s="54" t="n">
        <v>92.8335</v>
      </c>
      <c r="M154" s="54" t="n">
        <v>88.96398132</v>
      </c>
      <c r="N154" s="54" t="n">
        <v>65.74612657200001</v>
      </c>
      <c r="O154" s="54" t="n">
        <v>65.74612657200001</v>
      </c>
      <c r="P154" s="54" t="n">
        <v>65.74612657200001</v>
      </c>
      <c r="Q154" s="54" t="n">
        <v>65.74612657200001</v>
      </c>
      <c r="R154" s="54" t="n">
        <v>69.526709076</v>
      </c>
      <c r="S154" s="54" t="n">
        <v>71.03869851600001</v>
      </c>
      <c r="T154" s="54" t="n">
        <v>71.03869851600001</v>
      </c>
      <c r="U154" s="54" t="n">
        <v>71.03869851600001</v>
      </c>
      <c r="V154" s="54" t="n">
        <v>77.047780446</v>
      </c>
      <c r="W154" s="54" t="n">
        <v>85.05999116999999</v>
      </c>
      <c r="X154" s="54" t="n">
        <v>85.05999116999999</v>
      </c>
      <c r="Y154" s="54" t="n">
        <v>85.05999116999999</v>
      </c>
      <c r="Z154" s="54" t="n">
        <v>85.05999116999999</v>
      </c>
      <c r="AA154" s="54" t="n">
        <v>84.886778733</v>
      </c>
      <c r="AB154" s="54" t="n">
        <v>84.886778733</v>
      </c>
      <c r="AC154" s="54" t="n">
        <v>84.886778733</v>
      </c>
      <c r="AD154" s="54" t="n">
        <v>84.886778733</v>
      </c>
      <c r="AE154" s="54" t="n">
        <v>78.711476867</v>
      </c>
      <c r="AF154" s="54" t="n">
        <v>76.24113783999999</v>
      </c>
      <c r="AG154" s="54" t="n">
        <v>76.24113783999999</v>
      </c>
      <c r="AH154" s="54" t="n">
        <v>76.24113783999999</v>
      </c>
      <c r="AI154" s="54" t="n">
        <v>77.107523204</v>
      </c>
      <c r="AJ154" s="54" t="n">
        <v>79.27348661400001</v>
      </c>
      <c r="AK154" s="54" t="n">
        <v>79.27348661400001</v>
      </c>
      <c r="AL154" s="54" t="n">
        <v>79.27348661400001</v>
      </c>
      <c r="AM154" s="54" t="n">
        <v>79.27348661400001</v>
      </c>
      <c r="AN154" s="54" t="n">
        <v>81.828183802</v>
      </c>
      <c r="AO154" s="54" t="n">
        <v>82.25384916100001</v>
      </c>
      <c r="AP154" s="54" t="n">
        <v>82.25384916100001</v>
      </c>
      <c r="AQ154" s="54" t="n">
        <v>82.25384916100001</v>
      </c>
      <c r="AR154" s="54" t="n">
        <v>89.67610728</v>
      </c>
      <c r="AS154" s="54" t="n">
        <v>95.24271274</v>
      </c>
      <c r="AT154" s="54" t="n">
        <v>95.24271274</v>
      </c>
      <c r="AU154" s="54" t="n">
        <v>95.24271274</v>
      </c>
      <c r="AV154" s="54" t="n">
        <v>116.002767255</v>
      </c>
      <c r="AW154" s="54" t="n">
        <v>240.565156335</v>
      </c>
      <c r="AX154" s="54" t="n">
        <v>240.565156335</v>
      </c>
      <c r="AY154" s="54" t="n">
        <v>240.565156335</v>
      </c>
      <c r="AZ154" s="54" t="n">
        <v>240.565156335</v>
      </c>
      <c r="BA154" s="54" t="n">
        <v>93.056297019</v>
      </c>
      <c r="BB154" s="54" t="n">
        <v>68.471830798</v>
      </c>
      <c r="BC154" s="54" t="n">
        <v>68.471830798</v>
      </c>
      <c r="BD154" s="54" t="n">
        <v>68.471830798</v>
      </c>
      <c r="BE154" s="54" t="n">
        <v>39.12676045600001</v>
      </c>
    </row>
    <row r="155" ht="15.75" customHeight="1"/>
    <row r="156" ht="15.75" customHeight="1">
      <c r="A156" s="1" t="inlineStr">
        <is>
          <t xml:space="preserve">Sell-through units </t>
        </is>
      </c>
      <c r="D156" s="24" t="inlineStr">
        <is>
          <t>#</t>
        </is>
      </c>
      <c r="E156" s="52" t="n">
        <v>1183</v>
      </c>
      <c r="F156" s="52" t="n">
        <v>941</v>
      </c>
      <c r="G156" s="52" t="n">
        <v>1082</v>
      </c>
      <c r="H156" s="52" t="n">
        <v>924</v>
      </c>
      <c r="I156" s="52" t="n">
        <v>828</v>
      </c>
      <c r="J156" s="52" t="n">
        <v>946</v>
      </c>
      <c r="K156" s="52" t="n">
        <v>1005</v>
      </c>
      <c r="L156" s="52" t="n">
        <v>1083</v>
      </c>
      <c r="M156" s="52" t="n">
        <v>1343</v>
      </c>
      <c r="N156" s="52" t="n">
        <v>1605</v>
      </c>
      <c r="O156" s="52" t="n">
        <v>1505</v>
      </c>
      <c r="P156" s="52" t="n">
        <v>1481</v>
      </c>
      <c r="Q156" s="52" t="n">
        <v>1379</v>
      </c>
      <c r="R156" s="52" t="n">
        <v>1296</v>
      </c>
      <c r="S156" s="52" t="n">
        <v>1032</v>
      </c>
      <c r="T156" s="52" t="n">
        <v>1062</v>
      </c>
      <c r="U156" s="52" t="n">
        <v>899</v>
      </c>
      <c r="V156" s="52" t="n">
        <v>1103</v>
      </c>
      <c r="W156" s="52" t="n">
        <v>1160</v>
      </c>
      <c r="X156" s="52" t="n">
        <v>970</v>
      </c>
      <c r="Y156" s="52" t="n">
        <v>1093</v>
      </c>
      <c r="Z156" s="52" t="n">
        <v>1082</v>
      </c>
      <c r="AA156" s="52" t="n">
        <v>1088</v>
      </c>
      <c r="AB156" s="52" t="n">
        <v>942</v>
      </c>
      <c r="AC156" s="52" t="n">
        <v>995</v>
      </c>
      <c r="AD156" s="52" t="n">
        <v>1901</v>
      </c>
      <c r="AE156" s="52" t="n"/>
      <c r="AF156" s="52" t="n"/>
      <c r="AG156" s="52" t="n"/>
      <c r="AH156" s="52" t="n"/>
      <c r="AI156" s="52" t="n"/>
      <c r="AJ156" s="52" t="n"/>
      <c r="AK156" s="52" t="n"/>
      <c r="AL156" s="52" t="n"/>
      <c r="AM156" s="52" t="n"/>
      <c r="AN156" s="52" t="n"/>
      <c r="AO156" s="52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  <c r="BB156" s="52" t="n"/>
      <c r="BC156" s="52" t="n"/>
      <c r="BD156" s="52" t="n"/>
      <c r="BE156" s="52" t="n"/>
    </row>
    <row r="157" ht="15.75" customFormat="1" customHeight="1" s="4">
      <c r="A157" s="3" t="n"/>
      <c r="B157" s="4" t="inlineStr">
        <is>
          <t>% of Total - YTD</t>
        </is>
      </c>
      <c r="D157" s="33" t="inlineStr">
        <is>
          <t>%</t>
        </is>
      </c>
      <c r="E157" s="57">
        <f>IFERROR(SUM($E$156:E156)/SUM($E$4:E4),"")</f>
        <v/>
      </c>
      <c r="F157" s="57">
        <f>IFERROR(SUM($E$156:F156)/SUM($E$4:F4),"")</f>
        <v/>
      </c>
      <c r="G157" s="57">
        <f>IFERROR(SUM($E$156:G156)/SUM($E$4:G4),"")</f>
        <v/>
      </c>
      <c r="H157" s="57">
        <f>IFERROR(SUM($E$156:H156)/SUM($E$4:H4),"")</f>
        <v/>
      </c>
      <c r="I157" s="57">
        <f>IFERROR(SUM($E$156:I156)/SUM($E$4:I4),"")</f>
        <v/>
      </c>
      <c r="J157" s="57">
        <f>IFERROR(SUM($E$156:J156)/SUM($E$4:J4),"")</f>
        <v/>
      </c>
      <c r="K157" s="57">
        <f>IFERROR(SUM($E$156:K156)/SUM($E$4:K4),"")</f>
        <v/>
      </c>
      <c r="L157" s="57">
        <f>IFERROR(SUM($E$156:L156)/SUM($E$4:L4),"")</f>
        <v/>
      </c>
      <c r="M157" s="57">
        <f>IFERROR(SUM($E$156:M156)/SUM($E$4:M4),"")</f>
        <v/>
      </c>
      <c r="N157" s="57">
        <f>IFERROR(SUM($E$156:N156)/SUM($E$4:N4),"")</f>
        <v/>
      </c>
      <c r="O157" s="57">
        <f>IFERROR(SUM($E$156:O156)/SUM($E$4:O4),"")</f>
        <v/>
      </c>
      <c r="P157" s="57">
        <f>IFERROR(SUM($E$156:P156)/SUM($E$4:P4),"")</f>
        <v/>
      </c>
      <c r="Q157" s="57">
        <f>IFERROR(SUM($E$156:Q156)/SUM($E$4:Q4),"")</f>
        <v/>
      </c>
      <c r="R157" s="57">
        <f>IFERROR(SUM($E$156:R156)/SUM($E$4:R4),"")</f>
        <v/>
      </c>
      <c r="S157" s="57">
        <f>IFERROR(SUM($E$156:S156)/SUM($E$4:S4),"")</f>
        <v/>
      </c>
      <c r="T157" s="57">
        <f>IFERROR(SUM($E$156:T156)/SUM($E$4:T4),"")</f>
        <v/>
      </c>
      <c r="U157" s="57">
        <f>IFERROR(SUM($E$156:U156)/SUM($E$4:U4),"")</f>
        <v/>
      </c>
      <c r="V157" s="57">
        <f>IFERROR(SUM($E$156:V156)/SUM($E$4:V4),"")</f>
        <v/>
      </c>
      <c r="W157" s="57">
        <f>IFERROR(SUM($E$156:W156)/SUM($E$4:W4),"")</f>
        <v/>
      </c>
      <c r="X157" s="57">
        <f>IFERROR(SUM($E$156:X156)/SUM($E$4:X4),"")</f>
        <v/>
      </c>
      <c r="Y157" s="57">
        <f>IFERROR(SUM($E$156:Y156)/SUM($E$4:Y4),"")</f>
        <v/>
      </c>
      <c r="Z157" s="57">
        <f>IFERROR(SUM($E$156:Z156)/SUM($E$4:Z4),"")</f>
        <v/>
      </c>
      <c r="AA157" s="57">
        <f>IFERROR(SUM($E$156:AA156)/SUM($E$4:AA4),"")</f>
        <v/>
      </c>
      <c r="AB157" s="57">
        <f>IFERROR(SUM($E$156:AB156)/SUM($E$4:AB4),"")</f>
        <v/>
      </c>
      <c r="AC157" s="57">
        <f>IFERROR(SUM($E$156:AC156)/SUM($E$4:AC4),"")</f>
        <v/>
      </c>
      <c r="AD157" s="57">
        <f>IFERROR(SUM($E$156:AD156)/SUM($E$4:AD4),"")</f>
        <v/>
      </c>
      <c r="AE157" s="57" t="n"/>
      <c r="AF157" s="57" t="n"/>
      <c r="AG157" s="57" t="n"/>
      <c r="AH157" s="57" t="n"/>
      <c r="AI157" s="57" t="n"/>
      <c r="AJ157" s="57" t="n"/>
      <c r="AK157" s="57" t="n"/>
      <c r="AL157" s="57" t="n"/>
      <c r="AM157" s="57" t="n"/>
      <c r="AN157" s="57" t="n"/>
      <c r="AO157" s="57" t="n"/>
      <c r="AP157" s="57" t="n"/>
      <c r="AQ157" s="57" t="n"/>
      <c r="AR157" s="57" t="n"/>
      <c r="AS157" s="57" t="n"/>
      <c r="AT157" s="57" t="n"/>
      <c r="AU157" s="57" t="n"/>
      <c r="AV157" s="57" t="n"/>
      <c r="AW157" s="57" t="n"/>
      <c r="AX157" s="57" t="n"/>
      <c r="AY157" s="57" t="n"/>
      <c r="AZ157" s="57" t="n"/>
      <c r="BA157" s="57" t="n"/>
      <c r="BB157" s="57" t="n"/>
      <c r="BC157" s="57" t="n"/>
      <c r="BD157" s="57" t="n"/>
      <c r="BE157" s="57" t="n"/>
    </row>
    <row r="158" ht="15.75" customFormat="1" customHeight="1" s="16">
      <c r="A158" s="15" t="n"/>
      <c r="B158" s="16" t="inlineStr">
        <is>
          <t>% of Target</t>
        </is>
      </c>
      <c r="D158" s="17" t="inlineStr">
        <is>
          <t>%</t>
        </is>
      </c>
      <c r="E158" s="53">
        <f>IFERROR(E156/E160,"")</f>
        <v/>
      </c>
      <c r="F158" s="53">
        <f>IFERROR(F156/F160,"")</f>
        <v/>
      </c>
      <c r="G158" s="53">
        <f>IFERROR(G156/G160,"")</f>
        <v/>
      </c>
      <c r="H158" s="53">
        <f>IFERROR(H156/H160,"")</f>
        <v/>
      </c>
      <c r="I158" s="53">
        <f>IFERROR(I156/I160,"")</f>
        <v/>
      </c>
      <c r="J158" s="53">
        <f>IFERROR(J156/J160,"")</f>
        <v/>
      </c>
      <c r="K158" s="53">
        <f>IFERROR(K156/K160,"")</f>
        <v/>
      </c>
      <c r="L158" s="53">
        <f>IFERROR(L156/L160,"")</f>
        <v/>
      </c>
      <c r="M158" s="53">
        <f>IFERROR(M156/M160,"")</f>
        <v/>
      </c>
      <c r="N158" s="53">
        <f>IFERROR(N156/N160,"")</f>
        <v/>
      </c>
      <c r="O158" s="53">
        <f>IFERROR(O156/O160,"")</f>
        <v/>
      </c>
      <c r="P158" s="53">
        <f>IFERROR(P156/P160,"")</f>
        <v/>
      </c>
      <c r="Q158" s="53">
        <f>IFERROR(Q156/Q160,"")</f>
        <v/>
      </c>
      <c r="R158" s="53">
        <f>IFERROR(R156/R160,"")</f>
        <v/>
      </c>
      <c r="S158" s="53">
        <f>IFERROR(S156/S160,"")</f>
        <v/>
      </c>
      <c r="T158" s="53">
        <f>IFERROR(T156/T160,"")</f>
        <v/>
      </c>
      <c r="U158" s="53">
        <f>IFERROR(U156/U160,"")</f>
        <v/>
      </c>
      <c r="V158" s="53">
        <f>IFERROR(V156/V160,"")</f>
        <v/>
      </c>
      <c r="W158" s="53">
        <f>IFERROR(W156/W160,"")</f>
        <v/>
      </c>
      <c r="X158" s="53">
        <f>IFERROR(X156/X160,"")</f>
        <v/>
      </c>
      <c r="Y158" s="53">
        <f>IFERROR(Y156/Y160,"")</f>
        <v/>
      </c>
      <c r="Z158" s="53">
        <f>IFERROR(Z156/Z160,"")</f>
        <v/>
      </c>
      <c r="AA158" s="53">
        <f>IFERROR(AA156/AA160,"")</f>
        <v/>
      </c>
      <c r="AB158" s="53">
        <f>IFERROR(AB156/AB160,"")</f>
        <v/>
      </c>
      <c r="AC158" s="53">
        <f>IFERROR(AC156/AC160,"")</f>
        <v/>
      </c>
      <c r="AD158" s="53">
        <f>IFERROR(AD156/AD160,"")</f>
        <v/>
      </c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</row>
    <row r="159" ht="15.75" customFormat="1" customHeight="1" s="16">
      <c r="A159" s="15" t="n"/>
      <c r="B159" s="7" t="inlineStr">
        <is>
          <t>% of Target - YTD</t>
        </is>
      </c>
      <c r="D159" s="17" t="inlineStr">
        <is>
          <t>%</t>
        </is>
      </c>
      <c r="E159" s="53">
        <f>IFERROR(SUM($E$156:E156)/SUM($E$160:E160),"")</f>
        <v/>
      </c>
      <c r="F159" s="53">
        <f>IFERROR(SUM($E$156:F156)/SUM($E$160:F160),"")</f>
        <v/>
      </c>
      <c r="G159" s="53">
        <f>IFERROR(SUM($E$156:G156)/SUM($E$160:G160),"")</f>
        <v/>
      </c>
      <c r="H159" s="53">
        <f>IFERROR(SUM($E$156:H156)/SUM($E$160:H160),"")</f>
        <v/>
      </c>
      <c r="I159" s="53">
        <f>IFERROR(SUM($E$156:I156)/SUM($E$160:I160),"")</f>
        <v/>
      </c>
      <c r="J159" s="53">
        <f>IFERROR(SUM($E$156:J156)/SUM($E$160:J160),"")</f>
        <v/>
      </c>
      <c r="K159" s="53">
        <f>IFERROR(SUM($E$156:K156)/SUM($E$160:K160),"")</f>
        <v/>
      </c>
      <c r="L159" s="53">
        <f>IFERROR(SUM($E$156:L156)/SUM($E$160:L160),"")</f>
        <v/>
      </c>
      <c r="M159" s="53">
        <f>IFERROR(SUM($E$156:M156)/SUM($E$160:M160),"")</f>
        <v/>
      </c>
      <c r="N159" s="53">
        <f>IFERROR(SUM($E$156:N156)/SUM($E$160:N160),"")</f>
        <v/>
      </c>
      <c r="O159" s="53">
        <f>IFERROR(SUM($E$156:O156)/SUM($E$160:O160),"")</f>
        <v/>
      </c>
      <c r="P159" s="53">
        <f>IFERROR(SUM($E$156:P156)/SUM($E$160:P160),"")</f>
        <v/>
      </c>
      <c r="Q159" s="53">
        <f>IFERROR(SUM($E$156:Q156)/SUM($E$160:Q160),"")</f>
        <v/>
      </c>
      <c r="R159" s="53">
        <f>IFERROR(SUM($E$156:R156)/SUM($E$160:R160),"")</f>
        <v/>
      </c>
      <c r="S159" s="53">
        <f>IFERROR(SUM($E$156:S156)/SUM($E$160:S160),"")</f>
        <v/>
      </c>
      <c r="T159" s="53">
        <f>IFERROR(SUM($E$156:T156)/SUM($E$160:T160),"")</f>
        <v/>
      </c>
      <c r="U159" s="53">
        <f>IFERROR(SUM($E$156:U156)/SUM($E$160:U160),"")</f>
        <v/>
      </c>
      <c r="V159" s="53">
        <f>IFERROR(SUM($E$156:V156)/SUM($E$160:V160),"")</f>
        <v/>
      </c>
      <c r="W159" s="53">
        <f>IFERROR(SUM($E$156:W156)/SUM($E$160:W160),"")</f>
        <v/>
      </c>
      <c r="X159" s="53">
        <f>IFERROR(SUM($E$156:X156)/SUM($E$160:X160),"")</f>
        <v/>
      </c>
      <c r="Y159" s="53">
        <f>IFERROR(SUM($E$156:Y156)/SUM($E$160:Y160),"")</f>
        <v/>
      </c>
      <c r="Z159" s="53">
        <f>IFERROR(SUM($E$156:Z156)/SUM($E$160:Z160),"")</f>
        <v/>
      </c>
      <c r="AA159" s="53">
        <f>IFERROR(SUM($E$156:AA156)/SUM($E$160:AA160),"")</f>
        <v/>
      </c>
      <c r="AB159" s="53">
        <f>IFERROR(SUM($E$156:AB156)/SUM($E$160:AB160),"")</f>
        <v/>
      </c>
      <c r="AC159" s="53">
        <f>IFERROR(SUM($E$156:AC156)/SUM($E$160:AC160),"")</f>
        <v/>
      </c>
      <c r="AD159" s="53">
        <f>IFERROR(SUM($E$156:AD156)/SUM($E$160:AD160),"")</f>
        <v/>
      </c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</row>
    <row r="160" ht="15.75" customFormat="1" customHeight="1" s="13">
      <c r="A160" s="12" t="n"/>
      <c r="B160" s="13" t="inlineStr">
        <is>
          <t>Target</t>
        </is>
      </c>
      <c r="D160" s="14" t="inlineStr">
        <is>
          <t>#</t>
        </is>
      </c>
      <c r="E160" s="54" t="n">
        <v>1183</v>
      </c>
      <c r="F160" s="54" t="n">
        <v>1085</v>
      </c>
      <c r="G160" s="54" t="n">
        <v>1056</v>
      </c>
      <c r="H160" s="54" t="n">
        <v>1056</v>
      </c>
      <c r="I160" s="54" t="n">
        <v>1033</v>
      </c>
      <c r="J160" s="54" t="n">
        <v>1935</v>
      </c>
      <c r="K160" s="54" t="n">
        <v>1162</v>
      </c>
      <c r="L160" s="54" t="n">
        <v>1248</v>
      </c>
      <c r="M160" s="54" t="n">
        <v>1452</v>
      </c>
      <c r="N160" s="54" t="n">
        <v>1133</v>
      </c>
      <c r="O160" s="54" t="n">
        <v>1056</v>
      </c>
      <c r="P160" s="54" t="n">
        <v>1083</v>
      </c>
      <c r="Q160" s="54" t="n">
        <v>975</v>
      </c>
      <c r="R160" s="54" t="n">
        <v>652</v>
      </c>
      <c r="S160" s="54" t="n">
        <v>1033</v>
      </c>
      <c r="T160" s="54" t="n">
        <v>1232</v>
      </c>
      <c r="U160" s="54" t="n">
        <v>1194</v>
      </c>
      <c r="V160" s="54" t="n">
        <v>1194</v>
      </c>
      <c r="W160" s="54" t="n">
        <v>1209</v>
      </c>
      <c r="X160" s="54" t="n">
        <v>1208</v>
      </c>
      <c r="Y160" s="54" t="n">
        <v>1561</v>
      </c>
      <c r="Z160" s="54" t="n">
        <v>1209</v>
      </c>
      <c r="AA160" s="54" t="n">
        <v>1526</v>
      </c>
      <c r="AB160" s="54" t="n">
        <v>1668</v>
      </c>
      <c r="AC160" s="54" t="n">
        <v>1308</v>
      </c>
      <c r="AD160" s="54" t="n">
        <v>1208</v>
      </c>
      <c r="AE160" s="54" t="n">
        <v>1208</v>
      </c>
      <c r="AF160" s="54" t="n">
        <v>1208</v>
      </c>
      <c r="AG160" s="54" t="n">
        <v>1208</v>
      </c>
      <c r="AH160" s="54" t="n">
        <v>1207</v>
      </c>
      <c r="AI160" s="54" t="n">
        <v>1208</v>
      </c>
      <c r="AJ160" s="54" t="n">
        <v>1436</v>
      </c>
      <c r="AK160" s="54" t="n">
        <v>1330</v>
      </c>
      <c r="AL160" s="54" t="n">
        <v>1194</v>
      </c>
      <c r="AM160" s="54" t="n">
        <v>1115</v>
      </c>
      <c r="AN160" s="54" t="n">
        <v>1140</v>
      </c>
      <c r="AO160" s="54" t="n">
        <v>1650</v>
      </c>
      <c r="AP160" s="54" t="n">
        <v>1287</v>
      </c>
      <c r="AQ160" s="54" t="n">
        <v>1243</v>
      </c>
      <c r="AR160" s="54" t="n">
        <v>1256</v>
      </c>
      <c r="AS160" s="54" t="n">
        <v>1290</v>
      </c>
      <c r="AT160" s="54" t="n">
        <v>1308</v>
      </c>
      <c r="AU160" s="54" t="n">
        <v>1147</v>
      </c>
      <c r="AV160" s="54" t="n">
        <v>1987</v>
      </c>
      <c r="AW160" s="54" t="n">
        <v>2253</v>
      </c>
      <c r="AX160" s="54" t="n">
        <v>1755</v>
      </c>
      <c r="AY160" s="54" t="n">
        <v>1365</v>
      </c>
      <c r="AZ160" s="54" t="n">
        <v>16621</v>
      </c>
      <c r="BA160" s="54" t="n">
        <v>1312</v>
      </c>
      <c r="BB160" s="54" t="n">
        <v>1309</v>
      </c>
      <c r="BC160" s="54" t="n">
        <v>1307</v>
      </c>
      <c r="BD160" s="54" t="n">
        <v>824</v>
      </c>
      <c r="BE160" s="54" t="n"/>
    </row>
    <row r="161" ht="15.75" customHeight="1">
      <c r="C161" s="11" t="inlineStr">
        <is>
          <t xml:space="preserve">Cam </t>
        </is>
      </c>
      <c r="D161" s="6" t="inlineStr">
        <is>
          <t>#</t>
        </is>
      </c>
      <c r="E161" s="51" t="n">
        <v>1053</v>
      </c>
      <c r="F161" s="51" t="n">
        <v>849</v>
      </c>
      <c r="G161" s="51" t="n">
        <v>960</v>
      </c>
      <c r="H161" s="51" t="n">
        <v>858</v>
      </c>
      <c r="I161" s="51" t="n">
        <v>745</v>
      </c>
      <c r="J161" s="51" t="n">
        <v>859</v>
      </c>
      <c r="K161" s="51" t="n">
        <v>894</v>
      </c>
      <c r="L161" s="51" t="n">
        <v>979</v>
      </c>
      <c r="M161" s="51" t="n">
        <v>1206</v>
      </c>
      <c r="N161" s="51" t="n">
        <v>1434</v>
      </c>
      <c r="O161" s="51" t="n">
        <v>1305</v>
      </c>
      <c r="P161" s="51" t="n">
        <v>1313</v>
      </c>
      <c r="Q161" s="51" t="n">
        <v>1278</v>
      </c>
      <c r="R161" s="51" t="n">
        <v>1210</v>
      </c>
      <c r="S161" s="51" t="n">
        <v>988</v>
      </c>
      <c r="T161" s="51" t="n">
        <v>1002</v>
      </c>
      <c r="U161" s="51" t="n">
        <v>839</v>
      </c>
      <c r="V161" s="51" t="n">
        <v>1032</v>
      </c>
      <c r="W161" s="51" t="n">
        <v>1085</v>
      </c>
      <c r="X161" s="51" t="n">
        <v>906</v>
      </c>
      <c r="Y161" s="51" t="n">
        <v>1017</v>
      </c>
      <c r="Z161" s="51" t="n">
        <v>1001</v>
      </c>
      <c r="AA161" s="51" t="n">
        <v>989</v>
      </c>
      <c r="AB161" s="51" t="n">
        <v>882</v>
      </c>
      <c r="AC161" s="51" t="n">
        <v>935</v>
      </c>
      <c r="AD161" s="51" t="n">
        <v>1676</v>
      </c>
      <c r="AE161" s="51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  <c r="BE161" s="51" t="n"/>
    </row>
    <row r="162" ht="15.75" customHeight="1">
      <c r="C162" s="11" t="inlineStr">
        <is>
          <t>Non Cam</t>
        </is>
      </c>
      <c r="D162" s="6" t="inlineStr">
        <is>
          <t>#</t>
        </is>
      </c>
      <c r="E162" s="51" t="n">
        <v>130</v>
      </c>
      <c r="F162" s="51" t="n">
        <v>92</v>
      </c>
      <c r="G162" s="51" t="n">
        <v>122</v>
      </c>
      <c r="H162" s="51" t="n">
        <v>66</v>
      </c>
      <c r="I162" s="51" t="n">
        <v>83</v>
      </c>
      <c r="J162" s="51" t="n">
        <v>87</v>
      </c>
      <c r="K162" s="51" t="n">
        <v>111</v>
      </c>
      <c r="L162" s="51" t="n">
        <v>104</v>
      </c>
      <c r="M162" s="51" t="n">
        <v>137</v>
      </c>
      <c r="N162" s="51" t="n">
        <v>171</v>
      </c>
      <c r="O162" s="51" t="n">
        <v>200</v>
      </c>
      <c r="P162" s="51" t="n">
        <v>168</v>
      </c>
      <c r="Q162" s="51" t="n">
        <v>101</v>
      </c>
      <c r="R162" s="51" t="n">
        <v>86</v>
      </c>
      <c r="S162" s="51" t="n">
        <v>44</v>
      </c>
      <c r="T162" s="51" t="n">
        <v>60</v>
      </c>
      <c r="U162" s="51" t="n">
        <v>60</v>
      </c>
      <c r="V162" s="51" t="n">
        <v>71</v>
      </c>
      <c r="W162" s="51" t="n">
        <v>75</v>
      </c>
      <c r="X162" s="51" t="n">
        <v>64</v>
      </c>
      <c r="Y162" s="51" t="n">
        <v>76</v>
      </c>
      <c r="Z162" s="51" t="n">
        <v>81</v>
      </c>
      <c r="AA162" s="51" t="n">
        <v>99</v>
      </c>
      <c r="AB162" s="51" t="n">
        <v>60</v>
      </c>
      <c r="AC162" s="51" t="n">
        <v>60</v>
      </c>
      <c r="AD162" s="51" t="n">
        <v>225</v>
      </c>
      <c r="AE162" s="51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  <c r="BE162" s="51" t="n"/>
    </row>
    <row r="163" ht="15.75" customHeight="1">
      <c r="C163" s="6" t="n"/>
    </row>
    <row r="164" ht="15.75" customFormat="1" customHeight="1" s="1">
      <c r="A164" s="1" t="inlineStr">
        <is>
          <t xml:space="preserve">Promo </t>
        </is>
      </c>
      <c r="B164" s="1" t="inlineStr">
        <is>
          <t>Real-time tracking</t>
        </is>
      </c>
      <c r="D164" s="24" t="inlineStr">
        <is>
          <t>$k</t>
        </is>
      </c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>
        <v>2.57714</v>
      </c>
      <c r="R164" s="52" t="n">
        <v>0.9794299999999999</v>
      </c>
      <c r="S164" s="52" t="n">
        <v>1.91657</v>
      </c>
      <c r="T164" s="52" t="n">
        <v>2.78429</v>
      </c>
      <c r="U164" s="52" t="n">
        <v>0</v>
      </c>
      <c r="V164" s="52" t="n">
        <v>0.3</v>
      </c>
      <c r="W164" s="52" t="n">
        <v>0.17143</v>
      </c>
      <c r="X164" s="52" t="n">
        <v>0.15</v>
      </c>
      <c r="Y164" s="52" t="n">
        <v>2.365</v>
      </c>
      <c r="Z164" s="52" t="n">
        <v>1.44429</v>
      </c>
      <c r="AA164" s="52" t="n"/>
      <c r="AB164" s="52" t="n"/>
      <c r="AC164" s="52" t="n">
        <v>4.15457</v>
      </c>
      <c r="AD164" s="52" t="n">
        <v>4.977</v>
      </c>
      <c r="AE164" s="52" t="n"/>
      <c r="AF164" s="52" t="n"/>
      <c r="AG164" s="52" t="n"/>
      <c r="AH164" s="52" t="n"/>
      <c r="AI164" s="52" t="n"/>
      <c r="AJ164" s="52" t="n"/>
      <c r="AK164" s="52" t="n"/>
      <c r="AL164" s="52" t="n"/>
      <c r="AM164" s="52" t="n"/>
      <c r="AN164" s="52" t="n"/>
      <c r="AO164" s="52" t="n"/>
      <c r="AP164" s="52" t="n"/>
      <c r="AQ164" s="52" t="n"/>
      <c r="AR164" s="52" t="n"/>
      <c r="AS164" s="52" t="n"/>
      <c r="AT164" s="52" t="n"/>
      <c r="AU164" s="52" t="n"/>
      <c r="AV164" s="52" t="n"/>
      <c r="AW164" s="52" t="n"/>
      <c r="AX164" s="52" t="n"/>
      <c r="AY164" s="52" t="n"/>
      <c r="AZ164" s="52" t="n"/>
      <c r="BA164" s="52" t="n"/>
      <c r="BB164" s="52" t="n"/>
      <c r="BC164" s="52" t="n"/>
      <c r="BD164" s="52" t="n"/>
      <c r="BE164" s="52" t="n"/>
    </row>
    <row r="165" ht="15.75" customFormat="1" customHeight="1" s="1">
      <c r="B165" s="1" t="inlineStr">
        <is>
          <t>Finance Actuals (Monthly)</t>
        </is>
      </c>
      <c r="D165" s="24" t="inlineStr">
        <is>
          <t>$k</t>
        </is>
      </c>
      <c r="E165" s="52" t="n"/>
      <c r="F165" s="52" t="n"/>
      <c r="G165" s="52" t="n"/>
      <c r="H165" s="52" t="n">
        <v>0.1392</v>
      </c>
      <c r="I165" s="52" t="n"/>
      <c r="J165" s="52" t="n"/>
      <c r="K165" s="52" t="n"/>
      <c r="L165" s="52" t="n">
        <v>0.28357</v>
      </c>
      <c r="M165" s="52" t="n"/>
      <c r="N165" s="52" t="n"/>
      <c r="O165" s="52" t="n"/>
      <c r="P165" s="52" t="n"/>
      <c r="Q165" s="52" t="n">
        <v>28.59598</v>
      </c>
      <c r="R165" s="52" t="n"/>
      <c r="S165" s="52" t="n"/>
      <c r="T165" s="52" t="n"/>
      <c r="U165" s="52" t="n">
        <v>5.506729999999999</v>
      </c>
      <c r="V165" s="52" t="n"/>
      <c r="W165" s="52" t="n"/>
      <c r="X165" s="52" t="n"/>
      <c r="Y165" s="52" t="n"/>
      <c r="Z165" s="52" t="n">
        <v>9.53669</v>
      </c>
      <c r="AA165" s="52" t="n"/>
      <c r="AB165" s="52" t="n"/>
      <c r="AC165" s="52" t="n"/>
      <c r="AD165" s="52" t="n"/>
      <c r="AE165" s="52" t="n"/>
      <c r="AF165" s="52" t="n"/>
      <c r="AG165" s="52" t="n"/>
      <c r="AH165" s="52" t="n"/>
      <c r="AI165" s="52" t="n"/>
      <c r="AJ165" s="52" t="n"/>
      <c r="AK165" s="52" t="n"/>
      <c r="AL165" s="52" t="n"/>
      <c r="AM165" s="52" t="n"/>
      <c r="AN165" s="52" t="n"/>
      <c r="AO165" s="52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  <c r="BB165" s="52" t="n"/>
      <c r="BC165" s="52" t="n"/>
      <c r="BD165" s="52" t="n"/>
      <c r="BE165" s="52" t="n"/>
    </row>
    <row r="166" ht="15.75" customFormat="1" customHeight="1" s="9">
      <c r="B166" s="9" t="inlineStr">
        <is>
          <t>Budgeted (Monthly)</t>
        </is>
      </c>
      <c r="D166" s="10" t="inlineStr">
        <is>
          <t>$k</t>
        </is>
      </c>
      <c r="E166" s="54" t="n"/>
      <c r="F166" s="54" t="n"/>
      <c r="G166" s="54" t="n"/>
      <c r="H166" s="54" t="n">
        <v>0</v>
      </c>
      <c r="I166" s="54" t="n"/>
      <c r="J166" s="54" t="n"/>
      <c r="K166" s="54" t="n"/>
      <c r="L166" s="54" t="n">
        <v>0</v>
      </c>
      <c r="M166" s="54" t="n"/>
      <c r="N166" s="54" t="n"/>
      <c r="O166" s="54" t="n"/>
      <c r="P166" s="54" t="n"/>
      <c r="Q166" s="54" t="n">
        <v>5.535</v>
      </c>
      <c r="R166" s="54" t="n"/>
      <c r="S166" s="54" t="n"/>
      <c r="T166" s="54" t="n"/>
      <c r="U166" s="54" t="n">
        <v>6.835</v>
      </c>
      <c r="V166" s="54" t="n"/>
      <c r="W166" s="54" t="n"/>
      <c r="X166" s="54" t="n"/>
      <c r="Y166" s="54" t="n"/>
      <c r="Z166" s="54" t="n">
        <v>3.705</v>
      </c>
      <c r="AA166" s="54" t="n"/>
      <c r="AB166" s="54" t="n"/>
      <c r="AC166" s="54" t="n"/>
      <c r="AD166" s="54" t="n">
        <v>6.835</v>
      </c>
      <c r="AE166" s="54" t="n"/>
      <c r="AF166" s="54" t="n"/>
      <c r="AG166" s="54" t="n"/>
      <c r="AH166" s="54" t="n">
        <v>7.964285714285714</v>
      </c>
      <c r="AI166" s="54" t="n"/>
      <c r="AJ166" s="54" t="n"/>
      <c r="AK166" s="54" t="n"/>
      <c r="AL166" s="54" t="n"/>
      <c r="AM166" s="54" t="n">
        <v>0.7785714285714286</v>
      </c>
      <c r="AN166" s="54" t="n"/>
      <c r="AO166" s="54" t="n"/>
      <c r="AP166" s="54" t="n"/>
      <c r="AQ166" s="54" t="n">
        <v>3.707142857142857</v>
      </c>
      <c r="AR166" s="54" t="n"/>
      <c r="AS166" s="54" t="n"/>
      <c r="AT166" s="54" t="n"/>
      <c r="AU166" s="54" t="n">
        <v>7.885</v>
      </c>
      <c r="AV166" s="54" t="n"/>
      <c r="AW166" s="54" t="n"/>
      <c r="AX166" s="54" t="n"/>
      <c r="AY166" s="54" t="n"/>
      <c r="AZ166" s="54" t="n">
        <v>14.848</v>
      </c>
      <c r="BA166" s="54" t="n"/>
      <c r="BB166" s="54" t="n"/>
      <c r="BC166" s="54" t="n"/>
      <c r="BD166" s="54" t="n">
        <v>22.272</v>
      </c>
      <c r="BE166" s="54" t="n"/>
    </row>
    <row r="167" ht="15.75" customHeight="1">
      <c r="B167" s="7" t="inlineStr">
        <is>
          <t>As % of budget - this month</t>
        </is>
      </c>
      <c r="D167" s="17" t="inlineStr">
        <is>
          <t>%</t>
        </is>
      </c>
      <c r="E167" s="53" t="n"/>
      <c r="F167" s="53" t="n"/>
      <c r="G167" s="53" t="n"/>
      <c r="H167" s="53">
        <f>IFERROR(SUM(E165:H165)/H166,"")</f>
        <v/>
      </c>
      <c r="I167" s="53" t="n"/>
      <c r="J167" s="53" t="n"/>
      <c r="K167" s="53" t="n"/>
      <c r="L167" s="53">
        <f>IFERROR(SUM(I165:L165)/L166,"")</f>
        <v/>
      </c>
      <c r="M167" s="53" t="n"/>
      <c r="N167" s="53" t="n"/>
      <c r="O167" s="53" t="n"/>
      <c r="P167" s="53" t="n"/>
      <c r="Q167" s="53">
        <f>IFERROR(SUM(M165:Q165)/Q166,"")</f>
        <v/>
      </c>
      <c r="R167" s="53" t="n"/>
      <c r="S167" s="53" t="n"/>
      <c r="T167" s="53" t="n"/>
      <c r="U167" s="53">
        <f>IFERROR(SUM(R165:U165)/U166,"")</f>
        <v/>
      </c>
      <c r="V167" s="53" t="n"/>
      <c r="W167" s="53" t="n"/>
      <c r="X167" s="53" t="n"/>
      <c r="Y167" s="53" t="n"/>
      <c r="Z167" s="53">
        <f>IFERROR(SUM(V165:Z165)/Z166,"")</f>
        <v/>
      </c>
      <c r="AA167" s="53" t="n"/>
      <c r="AB167" s="53" t="n"/>
      <c r="AC167" s="53" t="n"/>
      <c r="AD167" s="53">
        <f>IFERROR(SUM(AA165:AD165)/AD166,"")</f>
        <v/>
      </c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</row>
    <row r="168" ht="15.75" customHeight="1">
      <c r="B168" s="7" t="inlineStr">
        <is>
          <t>As % of quarterly budget (QTD)</t>
        </is>
      </c>
      <c r="D168" s="17" t="inlineStr">
        <is>
          <t>%</t>
        </is>
      </c>
      <c r="E168" s="53" t="n"/>
      <c r="F168" s="53" t="n"/>
      <c r="G168" s="53" t="n"/>
      <c r="H168" s="53">
        <f>IFERROR(SUM(E165:H165)/(H166+L166+Q166),"")</f>
        <v/>
      </c>
      <c r="I168" s="53" t="n"/>
      <c r="J168" s="53" t="n"/>
      <c r="K168" s="53" t="n"/>
      <c r="L168" s="53">
        <f>IFERROR(SUM(E165:L165)/(H166+L166+Q166),"")</f>
        <v/>
      </c>
      <c r="M168" s="53" t="n"/>
      <c r="N168" s="53" t="n"/>
      <c r="O168" s="53" t="n"/>
      <c r="P168" s="53" t="n"/>
      <c r="Q168" s="53">
        <f>IFERROR(SUM(E165:Q165)/(H166+L166+Q166),"")</f>
        <v/>
      </c>
      <c r="R168" s="53" t="n"/>
      <c r="S168" s="53" t="n"/>
      <c r="T168" s="53" t="n"/>
      <c r="U168" s="53">
        <f>IFERROR(SUM(R165:U165)/(U166+Z166+AD166),"")</f>
        <v/>
      </c>
      <c r="V168" s="53" t="n"/>
      <c r="W168" s="53" t="n"/>
      <c r="X168" s="53" t="n"/>
      <c r="Y168" s="53" t="n"/>
      <c r="Z168" s="53">
        <f>IFERROR(SUM(R165:Z165)/(U166+Z166+AD166),"")</f>
        <v/>
      </c>
      <c r="AA168" s="53" t="n"/>
      <c r="AB168" s="53" t="n"/>
      <c r="AC168" s="53" t="n"/>
      <c r="AD168" s="53">
        <f>IFERROR(SUM(R165:AD165)/(U166+Z166+AD166),"")</f>
        <v/>
      </c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</row>
    <row r="169" ht="15.75" customHeight="1">
      <c r="B169" s="7" t="inlineStr">
        <is>
          <t>As % of annual budget (YTD)</t>
        </is>
      </c>
      <c r="D169" s="17" t="inlineStr">
        <is>
          <t>%</t>
        </is>
      </c>
      <c r="E169" s="53" t="n"/>
      <c r="F169" s="53" t="n"/>
      <c r="G169" s="53" t="n"/>
      <c r="H169" s="53">
        <f>IFERROR(SUM($E$165:H165)/SUM($E$166:BD166),"")</f>
        <v/>
      </c>
      <c r="I169" s="53" t="n"/>
      <c r="J169" s="53" t="n"/>
      <c r="K169" s="53" t="n"/>
      <c r="L169" s="53">
        <f>IFERROR(SUM($E$165:L165)/SUM($E$166:BD166),"")</f>
        <v/>
      </c>
      <c r="M169" s="53" t="n"/>
      <c r="N169" s="53" t="n"/>
      <c r="O169" s="53" t="n"/>
      <c r="P169" s="53" t="n"/>
      <c r="Q169" s="53">
        <f>IFERROR(SUM($E$165:Q165)/SUM($E$166:BD166),"")</f>
        <v/>
      </c>
      <c r="R169" s="53" t="n"/>
      <c r="S169" s="53" t="n"/>
      <c r="T169" s="53" t="n"/>
      <c r="U169" s="53">
        <f>IFERROR(SUM($E$165:U165)/SUM($E$166:BD166),"")</f>
        <v/>
      </c>
      <c r="V169" s="53" t="n"/>
      <c r="W169" s="53" t="n"/>
      <c r="X169" s="53" t="n"/>
      <c r="Y169" s="53" t="n"/>
      <c r="Z169" s="53">
        <f>IFERROR(SUM($E$165:Z165)/SUM($E$166:BD166),"")</f>
        <v/>
      </c>
      <c r="AA169" s="53" t="n"/>
      <c r="AB169" s="53" t="n"/>
      <c r="AC169" s="53" t="n"/>
      <c r="AD169" s="53">
        <f>IFERROR(SUM($E$165:AD165)/SUM($E$166:BD166),"")</f>
        <v/>
      </c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</row>
    <row r="170" ht="15.75" customHeight="1"/>
    <row r="171" ht="15.75" customFormat="1" customHeight="1" s="1">
      <c r="A171" s="1" t="inlineStr">
        <is>
          <t>Total Marketing</t>
        </is>
      </c>
      <c r="D171" s="24" t="inlineStr">
        <is>
          <t>$k</t>
        </is>
      </c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  <c r="AL171" s="52" t="n"/>
      <c r="AM171" s="52" t="n"/>
      <c r="AN171" s="52" t="n"/>
      <c r="AO171" s="52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  <c r="BB171" s="52" t="n"/>
      <c r="BC171" s="52" t="n"/>
      <c r="BD171" s="52" t="n"/>
      <c r="BE171" s="52" t="n"/>
    </row>
    <row r="172" ht="15.75" customFormat="1" customHeight="1" s="1">
      <c r="B172" s="1" t="inlineStr">
        <is>
          <t>Finance Actuals (Monthly)</t>
        </is>
      </c>
      <c r="D172" s="24" t="inlineStr">
        <is>
          <t>$k</t>
        </is>
      </c>
      <c r="E172" s="52" t="n"/>
      <c r="F172" s="52" t="n"/>
      <c r="G172" s="52" t="n"/>
      <c r="H172" s="52" t="n">
        <v>62.20287</v>
      </c>
      <c r="I172" s="52" t="n"/>
      <c r="J172" s="52" t="n"/>
      <c r="K172" s="52" t="n"/>
      <c r="L172" s="52" t="n">
        <v>34.08836</v>
      </c>
      <c r="M172" s="52" t="n"/>
      <c r="N172" s="52" t="n"/>
      <c r="O172" s="52" t="n"/>
      <c r="P172" s="52" t="n"/>
      <c r="Q172" s="52" t="n">
        <v>52.23806</v>
      </c>
      <c r="R172" s="52" t="n"/>
      <c r="S172" s="52" t="n"/>
      <c r="T172" s="52" t="n"/>
      <c r="U172" s="52" t="n">
        <v>0.89917</v>
      </c>
      <c r="V172" s="52" t="n"/>
      <c r="W172" s="52" t="n"/>
      <c r="X172" s="52" t="n"/>
      <c r="Y172" s="52" t="n"/>
      <c r="Z172" s="52" t="n">
        <v>76.83179</v>
      </c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  <c r="AL172" s="52" t="n"/>
      <c r="AM172" s="52" t="n"/>
      <c r="AN172" s="52" t="n"/>
      <c r="AO172" s="52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  <c r="BB172" s="52" t="n"/>
      <c r="BC172" s="52" t="n"/>
      <c r="BD172" s="52" t="n"/>
      <c r="BE172" s="52" t="n"/>
    </row>
    <row r="173" ht="15.75" customHeight="1">
      <c r="B173" s="9" t="inlineStr">
        <is>
          <t>Budgeted (Monthly)</t>
        </is>
      </c>
      <c r="C173" s="9" t="n"/>
      <c r="D173" s="10" t="inlineStr">
        <is>
          <t>$k</t>
        </is>
      </c>
      <c r="E173" s="54" t="n"/>
      <c r="F173" s="54" t="n"/>
      <c r="G173" s="54" t="n"/>
      <c r="H173" s="54" t="n">
        <v>56.66666666666667</v>
      </c>
      <c r="I173" s="54" t="n"/>
      <c r="J173" s="54" t="n"/>
      <c r="K173" s="54" t="n"/>
      <c r="L173" s="54" t="n">
        <v>56.66666666666667</v>
      </c>
      <c r="M173" s="54" t="n"/>
      <c r="N173" s="54" t="n"/>
      <c r="O173" s="54" t="n"/>
      <c r="P173" s="54" t="n"/>
      <c r="Q173" s="54" t="n">
        <v>56.66666666666667</v>
      </c>
      <c r="R173" s="54" t="n"/>
      <c r="S173" s="54" t="n"/>
      <c r="T173" s="54" t="n"/>
      <c r="U173" s="54" t="n">
        <v>56.66666666666667</v>
      </c>
      <c r="V173" s="54" t="n"/>
      <c r="W173" s="54" t="n"/>
      <c r="X173" s="54" t="n"/>
      <c r="Y173" s="54" t="n"/>
      <c r="Z173" s="54" t="n">
        <v>56.66666666666667</v>
      </c>
      <c r="AA173" s="54" t="n"/>
      <c r="AB173" s="54" t="n"/>
      <c r="AC173" s="54" t="n"/>
      <c r="AD173" s="54" t="n">
        <v>56.66666666666667</v>
      </c>
      <c r="AE173" s="54" t="n"/>
      <c r="AF173" s="54" t="n"/>
      <c r="AG173" s="54" t="n"/>
      <c r="AH173" s="54" t="n">
        <v>56.66666666666667</v>
      </c>
      <c r="AI173" s="54" t="n"/>
      <c r="AJ173" s="54" t="n"/>
      <c r="AK173" s="54" t="n"/>
      <c r="AL173" s="54" t="n"/>
      <c r="AM173" s="54" t="n">
        <v>56.66666666666667</v>
      </c>
      <c r="AN173" s="54" t="n"/>
      <c r="AO173" s="54" t="n"/>
      <c r="AP173" s="54" t="n"/>
      <c r="AQ173" s="54" t="n">
        <v>56.66666666666667</v>
      </c>
      <c r="AR173" s="54" t="n"/>
      <c r="AS173" s="54" t="n"/>
      <c r="AT173" s="54" t="n"/>
      <c r="AU173" s="54" t="n">
        <v>73.33333333333334</v>
      </c>
      <c r="AV173" s="54" t="n"/>
      <c r="AW173" s="54" t="n"/>
      <c r="AX173" s="54" t="n"/>
      <c r="AY173" s="54" t="n"/>
      <c r="AZ173" s="54" t="n">
        <v>73.33333333333334</v>
      </c>
      <c r="BA173" s="54" t="n"/>
      <c r="BB173" s="54" t="n"/>
      <c r="BC173" s="54" t="n"/>
      <c r="BD173" s="54" t="n">
        <v>73.33333333333334</v>
      </c>
      <c r="BE173" s="54" t="n"/>
    </row>
    <row r="174" ht="15.75" customHeight="1">
      <c r="B174" s="7" t="inlineStr">
        <is>
          <t>As % of budget - this month</t>
        </is>
      </c>
      <c r="D174" s="17" t="inlineStr">
        <is>
          <t>%</t>
        </is>
      </c>
      <c r="E174" s="53" t="n"/>
      <c r="F174" s="53" t="n"/>
      <c r="G174" s="53" t="n"/>
      <c r="H174" s="53">
        <f>IFERROR(SUM(E172:H172)/H173,"")</f>
        <v/>
      </c>
      <c r="I174" s="53" t="n"/>
      <c r="J174" s="53" t="n"/>
      <c r="K174" s="53" t="n"/>
      <c r="L174" s="53">
        <f>IFERROR(SUM(I172:L172)/L173,"")</f>
        <v/>
      </c>
      <c r="M174" s="53" t="n"/>
      <c r="N174" s="53" t="n"/>
      <c r="O174" s="53" t="n"/>
      <c r="P174" s="53" t="n"/>
      <c r="Q174" s="53">
        <f>IFERROR(SUM(M172:Q172)/Q173,"")</f>
        <v/>
      </c>
      <c r="R174" s="53" t="n"/>
      <c r="S174" s="53" t="n"/>
      <c r="T174" s="53" t="n"/>
      <c r="U174" s="53">
        <f>IFERROR(SUM(R172:U172)/U173,"")</f>
        <v/>
      </c>
      <c r="V174" s="53" t="n"/>
      <c r="W174" s="53" t="n"/>
      <c r="X174" s="53" t="n"/>
      <c r="Y174" s="53" t="n"/>
      <c r="Z174" s="53">
        <f>IFERROR(SUM(V172:Z172)/Z173,"")</f>
        <v/>
      </c>
      <c r="AA174" s="53" t="n"/>
      <c r="AB174" s="53" t="n"/>
      <c r="AC174" s="53" t="n"/>
      <c r="AD174" s="53">
        <f>IFERROR(SUM(AA172:AD172)/AD173,"")</f>
        <v/>
      </c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</row>
    <row r="175" ht="15.75" customHeight="1">
      <c r="B175" s="7" t="inlineStr">
        <is>
          <t>As % of quarterly budget (QTD)</t>
        </is>
      </c>
      <c r="D175" s="17" t="inlineStr">
        <is>
          <t>%</t>
        </is>
      </c>
      <c r="E175" s="53" t="n"/>
      <c r="F175" s="53" t="n"/>
      <c r="G175" s="53" t="n"/>
      <c r="H175" s="53">
        <f>IFERROR(SUM(E172:H172)/(H173+L173+Q173),"")</f>
        <v/>
      </c>
      <c r="I175" s="53" t="n"/>
      <c r="J175" s="53" t="n"/>
      <c r="K175" s="53" t="n"/>
      <c r="L175" s="53">
        <f>IFERROR(SUM(E172:L172)/(H173+L173+Q173),"")</f>
        <v/>
      </c>
      <c r="M175" s="53" t="n"/>
      <c r="N175" s="53" t="n"/>
      <c r="O175" s="53" t="n"/>
      <c r="P175" s="53" t="n"/>
      <c r="Q175" s="53">
        <f>IFERROR(SUM(E172:Q172)/(H173+L173+Q173),"")</f>
        <v/>
      </c>
      <c r="R175" s="53" t="n"/>
      <c r="S175" s="53" t="n"/>
      <c r="T175" s="53" t="n"/>
      <c r="U175" s="53">
        <f>IFERROR(SUM(R172:U172)/(U173+Z173+AD173),"")</f>
        <v/>
      </c>
      <c r="V175" s="53" t="n"/>
      <c r="W175" s="53" t="n"/>
      <c r="X175" s="53" t="n"/>
      <c r="Y175" s="53" t="n"/>
      <c r="Z175" s="53">
        <f>IFERROR(SUM(R172:Z172)/(U173+Z173+AD173),"")</f>
        <v/>
      </c>
      <c r="AA175" s="53" t="n"/>
      <c r="AB175" s="53" t="n"/>
      <c r="AC175" s="53" t="n"/>
      <c r="AD175" s="53">
        <f>IFERROR(SUM(R172:AD172)/(U173+Z173+AD173),"")</f>
        <v/>
      </c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</row>
    <row r="176" ht="15.75" customHeight="1">
      <c r="B176" s="7" t="inlineStr">
        <is>
          <t>As % of annual budget (YTD)</t>
        </is>
      </c>
      <c r="D176" s="17" t="inlineStr">
        <is>
          <t>%</t>
        </is>
      </c>
      <c r="E176" s="53" t="n"/>
      <c r="F176" s="53" t="n"/>
      <c r="G176" s="53" t="n"/>
      <c r="H176" s="53">
        <f>IFERROR(SUM($E$172:H172)/SUM($E$173:BD173),"")</f>
        <v/>
      </c>
      <c r="I176" s="53" t="n"/>
      <c r="J176" s="53" t="n"/>
      <c r="K176" s="53" t="n"/>
      <c r="L176" s="53">
        <f>IFERROR(SUM($E$172:L172)/SUM($E$173:BD173),"")</f>
        <v/>
      </c>
      <c r="M176" s="53" t="n"/>
      <c r="N176" s="53" t="n"/>
      <c r="O176" s="53" t="n"/>
      <c r="P176" s="53" t="n"/>
      <c r="Q176" s="53">
        <f>IFERROR(SUM($E$172:Q172)/SUM($E$173:BD173),"")</f>
        <v/>
      </c>
      <c r="R176" s="53" t="n"/>
      <c r="S176" s="53" t="n"/>
      <c r="T176" s="53" t="n"/>
      <c r="U176" s="53">
        <f>IFERROR(SUM($E$172:U172)/SUM($E$173:BD173),"")</f>
        <v/>
      </c>
      <c r="V176" s="53" t="n"/>
      <c r="W176" s="53" t="n"/>
      <c r="X176" s="53" t="n"/>
      <c r="Y176" s="53" t="n"/>
      <c r="Z176" s="53">
        <f>IFERROR(SUM($E$172:Z172)/SUM($E$173:BD173),"")</f>
        <v/>
      </c>
      <c r="AA176" s="53" t="n"/>
      <c r="AB176" s="53" t="n"/>
      <c r="AC176" s="53" t="n"/>
      <c r="AD176" s="53">
        <f>IFERROR(SUM($E$172:AD172)/SUM($E$173:BD173),"")</f>
        <v/>
      </c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</row>
    <row r="177" ht="15.75" customHeight="1"/>
    <row r="178" ht="15.75" customHeight="1"/>
    <row r="179" ht="15.75" customFormat="1" customHeight="1" s="38">
      <c r="A179" s="37" t="inlineStr">
        <is>
          <t>TikTok Shop</t>
        </is>
      </c>
      <c r="D179" s="39" t="n"/>
    </row>
    <row r="180" ht="15.75" customHeight="1">
      <c r="A180" s="1" t="inlineStr">
        <is>
          <t>Sell-in value</t>
        </is>
      </c>
      <c r="D180" s="24" t="inlineStr">
        <is>
          <t>$k</t>
        </is>
      </c>
      <c r="E180" s="52" t="n">
        <v>328.4168911862</v>
      </c>
      <c r="F180" s="52" t="n">
        <v>209.989</v>
      </c>
      <c r="G180" s="52" t="n">
        <v>189.466</v>
      </c>
      <c r="H180" s="52" t="n">
        <v>190.482</v>
      </c>
      <c r="I180" s="52" t="n">
        <v>269.9673460942</v>
      </c>
      <c r="J180" s="52" t="n">
        <v>114.952</v>
      </c>
      <c r="K180" s="52" t="n">
        <v>200.984</v>
      </c>
      <c r="L180" s="52" t="n">
        <v>312.18</v>
      </c>
      <c r="M180" s="52" t="n">
        <v>416.6206320925</v>
      </c>
      <c r="N180" s="52" t="n">
        <v>185.849</v>
      </c>
      <c r="O180" s="52" t="n">
        <v>161.798</v>
      </c>
      <c r="P180" s="52" t="n">
        <v>264.673</v>
      </c>
      <c r="Q180" s="52" t="n">
        <v>301.588</v>
      </c>
      <c r="R180" s="52" t="n">
        <v>243.9297069575</v>
      </c>
      <c r="S180" s="52" t="n">
        <v>118.327</v>
      </c>
      <c r="T180" s="52" t="n">
        <v>207.45</v>
      </c>
      <c r="U180" s="52" t="n">
        <v>222.691</v>
      </c>
      <c r="V180" s="52" t="n">
        <v>273.13858402</v>
      </c>
      <c r="W180" s="52" t="n">
        <v>97.93000000000001</v>
      </c>
      <c r="X180" s="52" t="n">
        <v>96.291</v>
      </c>
      <c r="Y180" s="52" t="n">
        <v>199.012</v>
      </c>
      <c r="Z180" s="52" t="n">
        <v>262.069097147</v>
      </c>
      <c r="AA180" s="52" t="n">
        <v>126.1374</v>
      </c>
      <c r="AB180" s="52" t="n">
        <v>98.78398</v>
      </c>
      <c r="AC180" s="52" t="n">
        <v>134.27811</v>
      </c>
      <c r="AD180" s="52" t="n">
        <v>147.54311</v>
      </c>
      <c r="AE180" s="52" t="n"/>
      <c r="AF180" s="52" t="n"/>
      <c r="AG180" s="52" t="n"/>
      <c r="AH180" s="52" t="n"/>
      <c r="AI180" s="52" t="n"/>
      <c r="AJ180" s="52" t="n"/>
      <c r="AK180" s="52" t="n"/>
      <c r="AL180" s="52" t="n"/>
      <c r="AM180" s="52" t="n"/>
      <c r="AN180" s="52" t="n"/>
      <c r="AO180" s="52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  <c r="BB180" s="52" t="n"/>
      <c r="BC180" s="52" t="n"/>
      <c r="BD180" s="52" t="n"/>
      <c r="BE180" s="52" t="n"/>
    </row>
    <row r="181" ht="15.75" customFormat="1" customHeight="1" s="4">
      <c r="A181" s="3" t="n"/>
      <c r="B181" s="4" t="inlineStr">
        <is>
          <t>% of Total - YTD</t>
        </is>
      </c>
      <c r="D181" s="33" t="inlineStr">
        <is>
          <t>%</t>
        </is>
      </c>
      <c r="E181" s="57">
        <f>IFERROR(SUM($E$180:E180)/SUM($E$3:E3),"")</f>
        <v/>
      </c>
      <c r="F181" s="57">
        <f>IFERROR(SUM($E$180:F180)/SUM($E$3:F3),"")</f>
        <v/>
      </c>
      <c r="G181" s="57">
        <f>IFERROR(SUM($E$180:G180)/SUM($E$3:G3),"")</f>
        <v/>
      </c>
      <c r="H181" s="57">
        <f>IFERROR(SUM($E$180:H180)/SUM($E$3:H3),"")</f>
        <v/>
      </c>
      <c r="I181" s="57">
        <f>IFERROR(SUM($E$180:I180)/SUM($E$3:I3),"")</f>
        <v/>
      </c>
      <c r="J181" s="57">
        <f>IFERROR(SUM($E$180:J180)/SUM($E$3:J3),"")</f>
        <v/>
      </c>
      <c r="K181" s="57">
        <f>IFERROR(SUM($E$180:K180)/SUM($E$3:K3),"")</f>
        <v/>
      </c>
      <c r="L181" s="57">
        <f>IFERROR(SUM($E$180:L180)/SUM($E$3:L3),"")</f>
        <v/>
      </c>
      <c r="M181" s="57">
        <f>IFERROR(SUM($E$180:M180)/SUM($E$3:M3),"")</f>
        <v/>
      </c>
      <c r="N181" s="57">
        <f>IFERROR(SUM($E$180:N180)/SUM($E$3:N3),"")</f>
        <v/>
      </c>
      <c r="O181" s="57">
        <f>IFERROR(SUM($E$180:O180)/SUM($E$3:O3),"")</f>
        <v/>
      </c>
      <c r="P181" s="57">
        <f>IFERROR(SUM($E$180:P180)/SUM($E$3:P3),"")</f>
        <v/>
      </c>
      <c r="Q181" s="57">
        <f>IFERROR(SUM($E$180:Q180)/SUM($E$3:Q3),"")</f>
        <v/>
      </c>
      <c r="R181" s="57">
        <f>IFERROR(SUM($E$180:R180)/SUM($E$3:R3),"")</f>
        <v/>
      </c>
      <c r="S181" s="57">
        <f>IFERROR(SUM($E$180:S180)/SUM($E$3:S3),"")</f>
        <v/>
      </c>
      <c r="T181" s="57">
        <f>IFERROR(SUM($E$180:T180)/SUM($E$3:T3),"")</f>
        <v/>
      </c>
      <c r="U181" s="57">
        <f>IFERROR(SUM($E$180:U180)/SUM($E$3:U3),"")</f>
        <v/>
      </c>
      <c r="V181" s="57">
        <f>IFERROR(SUM($E$180:V180)/SUM($E$3:V3),"")</f>
        <v/>
      </c>
      <c r="W181" s="57">
        <f>IFERROR(SUM($E$180:W180)/SUM($E$3:W3),"")</f>
        <v/>
      </c>
      <c r="X181" s="57">
        <f>IFERROR(SUM($E$180:X180)/SUM($E$3:X3),"")</f>
        <v/>
      </c>
      <c r="Y181" s="57">
        <f>IFERROR(SUM($E$180:Y180)/SUM($E$3:Y3),"")</f>
        <v/>
      </c>
      <c r="Z181" s="57">
        <f>IFERROR(SUM($E$180:Z180)/SUM($E$3:Z3),"")</f>
        <v/>
      </c>
      <c r="AA181" s="57">
        <f>IFERROR(SUM($E$180:AA180)/SUM($E$3:AA3),"")</f>
        <v/>
      </c>
      <c r="AB181" s="57">
        <f>IFERROR(SUM($E$180:AB180)/SUM($E$3:AB3),"")</f>
        <v/>
      </c>
      <c r="AC181" s="57">
        <f>IFERROR(SUM($E$180:AC180)/SUM($E$3:AC3),"")</f>
        <v/>
      </c>
      <c r="AD181" s="57">
        <f>IFERROR(SUM($E$180:AD180)/SUM($E$3:AD3),"")</f>
        <v/>
      </c>
      <c r="AE181" s="57" t="n"/>
      <c r="AF181" s="57" t="n"/>
      <c r="AG181" s="57" t="n"/>
      <c r="AH181" s="57" t="n"/>
      <c r="AI181" s="57" t="n"/>
      <c r="AJ181" s="57" t="n"/>
      <c r="AK181" s="57" t="n"/>
      <c r="AL181" s="57" t="n"/>
      <c r="AM181" s="57" t="n"/>
      <c r="AN181" s="57" t="n"/>
      <c r="AO181" s="57" t="n"/>
      <c r="AP181" s="57" t="n"/>
      <c r="AQ181" s="57" t="n"/>
      <c r="AR181" s="57" t="n"/>
      <c r="AS181" s="57" t="n"/>
      <c r="AT181" s="57" t="n"/>
      <c r="AU181" s="57" t="n"/>
      <c r="AV181" s="57" t="n"/>
      <c r="AW181" s="57" t="n"/>
      <c r="AX181" s="57" t="n"/>
      <c r="AY181" s="57" t="n"/>
      <c r="AZ181" s="57" t="n"/>
      <c r="BA181" s="57" t="n"/>
      <c r="BB181" s="57" t="n"/>
      <c r="BC181" s="57" t="n"/>
      <c r="BD181" s="57" t="n"/>
      <c r="BE181" s="57" t="n"/>
    </row>
    <row r="182" ht="15.75" customFormat="1" customHeight="1" s="7">
      <c r="B182" s="7" t="inlineStr">
        <is>
          <t>% of Target</t>
        </is>
      </c>
      <c r="D182" s="8" t="inlineStr">
        <is>
          <t>%</t>
        </is>
      </c>
      <c r="E182" s="53">
        <f>IFERROR(E180/E184,"")</f>
        <v/>
      </c>
      <c r="F182" s="53">
        <f>IFERROR(F180/F184,"")</f>
        <v/>
      </c>
      <c r="G182" s="53">
        <f>IFERROR(G180/G184,"")</f>
        <v/>
      </c>
      <c r="H182" s="53">
        <f>IFERROR(H180/H184,"")</f>
        <v/>
      </c>
      <c r="I182" s="53">
        <f>IFERROR(I180/I184,"")</f>
        <v/>
      </c>
      <c r="J182" s="53">
        <f>IFERROR(J180/J184,"")</f>
        <v/>
      </c>
      <c r="K182" s="53">
        <f>IFERROR(K180/K184,"")</f>
        <v/>
      </c>
      <c r="L182" s="53">
        <f>IFERROR(L180/L184,"")</f>
        <v/>
      </c>
      <c r="M182" s="53">
        <f>IFERROR(M180/M184,"")</f>
        <v/>
      </c>
      <c r="N182" s="53">
        <f>IFERROR(N180/N184,"")</f>
        <v/>
      </c>
      <c r="O182" s="53">
        <f>IFERROR(O180/O184,"")</f>
        <v/>
      </c>
      <c r="P182" s="53">
        <f>IFERROR(P180/P184,"")</f>
        <v/>
      </c>
      <c r="Q182" s="53">
        <f>IFERROR(Q180/Q184,"")</f>
        <v/>
      </c>
      <c r="R182" s="53">
        <f>IFERROR(R180/R184,"")</f>
        <v/>
      </c>
      <c r="S182" s="53">
        <f>IFERROR(S180/S184,"")</f>
        <v/>
      </c>
      <c r="T182" s="53">
        <f>IFERROR(T180/T184,"")</f>
        <v/>
      </c>
      <c r="U182" s="53">
        <f>IFERROR(U180/U184,"")</f>
        <v/>
      </c>
      <c r="V182" s="53">
        <f>IFERROR(V180/V184,"")</f>
        <v/>
      </c>
      <c r="W182" s="53">
        <f>IFERROR(W180/W184,"")</f>
        <v/>
      </c>
      <c r="X182" s="53">
        <f>IFERROR(X180/X184,"")</f>
        <v/>
      </c>
      <c r="Y182" s="53">
        <f>IFERROR(Y180/Y184,"")</f>
        <v/>
      </c>
      <c r="Z182" s="53">
        <f>IFERROR(Z180/Z184,"")</f>
        <v/>
      </c>
      <c r="AA182" s="53">
        <f>IFERROR(AA180/AA184,"")</f>
        <v/>
      </c>
      <c r="AB182" s="53">
        <f>IFERROR(AB180/AB184,"")</f>
        <v/>
      </c>
      <c r="AC182" s="53">
        <f>IFERROR(AC180/AC184,"")</f>
        <v/>
      </c>
      <c r="AD182" s="53">
        <f>IFERROR(AD180/AD184,"")</f>
        <v/>
      </c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</row>
    <row r="183" ht="15.75" customFormat="1" customHeight="1" s="7">
      <c r="B183" s="7" t="inlineStr">
        <is>
          <t>% of Target - YTD</t>
        </is>
      </c>
      <c r="C183" s="16" t="n"/>
      <c r="D183" s="17" t="inlineStr">
        <is>
          <t>%</t>
        </is>
      </c>
      <c r="E183" s="53">
        <f>IFERROR(SUM($E$180:E180)/SUM($E$184:E184),"")</f>
        <v/>
      </c>
      <c r="F183" s="53">
        <f>IFERROR(SUM($E$180:F180)/SUM($E$184:F184),"")</f>
        <v/>
      </c>
      <c r="G183" s="53">
        <f>IFERROR(SUM($E$180:G180)/SUM($E$184:G184),"")</f>
        <v/>
      </c>
      <c r="H183" s="53">
        <f>IFERROR(SUM($E$180:H180)/SUM($E$184:H184),"")</f>
        <v/>
      </c>
      <c r="I183" s="53">
        <f>IFERROR(SUM($E$180:I180)/SUM($E$184:I184),"")</f>
        <v/>
      </c>
      <c r="J183" s="53">
        <f>IFERROR(SUM($E$180:J180)/SUM($E$184:J184),"")</f>
        <v/>
      </c>
      <c r="K183" s="53">
        <f>IFERROR(SUM($E$180:K180)/SUM($E$184:K184),"")</f>
        <v/>
      </c>
      <c r="L183" s="53">
        <f>IFERROR(SUM($E$180:L180)/SUM($E$184:L184),"")</f>
        <v/>
      </c>
      <c r="M183" s="53">
        <f>IFERROR(SUM($E$180:M180)/SUM($E$184:M184),"")</f>
        <v/>
      </c>
      <c r="N183" s="53">
        <f>IFERROR(SUM($E$180:N180)/SUM($E$184:N184),"")</f>
        <v/>
      </c>
      <c r="O183" s="53">
        <f>IFERROR(SUM($E$180:O180)/SUM($E$184:O184),"")</f>
        <v/>
      </c>
      <c r="P183" s="53">
        <f>IFERROR(SUM($E$180:P180)/SUM($E$184:P184),"")</f>
        <v/>
      </c>
      <c r="Q183" s="53">
        <f>IFERROR(SUM($E$180:Q180)/SUM($E$184:Q184),"")</f>
        <v/>
      </c>
      <c r="R183" s="53">
        <f>IFERROR(SUM($E$180:R180)/SUM($E$184:R184),"")</f>
        <v/>
      </c>
      <c r="S183" s="53">
        <f>IFERROR(SUM($E$180:S180)/SUM($E$184:S184),"")</f>
        <v/>
      </c>
      <c r="T183" s="53">
        <f>IFERROR(SUM($E$180:T180)/SUM($E$184:T184),"")</f>
        <v/>
      </c>
      <c r="U183" s="53">
        <f>IFERROR(SUM($E$180:U180)/SUM($E$184:U184),"")</f>
        <v/>
      </c>
      <c r="V183" s="53">
        <f>IFERROR(SUM($E$180:V180)/SUM($E$184:V184),"")</f>
        <v/>
      </c>
      <c r="W183" s="53">
        <f>IFERROR(SUM($E$180:W180)/SUM($E$184:W184),"")</f>
        <v/>
      </c>
      <c r="X183" s="53">
        <f>IFERROR(SUM($E$180:X180)/SUM($E$184:X184),"")</f>
        <v/>
      </c>
      <c r="Y183" s="53">
        <f>IFERROR(SUM($E$180:Y180)/SUM($E$184:Y184),"")</f>
        <v/>
      </c>
      <c r="Z183" s="53">
        <f>IFERROR(SUM($E$180:Z180)/SUM($E$184:Z184),"")</f>
        <v/>
      </c>
      <c r="AA183" s="53">
        <f>IFERROR(SUM($E$180:AA180)/SUM($E$184:AA184),"")</f>
        <v/>
      </c>
      <c r="AB183" s="53">
        <f>IFERROR(SUM($E$180:AB180)/SUM($E$184:AB184),"")</f>
        <v/>
      </c>
      <c r="AC183" s="53">
        <f>IFERROR(SUM($E$180:AC180)/SUM($E$184:AC184),"")</f>
        <v/>
      </c>
      <c r="AD183" s="53">
        <f>IFERROR(SUM($E$180:AD180)/SUM($E$184:AD184),"")</f>
        <v/>
      </c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</row>
    <row r="184" ht="15.75" customFormat="1" customHeight="1" s="9">
      <c r="B184" s="9" t="inlineStr">
        <is>
          <t>Target</t>
        </is>
      </c>
      <c r="D184" s="10" t="inlineStr">
        <is>
          <t>$k</t>
        </is>
      </c>
      <c r="E184" s="54" t="n">
        <v>121.107370688</v>
      </c>
      <c r="F184" s="54" t="n">
        <v>211.937898704</v>
      </c>
      <c r="G184" s="54" t="n">
        <v>211.937898704</v>
      </c>
      <c r="H184" s="54" t="n">
        <v>211.937898704</v>
      </c>
      <c r="I184" s="54" t="n">
        <v>207.298172362</v>
      </c>
      <c r="J184" s="54" t="n">
        <v>179.46125</v>
      </c>
      <c r="K184" s="54" t="n">
        <v>179.46125</v>
      </c>
      <c r="L184" s="54" t="n">
        <v>179.46125</v>
      </c>
      <c r="M184" s="54" t="n">
        <v>179.133470148</v>
      </c>
      <c r="N184" s="54" t="n">
        <v>177.165355346</v>
      </c>
      <c r="O184" s="54" t="n">
        <v>177.165355346</v>
      </c>
      <c r="P184" s="54" t="n">
        <v>177.165355346</v>
      </c>
      <c r="Q184" s="54" t="n">
        <v>177.165355346</v>
      </c>
      <c r="R184" s="54" t="n">
        <v>156.164717381</v>
      </c>
      <c r="S184" s="54" t="n">
        <v>147.763955575</v>
      </c>
      <c r="T184" s="54" t="n">
        <v>147.763955575</v>
      </c>
      <c r="U184" s="54" t="n">
        <v>147.763955575</v>
      </c>
      <c r="V184" s="54" t="n">
        <v>168.270997583</v>
      </c>
      <c r="W184" s="54" t="n">
        <v>195.613931352</v>
      </c>
      <c r="X184" s="54" t="n">
        <v>195.613931352</v>
      </c>
      <c r="Y184" s="54" t="n">
        <v>195.613931352</v>
      </c>
      <c r="Z184" s="54" t="n">
        <v>195.613931352</v>
      </c>
      <c r="AA184" s="54" t="n">
        <v>187.862231625</v>
      </c>
      <c r="AB184" s="54" t="n">
        <v>187.862231625</v>
      </c>
      <c r="AC184" s="54" t="n">
        <v>187.862231625</v>
      </c>
      <c r="AD184" s="54" t="n">
        <v>187.862231625</v>
      </c>
      <c r="AE184" s="54" t="n">
        <v>171.295355715</v>
      </c>
      <c r="AF184" s="54" t="n">
        <v>164.668122276</v>
      </c>
      <c r="AG184" s="54" t="n">
        <v>164.668122276</v>
      </c>
      <c r="AH184" s="54" t="n">
        <v>164.668122276</v>
      </c>
      <c r="AI184" s="54" t="n">
        <v>162.60806188</v>
      </c>
      <c r="AJ184" s="54" t="n">
        <v>157.45791089</v>
      </c>
      <c r="AK184" s="54" t="n">
        <v>157.45791089</v>
      </c>
      <c r="AL184" s="54" t="n">
        <v>157.45791089</v>
      </c>
      <c r="AM184" s="54" t="n">
        <v>157.45791089</v>
      </c>
      <c r="AN184" s="54" t="n">
        <v>211.39698727</v>
      </c>
      <c r="AO184" s="54" t="n">
        <v>220.386518495</v>
      </c>
      <c r="AP184" s="54" t="n">
        <v>220.386518495</v>
      </c>
      <c r="AQ184" s="54" t="n">
        <v>220.386518495</v>
      </c>
      <c r="AR184" s="54" t="n">
        <v>247.107065656</v>
      </c>
      <c r="AS184" s="54" t="n">
        <v>267.147239898</v>
      </c>
      <c r="AT184" s="54" t="n">
        <v>267.147239898</v>
      </c>
      <c r="AU184" s="54" t="n">
        <v>267.147239898</v>
      </c>
      <c r="AV184" s="54" t="n">
        <v>274.088830758</v>
      </c>
      <c r="AW184" s="54" t="n">
        <v>315.741082274</v>
      </c>
      <c r="AX184" s="54" t="n">
        <v>315.741082274</v>
      </c>
      <c r="AY184" s="54" t="n">
        <v>315.741082274</v>
      </c>
      <c r="AZ184" s="54" t="n">
        <v>315.741082274</v>
      </c>
      <c r="BA184" s="54" t="n">
        <v>253.596162066</v>
      </c>
      <c r="BB184" s="54" t="n">
        <v>243.239126424</v>
      </c>
      <c r="BC184" s="54" t="n">
        <v>243.239126424</v>
      </c>
      <c r="BD184" s="54" t="n">
        <v>243.239126424</v>
      </c>
      <c r="BE184" s="54" t="n">
        <v>138.993786528</v>
      </c>
    </row>
    <row r="185" ht="15.75" customHeight="1"/>
    <row r="186" ht="15.75" customHeight="1">
      <c r="A186" s="1" t="inlineStr">
        <is>
          <t xml:space="preserve">Sell-through units </t>
        </is>
      </c>
      <c r="D186" s="24" t="inlineStr">
        <is>
          <t>#</t>
        </is>
      </c>
      <c r="E186" s="52" t="n">
        <v>5901</v>
      </c>
      <c r="F186" s="52" t="n">
        <v>4405</v>
      </c>
      <c r="G186" s="52" t="n">
        <v>4553</v>
      </c>
      <c r="H186" s="52" t="n">
        <v>4473</v>
      </c>
      <c r="I186" s="52" t="n">
        <v>4702</v>
      </c>
      <c r="J186" s="52" t="n">
        <v>3447</v>
      </c>
      <c r="K186" s="52" t="n">
        <v>3964</v>
      </c>
      <c r="L186" s="52" t="n">
        <v>6882</v>
      </c>
      <c r="M186" s="52" t="n">
        <v>8157</v>
      </c>
      <c r="N186" s="52" t="n">
        <v>4407</v>
      </c>
      <c r="O186" s="52" t="n">
        <v>3800</v>
      </c>
      <c r="P186" s="52" t="n">
        <v>5747</v>
      </c>
      <c r="Q186" s="52" t="n">
        <v>6181</v>
      </c>
      <c r="R186" s="52" t="n">
        <v>4242</v>
      </c>
      <c r="S186" s="52" t="n">
        <v>3153</v>
      </c>
      <c r="T186" s="52" t="n">
        <v>4865</v>
      </c>
      <c r="U186" s="52" t="n">
        <v>4766</v>
      </c>
      <c r="V186" s="52" t="n">
        <v>5137</v>
      </c>
      <c r="W186" s="52" t="n">
        <v>2243</v>
      </c>
      <c r="X186" s="52" t="n">
        <v>2469</v>
      </c>
      <c r="Y186" s="52" t="n">
        <v>3796</v>
      </c>
      <c r="Z186" s="52" t="n">
        <v>4862</v>
      </c>
      <c r="AA186" s="52" t="n">
        <v>2747</v>
      </c>
      <c r="AB186" s="52" t="n">
        <v>2150</v>
      </c>
      <c r="AC186" s="52" t="n">
        <v>2386</v>
      </c>
      <c r="AD186" s="52" t="n">
        <v>2542</v>
      </c>
      <c r="AE186" s="52" t="n"/>
      <c r="AF186" s="52" t="n"/>
      <c r="AG186" s="52" t="n"/>
      <c r="AH186" s="52" t="n"/>
      <c r="AI186" s="52" t="n"/>
      <c r="AJ186" s="52" t="n"/>
      <c r="AK186" s="52" t="n"/>
      <c r="AL186" s="52" t="n"/>
      <c r="AM186" s="52" t="n"/>
      <c r="AN186" s="52" t="n"/>
      <c r="AO186" s="52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  <c r="BB186" s="52" t="n"/>
      <c r="BC186" s="52" t="n"/>
      <c r="BD186" s="52" t="n"/>
      <c r="BE186" s="52" t="n"/>
    </row>
    <row r="187" ht="15.75" customFormat="1" customHeight="1" s="4">
      <c r="A187" s="3" t="n"/>
      <c r="B187" s="4" t="inlineStr">
        <is>
          <t>% of Total - YTD</t>
        </is>
      </c>
      <c r="D187" s="33" t="inlineStr">
        <is>
          <t>%</t>
        </is>
      </c>
      <c r="E187" s="57">
        <f>IFERROR(SUM($E$186:E186)/SUM($E$4:E4),"")</f>
        <v/>
      </c>
      <c r="F187" s="57">
        <f>IFERROR(SUM($E$186:F186)/SUM($E$4:F4),"")</f>
        <v/>
      </c>
      <c r="G187" s="57">
        <f>IFERROR(SUM($E$186:G186)/SUM($E$4:G4),"")</f>
        <v/>
      </c>
      <c r="H187" s="57">
        <f>IFERROR(SUM($E$186:H186)/SUM($E$4:H4),"")</f>
        <v/>
      </c>
      <c r="I187" s="57">
        <f>IFERROR(SUM($E$186:I186)/SUM($E$4:I4),"")</f>
        <v/>
      </c>
      <c r="J187" s="57">
        <f>IFERROR(SUM($E$186:J186)/SUM($E$4:J4),"")</f>
        <v/>
      </c>
      <c r="K187" s="57">
        <f>IFERROR(SUM($E$186:K186)/SUM($E$4:K4),"")</f>
        <v/>
      </c>
      <c r="L187" s="57">
        <f>IFERROR(SUM($E$186:L186)/SUM($E$4:L4),"")</f>
        <v/>
      </c>
      <c r="M187" s="57">
        <f>IFERROR(SUM($E$186:M186)/SUM($E$4:M4),"")</f>
        <v/>
      </c>
      <c r="N187" s="57">
        <f>IFERROR(SUM($E$186:N186)/SUM($E$4:N4),"")</f>
        <v/>
      </c>
      <c r="O187" s="57">
        <f>IFERROR(SUM($E$186:O186)/SUM($E$4:O4),"")</f>
        <v/>
      </c>
      <c r="P187" s="57">
        <f>IFERROR(SUM($E$186:P186)/SUM($E$4:P4),"")</f>
        <v/>
      </c>
      <c r="Q187" s="57">
        <f>IFERROR(SUM($E$186:Q186)/SUM($E$4:Q4),"")</f>
        <v/>
      </c>
      <c r="R187" s="57">
        <f>IFERROR(SUM($E$186:R186)/SUM($E$4:R4),"")</f>
        <v/>
      </c>
      <c r="S187" s="57">
        <f>IFERROR(SUM($E$186:S186)/SUM($E$4:S4),"")</f>
        <v/>
      </c>
      <c r="T187" s="57">
        <f>IFERROR(SUM($E$186:T186)/SUM($E$4:T4),"")</f>
        <v/>
      </c>
      <c r="U187" s="57">
        <f>IFERROR(SUM($E$186:U186)/SUM($E$4:U4),"")</f>
        <v/>
      </c>
      <c r="V187" s="57">
        <f>IFERROR(SUM($E$186:V186)/SUM($E$4:V4),"")</f>
        <v/>
      </c>
      <c r="W187" s="57">
        <f>IFERROR(SUM($E$186:W186)/SUM($E$4:W4),"")</f>
        <v/>
      </c>
      <c r="X187" s="57">
        <f>IFERROR(SUM($E$186:X186)/SUM($E$4:X4),"")</f>
        <v/>
      </c>
      <c r="Y187" s="57">
        <f>IFERROR(SUM($E$186:Y186)/SUM($E$4:Y4),"")</f>
        <v/>
      </c>
      <c r="Z187" s="57">
        <f>IFERROR(SUM($E$186:Z186)/SUM($E$4:Z4),"")</f>
        <v/>
      </c>
      <c r="AA187" s="57">
        <f>IFERROR(SUM($E$186:AA186)/SUM($E$4:AA4),"")</f>
        <v/>
      </c>
      <c r="AB187" s="57">
        <f>IFERROR(SUM($E$186:AB186)/SUM($E$4:AB4),"")</f>
        <v/>
      </c>
      <c r="AC187" s="57">
        <f>IFERROR(SUM($E$186:AC186)/SUM($E$4:AC4),"")</f>
        <v/>
      </c>
      <c r="AD187" s="57">
        <f>IFERROR(SUM($E$186:AD186)/SUM($E$4:AD4),"")</f>
        <v/>
      </c>
      <c r="AE187" s="57" t="n"/>
      <c r="AF187" s="57" t="n"/>
      <c r="AG187" s="57" t="n"/>
      <c r="AH187" s="57" t="n"/>
      <c r="AI187" s="57" t="n"/>
      <c r="AJ187" s="57" t="n"/>
      <c r="AK187" s="57" t="n"/>
      <c r="AL187" s="57" t="n"/>
      <c r="AM187" s="57" t="n"/>
      <c r="AN187" s="57" t="n"/>
      <c r="AO187" s="57" t="n"/>
      <c r="AP187" s="57" t="n"/>
      <c r="AQ187" s="57" t="n"/>
      <c r="AR187" s="57" t="n"/>
      <c r="AS187" s="57" t="n"/>
      <c r="AT187" s="57" t="n"/>
      <c r="AU187" s="57" t="n"/>
      <c r="AV187" s="57" t="n"/>
      <c r="AW187" s="57" t="n"/>
      <c r="AX187" s="57" t="n"/>
      <c r="AY187" s="57" t="n"/>
      <c r="AZ187" s="57" t="n"/>
      <c r="BA187" s="57" t="n"/>
      <c r="BB187" s="57" t="n"/>
      <c r="BC187" s="57" t="n"/>
      <c r="BD187" s="57" t="n"/>
      <c r="BE187" s="57" t="n"/>
    </row>
    <row r="188" ht="15.75" customFormat="1" customHeight="1" s="16">
      <c r="A188" s="15" t="n"/>
      <c r="B188" s="16" t="inlineStr">
        <is>
          <t>% of Target</t>
        </is>
      </c>
      <c r="D188" s="17" t="inlineStr">
        <is>
          <t>%</t>
        </is>
      </c>
      <c r="E188" s="53">
        <f>IFERROR(E186/E190,"")</f>
        <v/>
      </c>
      <c r="F188" s="53">
        <f>IFERROR(F186/F190,"")</f>
        <v/>
      </c>
      <c r="G188" s="53">
        <f>IFERROR(G186/G190,"")</f>
        <v/>
      </c>
      <c r="H188" s="53">
        <f>IFERROR(H186/H190,"")</f>
        <v/>
      </c>
      <c r="I188" s="53">
        <f>IFERROR(I186/I190,"")</f>
        <v/>
      </c>
      <c r="J188" s="53">
        <f>IFERROR(J186/J190,"")</f>
        <v/>
      </c>
      <c r="K188" s="53">
        <f>IFERROR(K186/K190,"")</f>
        <v/>
      </c>
      <c r="L188" s="53">
        <f>IFERROR(L186/L190,"")</f>
        <v/>
      </c>
      <c r="M188" s="53">
        <f>IFERROR(M186/M190,"")</f>
        <v/>
      </c>
      <c r="N188" s="53">
        <f>IFERROR(N186/N190,"")</f>
        <v/>
      </c>
      <c r="O188" s="53">
        <f>IFERROR(O186/O190,"")</f>
        <v/>
      </c>
      <c r="P188" s="53">
        <f>IFERROR(P186/P190,"")</f>
        <v/>
      </c>
      <c r="Q188" s="53">
        <f>IFERROR(Q186/Q190,"")</f>
        <v/>
      </c>
      <c r="R188" s="53">
        <f>IFERROR(R186/R190,"")</f>
        <v/>
      </c>
      <c r="S188" s="53">
        <f>IFERROR(S186/S190,"")</f>
        <v/>
      </c>
      <c r="T188" s="53">
        <f>IFERROR(T186/T190,"")</f>
        <v/>
      </c>
      <c r="U188" s="53">
        <f>IFERROR(U186/U190,"")</f>
        <v/>
      </c>
      <c r="V188" s="53">
        <f>IFERROR(V186/V190,"")</f>
        <v/>
      </c>
      <c r="W188" s="53">
        <f>IFERROR(W186/W190,"")</f>
        <v/>
      </c>
      <c r="X188" s="53">
        <f>IFERROR(X186/X190,"")</f>
        <v/>
      </c>
      <c r="Y188" s="53">
        <f>IFERROR(Y186/Y190,"")</f>
        <v/>
      </c>
      <c r="Z188" s="53">
        <f>IFERROR(Z186/Z190,"")</f>
        <v/>
      </c>
      <c r="AA188" s="53">
        <f>IFERROR(AA186/AA190,"")</f>
        <v/>
      </c>
      <c r="AB188" s="53">
        <f>IFERROR(AB186/AB190,"")</f>
        <v/>
      </c>
      <c r="AC188" s="53">
        <f>IFERROR(AC186/AC190,"")</f>
        <v/>
      </c>
      <c r="AD188" s="53">
        <f>IFERROR(AD186/AD190,"")</f>
        <v/>
      </c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</row>
    <row r="189" ht="15.75" customFormat="1" customHeight="1" s="16">
      <c r="A189" s="15" t="n"/>
      <c r="B189" s="7" t="inlineStr">
        <is>
          <t>% of Target - YTD</t>
        </is>
      </c>
      <c r="D189" s="17" t="inlineStr">
        <is>
          <t>%</t>
        </is>
      </c>
      <c r="E189" s="53">
        <f>IFERROR(SUM($E$186:E186)/SUM($E$190:E190),"")</f>
        <v/>
      </c>
      <c r="F189" s="53">
        <f>IFERROR(SUM($E$186:F186)/SUM($E$190:F190),"")</f>
        <v/>
      </c>
      <c r="G189" s="53">
        <f>IFERROR(SUM($E$186:G186)/SUM($E$190:G190),"")</f>
        <v/>
      </c>
      <c r="H189" s="53">
        <f>IFERROR(SUM($E$186:H186)/SUM($E$190:H190),"")</f>
        <v/>
      </c>
      <c r="I189" s="53">
        <f>IFERROR(SUM($E$186:I186)/SUM($E$190:I190),"")</f>
        <v/>
      </c>
      <c r="J189" s="53">
        <f>IFERROR(SUM($E$186:J186)/SUM($E$190:J190),"")</f>
        <v/>
      </c>
      <c r="K189" s="53">
        <f>IFERROR(SUM($E$186:K186)/SUM($E$190:K190),"")</f>
        <v/>
      </c>
      <c r="L189" s="53">
        <f>IFERROR(SUM($E$186:L186)/SUM($E$190:L190),"")</f>
        <v/>
      </c>
      <c r="M189" s="53">
        <f>IFERROR(SUM($E$186:M186)/SUM($E$190:M190),"")</f>
        <v/>
      </c>
      <c r="N189" s="53">
        <f>IFERROR(SUM($E$186:N186)/SUM($E$190:N190),"")</f>
        <v/>
      </c>
      <c r="O189" s="53">
        <f>IFERROR(SUM($E$186:O186)/SUM($E$190:O190),"")</f>
        <v/>
      </c>
      <c r="P189" s="53">
        <f>IFERROR(SUM($E$186:P186)/SUM($E$190:P190),"")</f>
        <v/>
      </c>
      <c r="Q189" s="53">
        <f>IFERROR(SUM($E$186:Q186)/SUM($E$190:Q190),"")</f>
        <v/>
      </c>
      <c r="R189" s="53">
        <f>IFERROR(SUM($E$186:R186)/SUM($E$190:R190),"")</f>
        <v/>
      </c>
      <c r="S189" s="53">
        <f>IFERROR(SUM($E$186:S186)/SUM($E$190:S190),"")</f>
        <v/>
      </c>
      <c r="T189" s="53">
        <f>IFERROR(SUM($E$186:T186)/SUM($E$190:T190),"")</f>
        <v/>
      </c>
      <c r="U189" s="53">
        <f>IFERROR(SUM($E$186:U186)/SUM($E$190:U190),"")</f>
        <v/>
      </c>
      <c r="V189" s="53">
        <f>IFERROR(SUM($E$186:V186)/SUM($E$190:V190),"")</f>
        <v/>
      </c>
      <c r="W189" s="53">
        <f>IFERROR(SUM($E$186:W186)/SUM($E$190:W190),"")</f>
        <v/>
      </c>
      <c r="X189" s="53">
        <f>IFERROR(SUM($E$186:X186)/SUM($E$190:X190),"")</f>
        <v/>
      </c>
      <c r="Y189" s="53">
        <f>IFERROR(SUM($E$186:Y186)/SUM($E$190:Y190),"")</f>
        <v/>
      </c>
      <c r="Z189" s="53">
        <f>IFERROR(SUM($E$186:Z186)/SUM($E$190:Z190),"")</f>
        <v/>
      </c>
      <c r="AA189" s="53">
        <f>IFERROR(SUM($E$186:AA186)/SUM($E$190:AA190),"")</f>
        <v/>
      </c>
      <c r="AB189" s="53">
        <f>IFERROR(SUM($E$186:AB186)/SUM($E$190:AB190),"")</f>
        <v/>
      </c>
      <c r="AC189" s="53">
        <f>IFERROR(SUM($E$186:AC186)/SUM($E$190:AC190),"")</f>
        <v/>
      </c>
      <c r="AD189" s="53">
        <f>IFERROR(SUM($E$186:AD186)/SUM($E$190:AD190),"")</f>
        <v/>
      </c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</row>
    <row r="190" ht="15.75" customFormat="1" customHeight="1" s="13">
      <c r="A190" s="12" t="n"/>
      <c r="B190" s="13" t="inlineStr">
        <is>
          <t>Target</t>
        </is>
      </c>
      <c r="D190" s="14" t="inlineStr">
        <is>
          <t>#</t>
        </is>
      </c>
      <c r="E190" s="54" t="n">
        <v>5901</v>
      </c>
      <c r="F190" s="54" t="n">
        <v>6299</v>
      </c>
      <c r="G190" s="54" t="n">
        <v>3542</v>
      </c>
      <c r="H190" s="54" t="n">
        <v>3136</v>
      </c>
      <c r="I190" s="54" t="n">
        <v>2995</v>
      </c>
      <c r="J190" s="54" t="n">
        <v>3429</v>
      </c>
      <c r="K190" s="54" t="n">
        <v>3278</v>
      </c>
      <c r="L190" s="54" t="n">
        <v>3175</v>
      </c>
      <c r="M190" s="54" t="n">
        <v>3265</v>
      </c>
      <c r="N190" s="54" t="n">
        <v>2659</v>
      </c>
      <c r="O190" s="54" t="n">
        <v>2692</v>
      </c>
      <c r="P190" s="54" t="n">
        <v>2582</v>
      </c>
      <c r="Q190" s="54" t="n">
        <v>6251</v>
      </c>
      <c r="R190" s="54" t="n">
        <v>2516</v>
      </c>
      <c r="S190" s="54" t="n">
        <v>3264</v>
      </c>
      <c r="T190" s="54" t="n">
        <v>2846</v>
      </c>
      <c r="U190" s="54" t="n">
        <v>2850</v>
      </c>
      <c r="V190" s="54" t="n">
        <v>2780</v>
      </c>
      <c r="W190" s="54" t="n">
        <v>1866</v>
      </c>
      <c r="X190" s="54" t="n">
        <v>5691</v>
      </c>
      <c r="Y190" s="54" t="n">
        <v>5701</v>
      </c>
      <c r="Z190" s="54" t="n">
        <v>2372</v>
      </c>
      <c r="AA190" s="54" t="n">
        <v>2364</v>
      </c>
      <c r="AB190" s="54" t="n">
        <v>2343</v>
      </c>
      <c r="AC190" s="54" t="n">
        <v>6121</v>
      </c>
      <c r="AD190" s="54" t="n">
        <v>2361</v>
      </c>
      <c r="AE190" s="54" t="n">
        <v>6711</v>
      </c>
      <c r="AF190" s="54" t="n">
        <v>2805</v>
      </c>
      <c r="AG190" s="54" t="n">
        <v>2779</v>
      </c>
      <c r="AH190" s="54" t="n">
        <v>2621</v>
      </c>
      <c r="AI190" s="54" t="n">
        <v>2698</v>
      </c>
      <c r="AJ190" s="54" t="n">
        <v>2889</v>
      </c>
      <c r="AK190" s="54" t="n">
        <v>2802</v>
      </c>
      <c r="AL190" s="54" t="n">
        <v>2783</v>
      </c>
      <c r="AM190" s="54" t="n">
        <v>2847</v>
      </c>
      <c r="AN190" s="54" t="n">
        <v>6939</v>
      </c>
      <c r="AO190" s="54" t="n">
        <v>3799</v>
      </c>
      <c r="AP190" s="54" t="n">
        <v>3369</v>
      </c>
      <c r="AQ190" s="54" t="n">
        <v>3437</v>
      </c>
      <c r="AR190" s="54" t="n">
        <v>3222</v>
      </c>
      <c r="AS190" s="54" t="n">
        <v>6855</v>
      </c>
      <c r="AT190" s="54" t="n">
        <v>3644</v>
      </c>
      <c r="AU190" s="54" t="n">
        <v>6977</v>
      </c>
      <c r="AV190" s="54" t="n">
        <v>2930</v>
      </c>
      <c r="AW190" s="54" t="n">
        <v>2528</v>
      </c>
      <c r="AX190" s="54" t="n">
        <v>2653</v>
      </c>
      <c r="AY190" s="54" t="n">
        <v>2721</v>
      </c>
      <c r="AZ190" s="54" t="n">
        <v>14050</v>
      </c>
      <c r="BA190" s="54" t="n">
        <v>10595</v>
      </c>
      <c r="BB190" s="54" t="n">
        <v>4137</v>
      </c>
      <c r="BC190" s="54" t="n">
        <v>3559</v>
      </c>
      <c r="BD190" s="54" t="n">
        <v>4866</v>
      </c>
      <c r="BE190" s="54" t="n"/>
    </row>
    <row r="191" ht="15.75" customHeight="1">
      <c r="C191" s="11" t="inlineStr">
        <is>
          <t xml:space="preserve">Cam </t>
        </is>
      </c>
      <c r="D191" s="6" t="inlineStr">
        <is>
          <t>#</t>
        </is>
      </c>
      <c r="E191" s="51" t="n">
        <v>2914</v>
      </c>
      <c r="F191" s="51" t="n">
        <v>2338</v>
      </c>
      <c r="G191" s="51" t="n">
        <v>2777</v>
      </c>
      <c r="H191" s="51" t="n">
        <v>2627</v>
      </c>
      <c r="I191" s="51" t="n">
        <v>2722</v>
      </c>
      <c r="J191" s="51" t="n">
        <v>1940</v>
      </c>
      <c r="K191" s="51" t="n">
        <v>2448</v>
      </c>
      <c r="L191" s="51" t="n">
        <v>4336</v>
      </c>
      <c r="M191" s="51" t="n">
        <v>5136</v>
      </c>
      <c r="N191" s="51" t="n">
        <v>2395</v>
      </c>
      <c r="O191" s="51" t="n">
        <v>2079</v>
      </c>
      <c r="P191" s="51" t="n">
        <v>3265</v>
      </c>
      <c r="Q191" s="51" t="n">
        <v>3463</v>
      </c>
      <c r="R191" s="51" t="n">
        <v>2135</v>
      </c>
      <c r="S191" s="51" t="n">
        <v>1398</v>
      </c>
      <c r="T191" s="51" t="n">
        <v>3130</v>
      </c>
      <c r="U191" s="51" t="n">
        <v>2591</v>
      </c>
      <c r="V191" s="51" t="n">
        <v>2255</v>
      </c>
      <c r="W191" s="51" t="n">
        <v>1183</v>
      </c>
      <c r="X191" s="51" t="n">
        <v>1244</v>
      </c>
      <c r="Y191" s="51" t="n">
        <v>1931</v>
      </c>
      <c r="Z191" s="51" t="n">
        <v>2519</v>
      </c>
      <c r="AA191" s="51" t="n">
        <v>1235</v>
      </c>
      <c r="AB191" s="51" t="n">
        <v>1040</v>
      </c>
      <c r="AC191" s="51" t="n">
        <v>1391</v>
      </c>
      <c r="AD191" s="51" t="n">
        <v>1515</v>
      </c>
      <c r="AE191" s="51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  <c r="BE191" s="51" t="n"/>
    </row>
    <row r="192" ht="15.75" customHeight="1">
      <c r="C192" s="11" t="inlineStr">
        <is>
          <t>Non Cam</t>
        </is>
      </c>
      <c r="D192" s="6" t="inlineStr">
        <is>
          <t>#</t>
        </is>
      </c>
      <c r="E192" s="51" t="n">
        <v>2987</v>
      </c>
      <c r="F192" s="51" t="n">
        <v>2067</v>
      </c>
      <c r="G192" s="51" t="n">
        <v>1776</v>
      </c>
      <c r="H192" s="51" t="n">
        <v>1846</v>
      </c>
      <c r="I192" s="51" t="n">
        <v>1980</v>
      </c>
      <c r="J192" s="51" t="n">
        <v>1507</v>
      </c>
      <c r="K192" s="51" t="n">
        <v>1516</v>
      </c>
      <c r="L192" s="51" t="n">
        <v>2546</v>
      </c>
      <c r="M192" s="51" t="n">
        <v>3021</v>
      </c>
      <c r="N192" s="51" t="n">
        <v>2012</v>
      </c>
      <c r="O192" s="51" t="n">
        <v>1721</v>
      </c>
      <c r="P192" s="51" t="n">
        <v>2482</v>
      </c>
      <c r="Q192" s="51" t="n">
        <v>2718</v>
      </c>
      <c r="R192" s="51" t="n">
        <v>2107</v>
      </c>
      <c r="S192" s="51" t="n">
        <v>1755</v>
      </c>
      <c r="T192" s="51" t="n">
        <v>1735</v>
      </c>
      <c r="U192" s="51" t="n">
        <v>2175</v>
      </c>
      <c r="V192" s="51" t="n">
        <v>2882</v>
      </c>
      <c r="W192" s="51" t="n">
        <v>1060</v>
      </c>
      <c r="X192" s="51" t="n">
        <v>1225</v>
      </c>
      <c r="Y192" s="51" t="n">
        <v>1865</v>
      </c>
      <c r="Z192" s="51" t="n">
        <v>2343</v>
      </c>
      <c r="AA192" s="51" t="n">
        <v>1512</v>
      </c>
      <c r="AB192" s="51" t="n">
        <v>1110</v>
      </c>
      <c r="AC192" s="51" t="n">
        <v>995</v>
      </c>
      <c r="AD192" s="51" t="n">
        <v>1027</v>
      </c>
      <c r="AE192" s="51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  <c r="BE192" s="51" t="n"/>
    </row>
    <row r="193" ht="15.75" customHeight="1">
      <c r="C193" s="6" t="n"/>
    </row>
    <row r="194" ht="15.75" customFormat="1" customHeight="1" s="1">
      <c r="A194" s="1" t="inlineStr">
        <is>
          <t xml:space="preserve">Promo </t>
        </is>
      </c>
      <c r="B194" s="1" t="inlineStr">
        <is>
          <t>Real-time tracking</t>
        </is>
      </c>
      <c r="D194" s="24" t="inlineStr">
        <is>
          <t>$k</t>
        </is>
      </c>
      <c r="E194" s="52" t="n">
        <v>44.67041</v>
      </c>
      <c r="F194" s="52" t="n">
        <v>22.18212</v>
      </c>
      <c r="G194" s="52" t="n">
        <v>29.00855</v>
      </c>
      <c r="H194" s="52" t="n">
        <v>29.42086</v>
      </c>
      <c r="I194" s="52" t="n">
        <v>35.08533</v>
      </c>
      <c r="J194" s="52" t="n">
        <v>8.85036</v>
      </c>
      <c r="K194" s="52" t="n">
        <v>17.51459</v>
      </c>
      <c r="L194" s="52" t="n">
        <v>48.73032</v>
      </c>
      <c r="M194" s="52" t="n">
        <v>57.54705000000001</v>
      </c>
      <c r="N194" s="52" t="n">
        <v>16.11398</v>
      </c>
      <c r="O194" s="52" t="n">
        <v>7.36188</v>
      </c>
      <c r="P194" s="52" t="n">
        <v>34.55707</v>
      </c>
      <c r="Q194" s="52" t="n">
        <v>48.75215</v>
      </c>
      <c r="R194" s="52" t="n">
        <v>18.90543</v>
      </c>
      <c r="S194" s="52" t="n">
        <v>4.91811</v>
      </c>
      <c r="T194" s="52" t="n">
        <v>15.30413</v>
      </c>
      <c r="U194" s="52" t="n">
        <v>32.61127</v>
      </c>
      <c r="V194" s="52" t="n">
        <v>42.59935</v>
      </c>
      <c r="W194" s="52" t="n">
        <v>4.751390000000001</v>
      </c>
      <c r="X194" s="52" t="n">
        <v>4.0914</v>
      </c>
      <c r="Y194" s="52" t="n">
        <v>29.69274</v>
      </c>
      <c r="Z194" s="52" t="n">
        <v>39.31711</v>
      </c>
      <c r="AA194" s="52" t="n">
        <v>5.78569</v>
      </c>
      <c r="AB194" s="52" t="n">
        <v>1.12982</v>
      </c>
      <c r="AC194" s="52" t="n">
        <v>16.19983</v>
      </c>
      <c r="AD194" s="52" t="n">
        <v>26.39589</v>
      </c>
      <c r="AE194" s="52" t="n"/>
      <c r="AF194" s="52" t="n"/>
      <c r="AG194" s="52" t="n"/>
      <c r="AH194" s="52" t="n"/>
      <c r="AI194" s="52" t="n"/>
      <c r="AJ194" s="52" t="n"/>
      <c r="AK194" s="52" t="n"/>
      <c r="AL194" s="52" t="n"/>
      <c r="AM194" s="52" t="n"/>
      <c r="AN194" s="52" t="n"/>
      <c r="AO194" s="52" t="n"/>
      <c r="AP194" s="52" t="n"/>
      <c r="AQ194" s="52" t="n"/>
      <c r="AR194" s="52" t="n"/>
      <c r="AS194" s="52" t="n"/>
      <c r="AT194" s="52" t="n"/>
      <c r="AU194" s="52" t="n"/>
      <c r="AV194" s="52" t="n"/>
      <c r="AW194" s="52" t="n"/>
      <c r="AX194" s="52" t="n"/>
      <c r="AY194" s="52" t="n"/>
      <c r="AZ194" s="52" t="n"/>
      <c r="BA194" s="52" t="n"/>
      <c r="BB194" s="52" t="n"/>
      <c r="BC194" s="52" t="n"/>
      <c r="BD194" s="52" t="n"/>
      <c r="BE194" s="52" t="n"/>
    </row>
    <row r="195" ht="15.75" customFormat="1" customHeight="1" s="1">
      <c r="B195" s="49" t="inlineStr">
        <is>
          <t>Finance Actuals (Monthly)</t>
        </is>
      </c>
      <c r="D195" s="32" t="inlineStr">
        <is>
          <t>$k</t>
        </is>
      </c>
      <c r="E195" s="52" t="n"/>
      <c r="F195" s="52" t="n"/>
      <c r="G195" s="52" t="n"/>
      <c r="H195" s="52" t="n">
        <v>131.2552</v>
      </c>
      <c r="I195" s="52" t="n"/>
      <c r="J195" s="52" t="n"/>
      <c r="K195" s="52" t="n"/>
      <c r="L195" s="52" t="n">
        <v>109.74642</v>
      </c>
      <c r="M195" s="52" t="n"/>
      <c r="N195" s="52" t="n"/>
      <c r="O195" s="52" t="n"/>
      <c r="P195" s="52" t="n"/>
      <c r="Q195" s="52" t="n">
        <v>156.62207</v>
      </c>
      <c r="R195" s="52" t="n"/>
      <c r="S195" s="52" t="n"/>
      <c r="T195" s="52" t="n"/>
      <c r="U195" s="52" t="n">
        <v>101.05282</v>
      </c>
      <c r="V195" s="52" t="n"/>
      <c r="W195" s="52" t="n"/>
      <c r="X195" s="52" t="n"/>
      <c r="Y195" s="52" t="n"/>
      <c r="Z195" s="52" t="n">
        <v>112.06002</v>
      </c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2" t="n"/>
      <c r="AK195" s="52" t="n"/>
      <c r="AL195" s="52" t="n"/>
      <c r="AM195" s="52" t="n"/>
      <c r="AN195" s="52" t="n"/>
      <c r="AO195" s="52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  <c r="BB195" s="52" t="n"/>
      <c r="BC195" s="52" t="n"/>
      <c r="BD195" s="52" t="n"/>
      <c r="BE195" s="52" t="n"/>
    </row>
    <row r="196" ht="15.75" customFormat="1" customHeight="1" s="9">
      <c r="B196" s="9" t="inlineStr">
        <is>
          <t>Budgeted (Monthly)</t>
        </is>
      </c>
      <c r="D196" s="10" t="inlineStr">
        <is>
          <t>$k</t>
        </is>
      </c>
      <c r="E196" s="54" t="n"/>
      <c r="F196" s="54" t="n"/>
      <c r="G196" s="54" t="n"/>
      <c r="H196" s="54" t="n">
        <v>66.67209603489979</v>
      </c>
      <c r="I196" s="54" t="n"/>
      <c r="J196" s="54" t="n"/>
      <c r="K196" s="54" t="n"/>
      <c r="L196" s="54" t="n">
        <v>51.59123322641948</v>
      </c>
      <c r="M196" s="54" t="n"/>
      <c r="N196" s="54" t="n"/>
      <c r="O196" s="54" t="n"/>
      <c r="P196" s="54" t="n"/>
      <c r="Q196" s="54" t="n">
        <v>52.69869839668941</v>
      </c>
      <c r="R196" s="54" t="n"/>
      <c r="S196" s="54" t="n"/>
      <c r="T196" s="54" t="n"/>
      <c r="U196" s="54" t="n">
        <v>41.65774272207034</v>
      </c>
      <c r="V196" s="54" t="n"/>
      <c r="W196" s="54" t="n"/>
      <c r="X196" s="54" t="n"/>
      <c r="Y196" s="54" t="n"/>
      <c r="Z196" s="54" t="n">
        <v>58.97775773556774</v>
      </c>
      <c r="AA196" s="54" t="n"/>
      <c r="AB196" s="54" t="n"/>
      <c r="AC196" s="54" t="n"/>
      <c r="AD196" s="54" t="n">
        <v>54.02665873645324</v>
      </c>
      <c r="AE196" s="54" t="n"/>
      <c r="AF196" s="54" t="n"/>
      <c r="AG196" s="54" t="n"/>
      <c r="AH196" s="54" t="n">
        <v>100.7972372036713</v>
      </c>
      <c r="AI196" s="54" t="n"/>
      <c r="AJ196" s="54" t="n"/>
      <c r="AK196" s="54" t="n"/>
      <c r="AL196" s="54" t="n"/>
      <c r="AM196" s="54" t="n">
        <v>45.90416509779239</v>
      </c>
      <c r="AN196" s="54" t="n"/>
      <c r="AO196" s="54" t="n"/>
      <c r="AP196" s="54" t="n"/>
      <c r="AQ196" s="54" t="n">
        <v>68.32736876380628</v>
      </c>
      <c r="AR196" s="54" t="n"/>
      <c r="AS196" s="54" t="n"/>
      <c r="AT196" s="54" t="n"/>
      <c r="AU196" s="54" t="n">
        <v>170.7816230303037</v>
      </c>
      <c r="AV196" s="54" t="n"/>
      <c r="AW196" s="54" t="n"/>
      <c r="AX196" s="54" t="n"/>
      <c r="AY196" s="54" t="n"/>
      <c r="AZ196" s="54" t="n">
        <v>196.0246219502299</v>
      </c>
      <c r="BA196" s="54" t="n"/>
      <c r="BB196" s="54" t="n"/>
      <c r="BC196" s="54" t="n"/>
      <c r="BD196" s="54" t="n">
        <v>77.67697508665465</v>
      </c>
      <c r="BE196" s="54" t="n"/>
    </row>
    <row r="197" ht="15.75" customHeight="1">
      <c r="B197" s="7" t="inlineStr">
        <is>
          <t>As % of budget - this month</t>
        </is>
      </c>
      <c r="D197" s="17" t="inlineStr">
        <is>
          <t>%</t>
        </is>
      </c>
      <c r="E197" s="53" t="n"/>
      <c r="F197" s="53" t="n"/>
      <c r="G197" s="53" t="n"/>
      <c r="H197" s="53">
        <f>IFERROR(SUM(E195:H195)/H196,"")</f>
        <v/>
      </c>
      <c r="I197" s="53" t="n"/>
      <c r="J197" s="53" t="n"/>
      <c r="K197" s="53" t="n"/>
      <c r="L197" s="53">
        <f>IFERROR(SUM(I195:L195)/L196,"")</f>
        <v/>
      </c>
      <c r="M197" s="53" t="n"/>
      <c r="N197" s="53" t="n"/>
      <c r="O197" s="53" t="n"/>
      <c r="P197" s="53" t="n"/>
      <c r="Q197" s="53">
        <f>IFERROR(SUM(M195:Q195)/Q196,"")</f>
        <v/>
      </c>
      <c r="R197" s="53" t="n"/>
      <c r="S197" s="53" t="n"/>
      <c r="T197" s="53" t="n"/>
      <c r="U197" s="53">
        <f>IFERROR(SUM(R195:U195)/U196,"")</f>
        <v/>
      </c>
      <c r="V197" s="53" t="n"/>
      <c r="W197" s="53" t="n"/>
      <c r="X197" s="53" t="n"/>
      <c r="Y197" s="53" t="n"/>
      <c r="Z197" s="53">
        <f>IFERROR(SUM(V195:Z195)/Z196,"")</f>
        <v/>
      </c>
      <c r="AA197" s="53" t="n"/>
      <c r="AB197" s="53" t="n"/>
      <c r="AC197" s="53" t="n"/>
      <c r="AD197" s="53">
        <f>IFERROR(SUM(AA195:AD195)/AD196,"")</f>
        <v/>
      </c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</row>
    <row r="198" ht="15.75" customHeight="1">
      <c r="B198" s="7" t="inlineStr">
        <is>
          <t>As % of quarterly budget (QTD)</t>
        </is>
      </c>
      <c r="D198" s="17" t="inlineStr">
        <is>
          <t>%</t>
        </is>
      </c>
      <c r="E198" s="53" t="n"/>
      <c r="F198" s="53" t="n"/>
      <c r="G198" s="53" t="n"/>
      <c r="H198" s="53">
        <f>IFERROR(SUM(E195:H195)/(H196+L196+Q196),"")</f>
        <v/>
      </c>
      <c r="I198" s="53" t="n"/>
      <c r="J198" s="53" t="n"/>
      <c r="K198" s="53" t="n"/>
      <c r="L198" s="53">
        <f>IFERROR(SUM(E195:L195)/(H196+L196+Q196),"")</f>
        <v/>
      </c>
      <c r="M198" s="53" t="n"/>
      <c r="N198" s="53" t="n"/>
      <c r="O198" s="53" t="n"/>
      <c r="P198" s="53" t="n"/>
      <c r="Q198" s="53">
        <f>IFERROR(SUM(E195:Q195)/(H196+L196+Q196),"")</f>
        <v/>
      </c>
      <c r="R198" s="53" t="n"/>
      <c r="S198" s="53" t="n"/>
      <c r="T198" s="53" t="n"/>
      <c r="U198" s="53">
        <f>IFERROR(SUM(R195:U195)/(U196+Z196+AD196),"")</f>
        <v/>
      </c>
      <c r="V198" s="53" t="n"/>
      <c r="W198" s="53" t="n"/>
      <c r="X198" s="53" t="n"/>
      <c r="Y198" s="53" t="n"/>
      <c r="Z198" s="53">
        <f>IFERROR(SUM(R195:Z195)/(U196+Z196+AD196),"")</f>
        <v/>
      </c>
      <c r="AA198" s="53" t="n"/>
      <c r="AB198" s="53" t="n"/>
      <c r="AC198" s="53" t="n"/>
      <c r="AD198" s="53">
        <f>IFERROR(SUM(R195:AD195)/(U196+Z196+AD196),"")</f>
        <v/>
      </c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</row>
    <row r="199" ht="15.75" customHeight="1">
      <c r="B199" s="7" t="inlineStr">
        <is>
          <t>As % of annual budget (YTD)</t>
        </is>
      </c>
      <c r="D199" s="17" t="inlineStr">
        <is>
          <t>%</t>
        </is>
      </c>
      <c r="E199" s="53" t="n"/>
      <c r="F199" s="53" t="n"/>
      <c r="G199" s="53" t="n"/>
      <c r="H199" s="53">
        <f>IFERROR(SUM($E$195:H195)/SUM($E$196:BD196),"")</f>
        <v/>
      </c>
      <c r="I199" s="53" t="n"/>
      <c r="J199" s="53" t="n"/>
      <c r="K199" s="53" t="n"/>
      <c r="L199" s="53">
        <f>IFERROR(SUM($E$195:L195)/SUM($E$196:BD196),"")</f>
        <v/>
      </c>
      <c r="M199" s="53" t="n"/>
      <c r="N199" s="53" t="n"/>
      <c r="O199" s="53" t="n"/>
      <c r="P199" s="53" t="n"/>
      <c r="Q199" s="53">
        <f>IFERROR(SUM($E$195:Q195)/SUM($E$196:BD196),"")</f>
        <v/>
      </c>
      <c r="R199" s="53" t="n"/>
      <c r="S199" s="53" t="n"/>
      <c r="T199" s="53" t="n"/>
      <c r="U199" s="53">
        <f>IFERROR(SUM($E$195:U195)/SUM($E$196:BD196),"")</f>
        <v/>
      </c>
      <c r="V199" s="53" t="n"/>
      <c r="W199" s="53" t="n"/>
      <c r="X199" s="53" t="n"/>
      <c r="Y199" s="53" t="n"/>
      <c r="Z199" s="53">
        <f>IFERROR(SUM($E$195:Z195)/SUM($E$196:BD196),"")</f>
        <v/>
      </c>
      <c r="AA199" s="53" t="n"/>
      <c r="AB199" s="53" t="n"/>
      <c r="AC199" s="53" t="n"/>
      <c r="AD199" s="53">
        <f>IFERROR(SUM($E$195:AD195)/SUM($E$196:BD196),"")</f>
        <v/>
      </c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</row>
    <row r="200" ht="15.75" customHeight="1"/>
    <row r="201" ht="15.75" customHeight="1">
      <c r="A201" s="1" t="inlineStr">
        <is>
          <t>Total Marketing</t>
        </is>
      </c>
      <c r="B201" s="1" t="n"/>
      <c r="C201" s="1" t="n"/>
      <c r="D201" s="24" t="inlineStr">
        <is>
          <t>$k</t>
        </is>
      </c>
      <c r="E201" s="52" t="n"/>
      <c r="F201" s="52" t="n"/>
      <c r="G201" s="52" t="n"/>
      <c r="H201" s="52" t="n"/>
      <c r="I201" s="52" t="n"/>
      <c r="J201" s="52" t="n"/>
      <c r="K201" s="52" t="n"/>
      <c r="L201" s="52" t="n"/>
      <c r="M201" s="52" t="n"/>
      <c r="N201" s="52" t="n"/>
      <c r="O201" s="52" t="n"/>
      <c r="P201" s="52" t="n"/>
      <c r="Q201" s="52" t="n"/>
      <c r="R201" s="52" t="n"/>
      <c r="S201" s="52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L201" s="52" t="n"/>
      <c r="AM201" s="52" t="n"/>
      <c r="AN201" s="52" t="n"/>
      <c r="AO201" s="52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  <c r="BB201" s="52" t="n"/>
      <c r="BC201" s="52" t="n"/>
      <c r="BD201" s="52" t="n"/>
      <c r="BE201" s="52" t="n"/>
    </row>
    <row r="202" ht="15.75" customHeight="1">
      <c r="A202" s="1" t="n"/>
      <c r="B202" s="1" t="inlineStr">
        <is>
          <t>Finance Actuals (Monthly)</t>
        </is>
      </c>
      <c r="C202" s="1" t="n"/>
      <c r="D202" s="24" t="inlineStr">
        <is>
          <t>$k</t>
        </is>
      </c>
      <c r="E202" s="52" t="n"/>
      <c r="F202" s="52" t="n"/>
      <c r="G202" s="52" t="n"/>
      <c r="H202" s="52" t="n">
        <v>399.33827</v>
      </c>
      <c r="I202" s="52" t="n"/>
      <c r="J202" s="52" t="n"/>
      <c r="K202" s="52" t="n"/>
      <c r="L202" s="52" t="n">
        <v>380.7085300000001</v>
      </c>
      <c r="M202" s="52" t="n"/>
      <c r="N202" s="52" t="n"/>
      <c r="O202" s="52" t="n"/>
      <c r="P202" s="52" t="n"/>
      <c r="Q202" s="52" t="n">
        <v>433.5556</v>
      </c>
      <c r="R202" s="52" t="n"/>
      <c r="S202" s="52" t="n"/>
      <c r="T202" s="52" t="n"/>
      <c r="U202" s="52" t="n">
        <v>334.68296</v>
      </c>
      <c r="V202" s="52" t="n"/>
      <c r="W202" s="52" t="n"/>
      <c r="X202" s="52" t="n"/>
      <c r="Y202" s="52" t="n"/>
      <c r="Z202" s="52" t="n">
        <v>269.32245</v>
      </c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L202" s="52" t="n"/>
      <c r="AM202" s="52" t="n"/>
      <c r="AN202" s="52" t="n"/>
      <c r="AO202" s="52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  <c r="BB202" s="52" t="n"/>
      <c r="BC202" s="52" t="n"/>
      <c r="BD202" s="52" t="n"/>
      <c r="BE202" s="52" t="n"/>
    </row>
    <row r="203" ht="15.75" customHeight="1">
      <c r="B203" s="9" t="inlineStr">
        <is>
          <t>Budgeted (Monthly)</t>
        </is>
      </c>
      <c r="C203" s="9" t="n"/>
      <c r="D203" s="10" t="inlineStr">
        <is>
          <t>$k</t>
        </is>
      </c>
      <c r="E203" s="54" t="n"/>
      <c r="F203" s="54" t="n"/>
      <c r="G203" s="54" t="n"/>
      <c r="H203" s="54" t="n">
        <v>295.9560933359365</v>
      </c>
      <c r="I203" s="54" t="n"/>
      <c r="J203" s="54" t="n"/>
      <c r="K203" s="54" t="n"/>
      <c r="L203" s="54" t="n">
        <v>219.3000667644519</v>
      </c>
      <c r="M203" s="54" t="n"/>
      <c r="N203" s="54" t="n"/>
      <c r="O203" s="54" t="n"/>
      <c r="P203" s="54" t="n"/>
      <c r="Q203" s="54" t="n">
        <v>265.5773750184785</v>
      </c>
      <c r="R203" s="54" t="n"/>
      <c r="S203" s="54" t="n"/>
      <c r="T203" s="54" t="n"/>
      <c r="U203" s="54" t="n">
        <v>217.3890838352732</v>
      </c>
      <c r="V203" s="54" t="n"/>
      <c r="W203" s="54" t="n"/>
      <c r="X203" s="54" t="n"/>
      <c r="Y203" s="54" t="n"/>
      <c r="Z203" s="54" t="n">
        <v>289.681371037551</v>
      </c>
      <c r="AA203" s="54" t="n"/>
      <c r="AB203" s="54" t="n"/>
      <c r="AC203" s="54" t="n"/>
      <c r="AD203" s="54" t="n">
        <v>273.9896400778524</v>
      </c>
      <c r="AE203" s="54" t="n"/>
      <c r="AF203" s="54" t="n"/>
      <c r="AG203" s="54" t="n"/>
      <c r="AH203" s="54" t="n">
        <v>252.0133363922982</v>
      </c>
      <c r="AI203" s="54" t="n"/>
      <c r="AJ203" s="54" t="n"/>
      <c r="AK203" s="54" t="n"/>
      <c r="AL203" s="54" t="n"/>
      <c r="AM203" s="54" t="n">
        <v>240.4686353974666</v>
      </c>
      <c r="AN203" s="54" t="n"/>
      <c r="AO203" s="54" t="n"/>
      <c r="AP203" s="54" t="n"/>
      <c r="AQ203" s="54" t="n">
        <v>289.8586787320109</v>
      </c>
      <c r="AR203" s="54" t="n"/>
      <c r="AS203" s="54" t="n"/>
      <c r="AT203" s="54" t="n"/>
      <c r="AU203" s="54" t="n">
        <v>361.9244061024789</v>
      </c>
      <c r="AV203" s="54" t="n"/>
      <c r="AW203" s="54" t="n"/>
      <c r="AX203" s="54" t="n"/>
      <c r="AY203" s="54" t="n"/>
      <c r="AZ203" s="54" t="n">
        <v>414.496137509831</v>
      </c>
      <c r="BA203" s="54" t="n"/>
      <c r="BB203" s="54" t="n"/>
      <c r="BC203" s="54" t="n"/>
      <c r="BD203" s="54" t="n">
        <v>337.7219058087064</v>
      </c>
      <c r="BE203" s="54" t="n"/>
    </row>
    <row r="204" ht="15.75" customHeight="1">
      <c r="B204" s="7" t="inlineStr">
        <is>
          <t>As % of budget - this month</t>
        </is>
      </c>
      <c r="D204" s="17" t="inlineStr">
        <is>
          <t>%</t>
        </is>
      </c>
      <c r="E204" s="53" t="n"/>
      <c r="F204" s="53" t="n"/>
      <c r="G204" s="53" t="n"/>
      <c r="H204" s="53">
        <f>IFERROR(SUM(E202:H202)/H203,"")</f>
        <v/>
      </c>
      <c r="I204" s="53" t="n"/>
      <c r="J204" s="53" t="n"/>
      <c r="K204" s="53" t="n"/>
      <c r="L204" s="53">
        <f>IFERROR(SUM(I202:L202)/L203,"")</f>
        <v/>
      </c>
      <c r="M204" s="53" t="n"/>
      <c r="N204" s="53" t="n"/>
      <c r="O204" s="53" t="n"/>
      <c r="P204" s="53" t="n"/>
      <c r="Q204" s="53">
        <f>IFERROR(SUM(M202:Q202)/Q203,"")</f>
        <v/>
      </c>
      <c r="R204" s="53" t="n"/>
      <c r="S204" s="53" t="n"/>
      <c r="T204" s="53" t="n"/>
      <c r="U204" s="53">
        <f>IFERROR(SUM(R202:U202)/U203,"")</f>
        <v/>
      </c>
      <c r="V204" s="53" t="n"/>
      <c r="W204" s="53" t="n"/>
      <c r="X204" s="53" t="n"/>
      <c r="Y204" s="53" t="n"/>
      <c r="Z204" s="53">
        <f>IFERROR(SUM(V202:Z202)/Z203,"")</f>
        <v/>
      </c>
      <c r="AA204" s="53" t="n"/>
      <c r="AB204" s="53" t="n"/>
      <c r="AC204" s="53" t="n"/>
      <c r="AD204" s="53">
        <f>IFERROR(SUM(AA202:AD202)/AD203,"")</f>
        <v/>
      </c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</row>
    <row r="205" ht="15.75" customHeight="1">
      <c r="B205" s="7" t="inlineStr">
        <is>
          <t>As % of quarterly budget (QTD)</t>
        </is>
      </c>
      <c r="D205" s="17" t="inlineStr">
        <is>
          <t>%</t>
        </is>
      </c>
      <c r="E205" s="53" t="n"/>
      <c r="F205" s="53" t="n"/>
      <c r="G205" s="53" t="n"/>
      <c r="H205" s="53">
        <f>IFERROR(SUM(E202:H202)/(H203+L203+Q203),"")</f>
        <v/>
      </c>
      <c r="I205" s="53" t="n"/>
      <c r="J205" s="53" t="n"/>
      <c r="K205" s="53" t="n"/>
      <c r="L205" s="53">
        <f>IFERROR(SUM(E202:L202)/(H203+L203+Q203),"")</f>
        <v/>
      </c>
      <c r="M205" s="53" t="n"/>
      <c r="N205" s="53" t="n"/>
      <c r="O205" s="53" t="n"/>
      <c r="P205" s="53" t="n"/>
      <c r="Q205" s="53">
        <f>IFERROR(SUM(E202:Q202)/(H203+L203+Q203),"")</f>
        <v/>
      </c>
      <c r="R205" s="53" t="n"/>
      <c r="S205" s="53" t="n"/>
      <c r="T205" s="53" t="n"/>
      <c r="U205" s="53">
        <f>IFERROR(SUM(R202:U202)/(U203+Z203+AD203),"")</f>
        <v/>
      </c>
      <c r="V205" s="53" t="n"/>
      <c r="W205" s="53" t="n"/>
      <c r="X205" s="53" t="n"/>
      <c r="Y205" s="53" t="n"/>
      <c r="Z205" s="53">
        <f>IFERROR(SUM(R202:Z202)/(U203+Z203+AD203),"")</f>
        <v/>
      </c>
      <c r="AA205" s="53" t="n"/>
      <c r="AB205" s="53" t="n"/>
      <c r="AC205" s="53" t="n"/>
      <c r="AD205" s="53">
        <f>IFERROR(SUM(R202:AD202)/(U203+Z203+AD203),"")</f>
        <v/>
      </c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</row>
    <row r="206" ht="15.75" customHeight="1">
      <c r="B206" s="7" t="inlineStr">
        <is>
          <t>As % of annual budget (YTD)</t>
        </is>
      </c>
      <c r="D206" s="17" t="inlineStr">
        <is>
          <t>%</t>
        </is>
      </c>
      <c r="E206" s="53" t="n"/>
      <c r="F206" s="53" t="n"/>
      <c r="G206" s="53" t="n"/>
      <c r="H206" s="53">
        <f>IFERROR(SUM($E$202:H202)/SUM($E$203:BD203),"")</f>
        <v/>
      </c>
      <c r="I206" s="53" t="n"/>
      <c r="J206" s="53" t="n"/>
      <c r="K206" s="53" t="n"/>
      <c r="L206" s="53">
        <f>IFERROR(SUM($E$202:L202)/SUM($E$203:BD203),"")</f>
        <v/>
      </c>
      <c r="M206" s="53" t="n"/>
      <c r="N206" s="53" t="n"/>
      <c r="O206" s="53" t="n"/>
      <c r="P206" s="53" t="n"/>
      <c r="Q206" s="53">
        <f>IFERROR(SUM($E$202:Q202)/SUM($E$203:BD203),"")</f>
        <v/>
      </c>
      <c r="R206" s="53" t="n"/>
      <c r="S206" s="53" t="n"/>
      <c r="T206" s="53" t="n"/>
      <c r="U206" s="53">
        <f>IFERROR(SUM($E$202:U202)/SUM($E$203:BD203),"")</f>
        <v/>
      </c>
      <c r="V206" s="53" t="n"/>
      <c r="W206" s="53" t="n"/>
      <c r="X206" s="53" t="n"/>
      <c r="Y206" s="53" t="n"/>
      <c r="Z206" s="53">
        <f>IFERROR(SUM($E$202:Z202)/SUM($E$203:BD203),"")</f>
        <v/>
      </c>
      <c r="AA206" s="53" t="n"/>
      <c r="AB206" s="53" t="n"/>
      <c r="AC206" s="53" t="n"/>
      <c r="AD206" s="53">
        <f>IFERROR(SUM($E$202:AD202)/SUM($E$203:BD203),"")</f>
        <v/>
      </c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</row>
    <row r="207" ht="15.75" customHeight="1"/>
    <row r="208" ht="15.75" customFormat="1" customHeight="1" s="1">
      <c r="A208" s="1" t="inlineStr">
        <is>
          <t>Ads</t>
        </is>
      </c>
      <c r="B208" s="1" t="inlineStr">
        <is>
          <t>Real-time tracking</t>
        </is>
      </c>
      <c r="D208" s="24" t="inlineStr">
        <is>
          <t>$k</t>
        </is>
      </c>
      <c r="E208" s="52" t="n">
        <v>54.4255</v>
      </c>
      <c r="F208" s="52" t="n">
        <v>38.51414</v>
      </c>
      <c r="G208" s="52" t="n">
        <v>36.04068</v>
      </c>
      <c r="H208" s="52" t="n">
        <v>39.34256</v>
      </c>
      <c r="I208" s="52" t="n">
        <v>47.3189</v>
      </c>
      <c r="J208" s="52" t="n">
        <v>26.57542</v>
      </c>
      <c r="K208" s="52" t="n">
        <v>28.53181</v>
      </c>
      <c r="L208" s="52" t="n">
        <v>53.06933</v>
      </c>
      <c r="M208" s="52" t="n">
        <v>74.18224000000001</v>
      </c>
      <c r="N208" s="52" t="n">
        <v>40.59018</v>
      </c>
      <c r="O208" s="52" t="n">
        <v>33.00131</v>
      </c>
      <c r="P208" s="52" t="n">
        <v>51.236</v>
      </c>
      <c r="Q208" s="52" t="n">
        <v>64.90655000000001</v>
      </c>
      <c r="R208" s="52" t="n">
        <v>37.60924</v>
      </c>
      <c r="S208" s="52" t="n">
        <v>26.63017</v>
      </c>
      <c r="T208" s="52" t="n">
        <v>39.15215</v>
      </c>
      <c r="U208" s="52" t="n">
        <v>44.35764</v>
      </c>
      <c r="V208" s="52" t="n">
        <v>54.72473</v>
      </c>
      <c r="W208" s="52" t="n">
        <v>8.374000000000001</v>
      </c>
      <c r="X208" s="52" t="n">
        <v>10.33057</v>
      </c>
      <c r="Y208" s="52" t="n">
        <v>41.81375</v>
      </c>
      <c r="Z208" s="52" t="n">
        <v>50.55479</v>
      </c>
      <c r="AA208" s="52" t="n">
        <v>19.0568</v>
      </c>
      <c r="AB208" s="52" t="n">
        <v>15.16552</v>
      </c>
      <c r="AC208" s="52" t="n">
        <v>27.08095</v>
      </c>
      <c r="AD208" s="52" t="n">
        <v>31.65955</v>
      </c>
      <c r="AE208" s="52" t="n"/>
      <c r="AF208" s="52" t="n"/>
      <c r="AG208" s="52" t="n"/>
      <c r="AH208" s="52" t="n"/>
      <c r="AI208" s="52" t="n"/>
      <c r="AJ208" s="52" t="n"/>
      <c r="AK208" s="52" t="n"/>
      <c r="AL208" s="52" t="n"/>
      <c r="AM208" s="52" t="n"/>
      <c r="AN208" s="52" t="n"/>
      <c r="AO208" s="52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  <c r="BB208" s="52" t="n"/>
      <c r="BC208" s="52" t="n"/>
      <c r="BD208" s="52" t="n"/>
      <c r="BE208" s="52" t="n"/>
    </row>
    <row r="209" ht="15.75" customHeight="1">
      <c r="B209" s="9" t="inlineStr">
        <is>
          <t>Budgeted (Monthly)</t>
        </is>
      </c>
      <c r="C209" s="9" t="n"/>
      <c r="D209" s="10" t="inlineStr">
        <is>
          <t>$k</t>
        </is>
      </c>
      <c r="E209" s="54" t="n"/>
      <c r="F209" s="54" t="n"/>
      <c r="G209" s="54" t="n"/>
      <c r="H209" s="54" t="n">
        <v>159.1227600026032</v>
      </c>
      <c r="I209" s="54" t="n"/>
      <c r="J209" s="54" t="n"/>
      <c r="K209" s="54" t="n"/>
      <c r="L209" s="54" t="n">
        <v>82.46673343111851</v>
      </c>
      <c r="M209" s="54" t="n"/>
      <c r="N209" s="54" t="n"/>
      <c r="O209" s="54" t="n"/>
      <c r="P209" s="54" t="n"/>
      <c r="Q209" s="54" t="n">
        <v>128.7440416851451</v>
      </c>
      <c r="R209" s="54" t="n"/>
      <c r="S209" s="54" t="n"/>
      <c r="T209" s="54" t="n"/>
      <c r="U209" s="54" t="n">
        <v>80.55575050193988</v>
      </c>
      <c r="V209" s="54" t="n"/>
      <c r="W209" s="54" t="n"/>
      <c r="X209" s="54" t="n"/>
      <c r="Y209" s="54" t="n"/>
      <c r="Z209" s="54" t="n">
        <v>152.8480377042177</v>
      </c>
      <c r="AA209" s="54" t="n"/>
      <c r="AB209" s="54" t="n"/>
      <c r="AC209" s="54" t="n"/>
      <c r="AD209" s="54" t="n">
        <v>137.156306744519</v>
      </c>
      <c r="AE209" s="54" t="n"/>
      <c r="AF209" s="54" t="n"/>
      <c r="AG209" s="54" t="n"/>
      <c r="AH209" s="54" t="n">
        <v>115.1800030589649</v>
      </c>
      <c r="AI209" s="54" t="n"/>
      <c r="AJ209" s="54" t="n"/>
      <c r="AK209" s="54" t="n"/>
      <c r="AL209" s="54" t="n"/>
      <c r="AM209" s="54" t="n">
        <v>103.6353020641332</v>
      </c>
      <c r="AN209" s="54" t="n"/>
      <c r="AO209" s="54" t="n"/>
      <c r="AP209" s="54" t="n"/>
      <c r="AQ209" s="54" t="n">
        <v>153.0253453986776</v>
      </c>
      <c r="AR209" s="54" t="n"/>
      <c r="AS209" s="54" t="n"/>
      <c r="AT209" s="54" t="n"/>
      <c r="AU209" s="54" t="n">
        <v>225.0910727691456</v>
      </c>
      <c r="AV209" s="54" t="n"/>
      <c r="AW209" s="54" t="n"/>
      <c r="AX209" s="54" t="n"/>
      <c r="AY209" s="54" t="n"/>
      <c r="AZ209" s="54" t="n">
        <v>277.6628041764977</v>
      </c>
      <c r="BA209" s="54" t="n"/>
      <c r="BB209" s="54" t="n"/>
      <c r="BC209" s="54" t="n"/>
      <c r="BD209" s="54" t="n">
        <v>200.8885724753731</v>
      </c>
      <c r="BE209" s="54" t="n"/>
    </row>
    <row r="210" ht="15.75" customHeight="1"/>
    <row r="211" ht="15.75" customFormat="1" customHeight="1" s="1">
      <c r="A211" s="1" t="inlineStr">
        <is>
          <t>Other Marketing - Commissions &amp; Samples, etc.</t>
        </is>
      </c>
      <c r="D211" s="24" t="inlineStr">
        <is>
          <t>$k</t>
        </is>
      </c>
      <c r="E211" s="52" t="n"/>
      <c r="F211" s="52" t="n"/>
      <c r="G211" s="52" t="n"/>
      <c r="H211" s="52" t="n"/>
      <c r="I211" s="52" t="n"/>
      <c r="J211" s="52" t="n"/>
      <c r="K211" s="52" t="n"/>
      <c r="L211" s="52" t="n"/>
      <c r="M211" s="52" t="n"/>
      <c r="N211" s="52" t="n"/>
      <c r="O211" s="52" t="n"/>
      <c r="P211" s="52" t="n"/>
      <c r="Q211" s="52" t="n"/>
      <c r="R211" s="52" t="n"/>
      <c r="S211" s="52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  <c r="AL211" s="52" t="n"/>
      <c r="AM211" s="52" t="n"/>
      <c r="AN211" s="52" t="n"/>
      <c r="AO211" s="52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  <c r="BB211" s="52" t="n"/>
      <c r="BC211" s="52" t="n"/>
      <c r="BD211" s="52" t="n"/>
      <c r="BE211" s="52" t="n"/>
    </row>
    <row r="212" ht="15.75" customHeight="1">
      <c r="B212" s="9" t="inlineStr">
        <is>
          <t>Budgeted (Monthly)</t>
        </is>
      </c>
      <c r="C212" s="9" t="n"/>
      <c r="D212" s="10" t="inlineStr">
        <is>
          <t>$k</t>
        </is>
      </c>
      <c r="E212" s="54" t="n"/>
      <c r="F212" s="54" t="n"/>
      <c r="G212" s="54" t="n"/>
      <c r="H212" s="54" t="n">
        <v>136.8333333333333</v>
      </c>
      <c r="I212" s="54" t="n"/>
      <c r="J212" s="54" t="n"/>
      <c r="K212" s="54" t="n"/>
      <c r="L212" s="54" t="n">
        <v>136.8333333333333</v>
      </c>
      <c r="M212" s="54" t="n"/>
      <c r="N212" s="54" t="n"/>
      <c r="O212" s="54" t="n"/>
      <c r="P212" s="54" t="n"/>
      <c r="Q212" s="54" t="n">
        <v>136.8333333333333</v>
      </c>
      <c r="R212" s="54" t="n"/>
      <c r="S212" s="54" t="n"/>
      <c r="T212" s="54" t="n"/>
      <c r="U212" s="54" t="n">
        <v>136.8333333333333</v>
      </c>
      <c r="V212" s="54" t="n"/>
      <c r="W212" s="54" t="n"/>
      <c r="X212" s="54" t="n"/>
      <c r="Y212" s="54" t="n"/>
      <c r="Z212" s="54" t="n">
        <v>136.8333333333333</v>
      </c>
      <c r="AA212" s="54" t="n"/>
      <c r="AB212" s="54" t="n"/>
      <c r="AC212" s="54" t="n"/>
      <c r="AD212" s="54" t="n">
        <v>136.8333333333333</v>
      </c>
      <c r="AE212" s="54" t="n"/>
      <c r="AF212" s="54" t="n"/>
      <c r="AG212" s="54" t="n"/>
      <c r="AH212" s="54" t="n">
        <v>136.8333333333333</v>
      </c>
      <c r="AI212" s="54" t="n"/>
      <c r="AJ212" s="54" t="n"/>
      <c r="AK212" s="54" t="n"/>
      <c r="AL212" s="54" t="n"/>
      <c r="AM212" s="54" t="n">
        <v>136.8333333333333</v>
      </c>
      <c r="AN212" s="54" t="n"/>
      <c r="AO212" s="54" t="n"/>
      <c r="AP212" s="54" t="n"/>
      <c r="AQ212" s="54" t="n">
        <v>136.8333333333333</v>
      </c>
      <c r="AR212" s="54" t="n"/>
      <c r="AS212" s="54" t="n"/>
      <c r="AT212" s="54" t="n"/>
      <c r="AU212" s="54" t="n">
        <v>136.8333333333333</v>
      </c>
      <c r="AV212" s="54" t="n"/>
      <c r="AW212" s="54" t="n"/>
      <c r="AX212" s="54" t="n"/>
      <c r="AY212" s="54" t="n"/>
      <c r="AZ212" s="54" t="n">
        <v>136.8333333333333</v>
      </c>
      <c r="BA212" s="54" t="n"/>
      <c r="BB212" s="54" t="n"/>
      <c r="BC212" s="54" t="n"/>
      <c r="BD212" s="54" t="n">
        <v>136.8333333333333</v>
      </c>
      <c r="BE212" s="54" t="n"/>
    </row>
    <row r="213" ht="15.75" customHeight="1"/>
    <row r="214" ht="15.75" customHeight="1"/>
    <row r="215" ht="15.75" customHeight="1"/>
    <row r="216" ht="15.75" customHeight="1"/>
    <row r="217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8" ht="15.75" customHeight="1"/>
    <row r="229" ht="15.75" customHeight="1"/>
    <row r="232" ht="15.75" customHeight="1"/>
    <row r="233" ht="15.75" customHeight="1"/>
    <row r="236" ht="15.75" customHeight="1"/>
    <row r="237" ht="15.75" customHeight="1"/>
    <row r="240" ht="15.75" customHeight="1"/>
    <row r="241" ht="15.75" customHeight="1"/>
    <row r="244" ht="15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Tina Si</dc:creator>
  <dcterms:created xmlns:dcterms="http://purl.org/dc/terms/" xmlns:xsi="http://www.w3.org/2001/XMLSchema-instance" xsi:type="dcterms:W3CDTF">2026-05-14T18:29:42Z</dcterms:created>
  <dcterms:modified xmlns:dcterms="http://purl.org/dc/terms/" xmlns:xsi="http://www.w3.org/2001/XMLSchema-instance" xsi:type="dcterms:W3CDTF">2026-06-30T21:16:56Z</dcterms:modified>
</cp:coreProperties>
</file>