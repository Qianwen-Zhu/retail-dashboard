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rrabinowitch\Downloads\"/>
    </mc:Choice>
  </mc:AlternateContent>
  <xr:revisionPtr revIDLastSave="0" documentId="8_{B3377B22-3F32-4F52-89DD-5E232EC93377}" xr6:coauthVersionLast="47" xr6:coauthVersionMax="47" xr10:uidLastSave="{00000000-0000-0000-0000-000000000000}"/>
  <bookViews>
    <workbookView xWindow="-98" yWindow="-98" windowWidth="19396" windowHeight="11475" xr2:uid="{806A0300-7EC6-4DA6-9961-8C9B2AC93F9C}"/>
  </bookViews>
  <sheets>
    <sheet name="Marketing_Tracker" sheetId="1" r:id="rId1"/>
  </sheets>
  <definedNames>
    <definedName name="_xlnm._FilterDatabase" localSheetId="0" hidden="1">Marketing_Tracker!$D$1:$D$9</definedName>
    <definedName name="CIQWBGuid" hidden="1">"3c86cc96-7e41-4cd6-9705-0516d83db97f"</definedName>
    <definedName name="_xlnm.Extract" localSheetId="0">Marketing_Tracker!$C$11</definedName>
    <definedName name="Interval">#REF!</definedName>
    <definedName name="Interval2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44167.7088425926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CompsOverTimeMultipleB162" hidden="1">#REF!</definedName>
    <definedName name="IQRCompsOverTimeMultiplesB16" hidden="1">#REF!</definedName>
    <definedName name="IQRCompsOverTimeMultiplesC16" hidden="1">#REF!</definedName>
    <definedName name="ScheduleStart">#REF!</definedName>
    <definedName name="Typ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3" i="1" l="1"/>
  <c r="A61" i="1"/>
  <c r="A59" i="1"/>
  <c r="A57" i="1"/>
  <c r="A55" i="1"/>
  <c r="A53" i="1"/>
  <c r="A45" i="1"/>
  <c r="A35" i="1"/>
  <c r="A33" i="1"/>
  <c r="A31" i="1"/>
  <c r="A26" i="1"/>
  <c r="A22" i="1"/>
  <c r="A17" i="1"/>
  <c r="A11" i="1"/>
  <c r="A2" i="1"/>
  <c r="A3" i="1" l="1"/>
  <c r="A4" i="1" l="1"/>
  <c r="A5" i="1" l="1"/>
  <c r="A6" i="1" l="1"/>
  <c r="A8" i="1" l="1"/>
  <c r="A7" i="1"/>
  <c r="A9" i="1" l="1"/>
  <c r="A10" i="1" s="1"/>
  <c r="A12" i="1" l="1"/>
  <c r="A13" i="1" s="1"/>
  <c r="A14" i="1" s="1"/>
  <c r="A15" i="1" s="1"/>
  <c r="A16" i="1" s="1"/>
  <c r="A18" i="1" s="1"/>
  <c r="A19" i="1" s="1"/>
  <c r="A20" i="1" l="1"/>
  <c r="A21" i="1" s="1"/>
  <c r="A23" i="1" s="1"/>
  <c r="A24" i="1" s="1"/>
  <c r="A25" i="1" s="1"/>
  <c r="A27" i="1" s="1"/>
  <c r="A28" i="1" s="1"/>
  <c r="A29" i="1" s="1"/>
  <c r="A30" i="1" s="1"/>
  <c r="A32" i="1" s="1"/>
  <c r="A34" i="1" s="1"/>
  <c r="A36" i="1" s="1"/>
  <c r="A37" i="1" s="1"/>
  <c r="A38" i="1" s="1"/>
  <c r="A39" i="1" s="1"/>
  <c r="A40" i="1" s="1"/>
  <c r="A41" i="1" s="1"/>
  <c r="A42" i="1" s="1"/>
  <c r="A43" i="1" s="1"/>
  <c r="A44" i="1" s="1"/>
  <c r="A46" i="1" s="1"/>
  <c r="A47" i="1" s="1"/>
  <c r="A48" i="1" s="1"/>
  <c r="A49" i="1" s="1"/>
  <c r="A50" i="1" s="1"/>
  <c r="A51" i="1" s="1"/>
  <c r="A52" i="1" s="1"/>
  <c r="A54" i="1" s="1"/>
  <c r="A56" i="1" s="1"/>
  <c r="A58" i="1" s="1"/>
  <c r="A60" i="1" s="1"/>
  <c r="A62" i="1" s="1"/>
  <c r="A64" i="1" s="1"/>
</calcChain>
</file>

<file path=xl/sharedStrings.xml><?xml version="1.0" encoding="utf-8"?>
<sst xmlns="http://schemas.openxmlformats.org/spreadsheetml/2006/main" count="134" uniqueCount="78">
  <si>
    <t>#</t>
  </si>
  <si>
    <t>Channel</t>
  </si>
  <si>
    <t>Spend Bucket</t>
  </si>
  <si>
    <t>Description</t>
  </si>
  <si>
    <t>Q1-26</t>
  </si>
  <si>
    <t>Q2-26</t>
  </si>
  <si>
    <t>Q3-26</t>
  </si>
  <si>
    <t>Q4-26</t>
  </si>
  <si>
    <t>FY-26</t>
  </si>
  <si>
    <t>Amazon 1P</t>
  </si>
  <si>
    <t>MDF</t>
  </si>
  <si>
    <t>Retail marketing placements</t>
  </si>
  <si>
    <t>Non-Brand - Sponsored Ads</t>
  </si>
  <si>
    <t>Amazon Sponsored Ads for non-branded keywords/campaigns</t>
  </si>
  <si>
    <t>Brand - Sponsored Ads</t>
  </si>
  <si>
    <t>Amazon Sponsored Ads for branded keywords/campaigns</t>
  </si>
  <si>
    <t>Influencer</t>
  </si>
  <si>
    <t>Amazon associate influencers gets 10% commission for purchases made via their content</t>
  </si>
  <si>
    <t>Strategic Vendor Service - FTE</t>
  </si>
  <si>
    <t>Service fee for Amazon Customer Success Manager</t>
  </si>
  <si>
    <t>DSP</t>
  </si>
  <si>
    <t>Amazon Demand-side platform, which places our enrolled products to off-Amazon sites</t>
  </si>
  <si>
    <t>Prime Video Ads</t>
  </si>
  <si>
    <t>Lifestyle video ads on Prime Video</t>
  </si>
  <si>
    <t>Affiliate</t>
  </si>
  <si>
    <t>Third-party affiliate platform, onboarded creators get 10% commission from purchases made via their content</t>
  </si>
  <si>
    <t>Total</t>
  </si>
  <si>
    <t>Home Depot</t>
  </si>
  <si>
    <t>Marketing package</t>
  </si>
  <si>
    <t>Data and performance reporting + media marketing</t>
  </si>
  <si>
    <t>In-Store Display</t>
  </si>
  <si>
    <t>Endcap and in-aisle display updates throughout the year</t>
  </si>
  <si>
    <t>Events</t>
  </si>
  <si>
    <t>Retailer Specific Events (Home Depot Foundations)</t>
  </si>
  <si>
    <t>Brand Advocate</t>
  </si>
  <si>
    <t>Brand Advocate 1 FTE</t>
  </si>
  <si>
    <t>Walmart</t>
  </si>
  <si>
    <t>4ft inline</t>
  </si>
  <si>
    <t>Ad Spend</t>
  </si>
  <si>
    <t>WMC (Walmart Media Connect) - sponsored placements on WMT.com and CPC programs</t>
  </si>
  <si>
    <t>Content</t>
  </si>
  <si>
    <t>Syndigo (A+ Content for Offline)</t>
  </si>
  <si>
    <t>Costco</t>
  </si>
  <si>
    <t>Store Pallet - warehouse program</t>
  </si>
  <si>
    <t>Holiday Mailer</t>
  </si>
  <si>
    <t>Best Buy</t>
  </si>
  <si>
    <t>Other Retail</t>
  </si>
  <si>
    <t>Total Retail</t>
  </si>
  <si>
    <t>DTC</t>
  </si>
  <si>
    <t>Product Creative</t>
  </si>
  <si>
    <t>PR</t>
  </si>
  <si>
    <t>Paid Advertising</t>
  </si>
  <si>
    <t>- Meta (FB/IG)</t>
  </si>
  <si>
    <t>Primary engine for acquiring new HW buyers at &lt;= $30 CAC</t>
  </si>
  <si>
    <t>- Google Search + Shopping</t>
  </si>
  <si>
    <t>Capture high-intent Wyze and security-related queries</t>
  </si>
  <si>
    <t>- YouTube</t>
  </si>
  <si>
    <t>Product Education and new prod launch support</t>
  </si>
  <si>
    <t>- Other</t>
  </si>
  <si>
    <t>Nextdoor, CTV, experiments</t>
  </si>
  <si>
    <t>TikTok Shop</t>
  </si>
  <si>
    <t>Acquire new customers and drive halo effects</t>
  </si>
  <si>
    <t>Affiliate Commisions</t>
  </si>
  <si>
    <t>Free Samples</t>
  </si>
  <si>
    <t>Keep steady stream of content</t>
  </si>
  <si>
    <t>Livestreaming</t>
  </si>
  <si>
    <t>Agency and agency commissions</t>
  </si>
  <si>
    <t>Affiliate Maintenance and Tools</t>
  </si>
  <si>
    <t>Spend for Discord + flat fees</t>
  </si>
  <si>
    <t>Video</t>
  </si>
  <si>
    <t>Agency</t>
  </si>
  <si>
    <t>Paul</t>
  </si>
  <si>
    <t>EU</t>
  </si>
  <si>
    <t>Shared</t>
  </si>
  <si>
    <t>Agencies for PR, SEO, reputation management, affiliates, and paid ad management</t>
  </si>
  <si>
    <t>Total Hardware</t>
  </si>
  <si>
    <t>Subscription</t>
  </si>
  <si>
    <t>Wyze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</si>
</sst>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[$-409]mmm\-yy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theme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164" fontId="3" fillId="3" borderId="0" xfId="1" applyNumberFormat="1" applyFont="1" applyFill="1" applyAlignment="1">
      <alignment horizontal="center"/>
    </xf>
    <xf numFmtId="0" fontId="4" fillId="0" borderId="0" xfId="0" applyFont="1"/>
    <xf numFmtId="6" fontId="5" fillId="0" borderId="0" xfId="0" applyNumberFormat="1" applyFont="1"/>
    <xf numFmtId="0" fontId="6" fillId="0" borderId="0" xfId="0" applyFont="1"/>
    <xf numFmtId="0" fontId="7" fillId="0" borderId="2" xfId="0" applyFont="1" applyBorder="1"/>
    <xf numFmtId="0" fontId="7" fillId="0" borderId="3" xfId="0" applyFont="1" applyBorder="1"/>
    <xf numFmtId="6" fontId="8" fillId="0" borderId="3" xfId="0" applyNumberFormat="1" applyFont="1" applyBorder="1"/>
    <xf numFmtId="0" fontId="7" fillId="0" borderId="0" xfId="0" applyFont="1"/>
    <xf numFmtId="0" fontId="5" fillId="0" borderId="0" xfId="0" applyFont="1"/>
    <xf numFmtId="0" fontId="4" fillId="0" borderId="0" xfId="0" quotePrefix="1" applyFont="1" applyAlignment="1">
      <alignment horizontal="left" indent="2"/>
    </xf>
    <xf numFmtId="0" fontId="4" fillId="0" borderId="3" xfId="0" applyFont="1" applyBorder="1"/>
    <xf numFmtId="6" fontId="7" fillId="0" borderId="3" xfId="0" applyNumberFormat="1" applyFont="1" applyBorder="1"/>
    <xf numFmtId="0" fontId="9" fillId="0" borderId="0" xfId="0" applyFont="1"/>
  </cellXfs>
  <cellStyles count="2">
    <cellStyle name="Normal" xfId="0" builtinId="0"/>
    <cellStyle name="Normal 2 2" xfId="1" xr:uid="{13CF7D43-7A31-4E4B-892A-8BDE81A2A5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B8F55-F1A7-467E-9607-7EFDA6972519}">
  <sheetPr>
    <tabColor theme="7"/>
  </sheetPr>
  <dimension ref="A1:W65"/>
  <sheetViews>
    <sheetView tabSelected="1" workbookViewId="0">
      <pane xSplit="3" ySplit="1" topLeftCell="D2" activePane="bottomRight" state="frozen"/>
      <selection pane="bottomRight" activeCell="Y21" sqref="Y21"/>
      <selection pane="bottomLeft" activeCell="A2" sqref="A2"/>
      <selection pane="topRight" activeCell="D1" sqref="D1"/>
    </sheetView>
  </sheetViews>
  <sheetFormatPr defaultColWidth="8.85546875" defaultRowHeight="12.75" outlineLevelCol="1"/>
  <cols>
    <col min="1" max="1" width="4" style="4" customWidth="1"/>
    <col min="2" max="2" width="15.28515625" style="4" customWidth="1"/>
    <col min="3" max="3" width="26.85546875" style="4" bestFit="1" customWidth="1"/>
    <col min="4" max="4" width="55.140625" style="4" customWidth="1"/>
    <col min="5" max="16" width="11.7109375" style="4" customWidth="1" outlineLevel="1"/>
    <col min="17" max="21" width="11.7109375" style="4" customWidth="1"/>
    <col min="22" max="16384" width="8.85546875" style="4"/>
  </cols>
  <sheetData>
    <row r="1" spans="1:23" ht="13.15">
      <c r="A1" s="1" t="s">
        <v>0</v>
      </c>
      <c r="B1" s="2" t="s">
        <v>1</v>
      </c>
      <c r="C1" s="2" t="s">
        <v>2</v>
      </c>
      <c r="D1" s="2" t="s">
        <v>3</v>
      </c>
      <c r="E1" s="3">
        <v>46023</v>
      </c>
      <c r="F1" s="3">
        <v>46054</v>
      </c>
      <c r="G1" s="3">
        <v>46082</v>
      </c>
      <c r="H1" s="3">
        <v>46113</v>
      </c>
      <c r="I1" s="3">
        <v>46143</v>
      </c>
      <c r="J1" s="3">
        <v>46174</v>
      </c>
      <c r="K1" s="3">
        <v>46204</v>
      </c>
      <c r="L1" s="3">
        <v>46235</v>
      </c>
      <c r="M1" s="3">
        <v>46266</v>
      </c>
      <c r="N1" s="3">
        <v>46296</v>
      </c>
      <c r="O1" s="3">
        <v>46327</v>
      </c>
      <c r="P1" s="3">
        <v>46357</v>
      </c>
      <c r="Q1" s="3" t="s">
        <v>4</v>
      </c>
      <c r="R1" s="3" t="s">
        <v>5</v>
      </c>
      <c r="S1" s="3" t="s">
        <v>6</v>
      </c>
      <c r="T1" s="3" t="s">
        <v>7</v>
      </c>
      <c r="U1" s="3" t="s">
        <v>8</v>
      </c>
    </row>
    <row r="2" spans="1:23" ht="14.25">
      <c r="A2" s="2">
        <f xml:space="preserve"> IF(ISBLANK(B2), "", _xlfn.AGGREGATE(4, 7, $A$1:A1) + 1)</f>
        <v>1</v>
      </c>
      <c r="B2" s="4" t="s">
        <v>9</v>
      </c>
      <c r="C2" s="4" t="s">
        <v>10</v>
      </c>
      <c r="D2" s="4" t="s">
        <v>11</v>
      </c>
      <c r="E2" s="5">
        <v>50000</v>
      </c>
      <c r="F2" s="5">
        <v>50000</v>
      </c>
      <c r="G2" s="5">
        <v>50000</v>
      </c>
      <c r="H2" s="5">
        <v>278241.48877755605</v>
      </c>
      <c r="I2" s="5">
        <v>340752.12691798277</v>
      </c>
      <c r="J2" s="5">
        <v>541858.49293520045</v>
      </c>
      <c r="K2" s="5">
        <v>287773.28399493394</v>
      </c>
      <c r="L2" s="5">
        <v>282297.40885590285</v>
      </c>
      <c r="M2" s="5">
        <v>382833.19337738701</v>
      </c>
      <c r="N2" s="5">
        <v>696268.93557392946</v>
      </c>
      <c r="O2" s="5">
        <v>620834.54190318263</v>
      </c>
      <c r="P2" s="5">
        <v>287685.02075606276</v>
      </c>
      <c r="Q2" s="5">
        <v>150000</v>
      </c>
      <c r="R2" s="5">
        <v>1160852.1086307392</v>
      </c>
      <c r="S2" s="5">
        <v>952903.8862282238</v>
      </c>
      <c r="T2" s="5">
        <v>1604788.4982331749</v>
      </c>
      <c r="U2" s="5">
        <v>3868544.4930921379</v>
      </c>
      <c r="W2" s="6"/>
    </row>
    <row r="3" spans="1:23" ht="14.25">
      <c r="A3" s="2">
        <f xml:space="preserve"> IF(ISBLANK(B3), "", _xlfn.AGGREGATE(4, 7, $A$1:A2) + 1)</f>
        <v>2</v>
      </c>
      <c r="B3" s="4" t="s">
        <v>9</v>
      </c>
      <c r="C3" s="4" t="s">
        <v>12</v>
      </c>
      <c r="D3" s="4" t="s">
        <v>13</v>
      </c>
      <c r="E3" s="5">
        <v>109357</v>
      </c>
      <c r="F3" s="5">
        <v>87484</v>
      </c>
      <c r="G3" s="5">
        <v>96859</v>
      </c>
      <c r="H3" s="5">
        <v>93735</v>
      </c>
      <c r="I3" s="5">
        <v>99966</v>
      </c>
      <c r="J3" s="5">
        <v>96949</v>
      </c>
      <c r="K3" s="5">
        <v>100180</v>
      </c>
      <c r="L3" s="5">
        <v>100846</v>
      </c>
      <c r="M3" s="5">
        <v>106948</v>
      </c>
      <c r="N3" s="5">
        <v>110512</v>
      </c>
      <c r="O3" s="5">
        <v>106948</v>
      </c>
      <c r="P3" s="5">
        <v>92686</v>
      </c>
      <c r="Q3" s="5">
        <v>293700</v>
      </c>
      <c r="R3" s="5">
        <v>290650</v>
      </c>
      <c r="S3" s="5">
        <v>307974</v>
      </c>
      <c r="T3" s="5">
        <v>310146</v>
      </c>
      <c r="U3" s="5">
        <v>1202470</v>
      </c>
      <c r="W3" s="6"/>
    </row>
    <row r="4" spans="1:23" ht="14.25">
      <c r="A4" s="2">
        <f xml:space="preserve"> IF(ISBLANK(B4), "", _xlfn.AGGREGATE(4, 7, $A$1:A3) + 1)</f>
        <v>3</v>
      </c>
      <c r="B4" s="4" t="s">
        <v>9</v>
      </c>
      <c r="C4" s="4" t="s">
        <v>14</v>
      </c>
      <c r="D4" s="4" t="s">
        <v>15</v>
      </c>
      <c r="E4" s="5">
        <v>54780</v>
      </c>
      <c r="F4" s="5">
        <v>43827</v>
      </c>
      <c r="G4" s="5">
        <v>48520</v>
      </c>
      <c r="H4" s="5">
        <v>46953</v>
      </c>
      <c r="I4" s="5">
        <v>50073</v>
      </c>
      <c r="J4" s="5">
        <v>48560</v>
      </c>
      <c r="K4" s="5">
        <v>50180</v>
      </c>
      <c r="L4" s="5">
        <v>50513</v>
      </c>
      <c r="M4" s="5">
        <v>53559</v>
      </c>
      <c r="N4" s="5">
        <v>55345</v>
      </c>
      <c r="O4" s="5">
        <v>53559</v>
      </c>
      <c r="P4" s="5">
        <v>46421</v>
      </c>
      <c r="Q4" s="5">
        <v>147127</v>
      </c>
      <c r="R4" s="5">
        <v>145586</v>
      </c>
      <c r="S4" s="5">
        <v>154252</v>
      </c>
      <c r="T4" s="5">
        <v>155325</v>
      </c>
      <c r="U4" s="5">
        <v>602290</v>
      </c>
      <c r="W4" s="6"/>
    </row>
    <row r="5" spans="1:23" ht="14.25">
      <c r="A5" s="2">
        <f xml:space="preserve"> IF(ISBLANK(B5), "", _xlfn.AGGREGATE(4, 7, $A$1:A4) + 1)</f>
        <v>4</v>
      </c>
      <c r="B5" s="4" t="s">
        <v>9</v>
      </c>
      <c r="C5" s="4" t="s">
        <v>16</v>
      </c>
      <c r="D5" s="4" t="s">
        <v>17</v>
      </c>
      <c r="E5" s="5">
        <v>37300</v>
      </c>
      <c r="F5" s="5">
        <v>38300</v>
      </c>
      <c r="G5" s="5">
        <v>46000</v>
      </c>
      <c r="H5" s="5">
        <v>38300</v>
      </c>
      <c r="I5" s="5">
        <v>39300</v>
      </c>
      <c r="J5" s="5">
        <v>40300</v>
      </c>
      <c r="K5" s="5">
        <v>51500</v>
      </c>
      <c r="L5" s="5">
        <v>43300</v>
      </c>
      <c r="M5" s="5">
        <v>46300</v>
      </c>
      <c r="N5" s="5">
        <v>57500</v>
      </c>
      <c r="O5" s="5">
        <v>57500</v>
      </c>
      <c r="P5" s="5">
        <v>57500</v>
      </c>
      <c r="Q5" s="5">
        <v>121600</v>
      </c>
      <c r="R5" s="5">
        <v>117900</v>
      </c>
      <c r="S5" s="5">
        <v>141100</v>
      </c>
      <c r="T5" s="5">
        <v>172500</v>
      </c>
      <c r="U5" s="5">
        <v>553100</v>
      </c>
      <c r="W5" s="6"/>
    </row>
    <row r="6" spans="1:23" ht="14.25">
      <c r="A6" s="2">
        <f xml:space="preserve"> IF(ISBLANK(B6), "", _xlfn.AGGREGATE(4, 7, $A$1:A5) + 1)</f>
        <v>5</v>
      </c>
      <c r="B6" s="4" t="s">
        <v>9</v>
      </c>
      <c r="C6" s="4" t="s">
        <v>18</v>
      </c>
      <c r="D6" s="4" t="s">
        <v>19</v>
      </c>
      <c r="E6" s="5">
        <v>35416.666666666664</v>
      </c>
      <c r="F6" s="5">
        <v>35416.666666666664</v>
      </c>
      <c r="G6" s="5">
        <v>35416.666666666664</v>
      </c>
      <c r="H6" s="5">
        <v>35416.666666666664</v>
      </c>
      <c r="I6" s="5">
        <v>35416.666666666664</v>
      </c>
      <c r="J6" s="5">
        <v>35416.666666666664</v>
      </c>
      <c r="K6" s="5">
        <v>35416.666666666664</v>
      </c>
      <c r="L6" s="5">
        <v>35416.666666666664</v>
      </c>
      <c r="M6" s="5">
        <v>35416.666666666664</v>
      </c>
      <c r="N6" s="5">
        <v>35416.666666666664</v>
      </c>
      <c r="O6" s="5">
        <v>35416.666666666664</v>
      </c>
      <c r="P6" s="5">
        <v>35416.666666666664</v>
      </c>
      <c r="Q6" s="5">
        <v>106250</v>
      </c>
      <c r="R6" s="5">
        <v>106250</v>
      </c>
      <c r="S6" s="5">
        <v>106250</v>
      </c>
      <c r="T6" s="5">
        <v>106250</v>
      </c>
      <c r="U6" s="5">
        <v>425000.00000000006</v>
      </c>
      <c r="W6" s="6"/>
    </row>
    <row r="7" spans="1:23" ht="14.25">
      <c r="A7" s="2">
        <f xml:space="preserve"> IF(ISBLANK(B7), "", _xlfn.AGGREGATE(4, 7, $A$1:A6) + 1)</f>
        <v>6</v>
      </c>
      <c r="B7" s="4" t="s">
        <v>9</v>
      </c>
      <c r="C7" s="4" t="s">
        <v>20</v>
      </c>
      <c r="D7" s="4" t="s">
        <v>21</v>
      </c>
      <c r="E7" s="5">
        <v>25000</v>
      </c>
      <c r="F7" s="5">
        <v>30000</v>
      </c>
      <c r="G7" s="5">
        <v>35000</v>
      </c>
      <c r="H7" s="5">
        <v>25000</v>
      </c>
      <c r="I7" s="5">
        <v>24999.999999999996</v>
      </c>
      <c r="J7" s="5">
        <v>25000</v>
      </c>
      <c r="K7" s="5">
        <v>45000</v>
      </c>
      <c r="L7" s="5">
        <v>25000</v>
      </c>
      <c r="M7" s="5">
        <v>25000</v>
      </c>
      <c r="N7" s="5">
        <v>35000</v>
      </c>
      <c r="O7" s="5">
        <v>45000</v>
      </c>
      <c r="P7" s="5">
        <v>29999.999999999996</v>
      </c>
      <c r="Q7" s="5">
        <v>90000</v>
      </c>
      <c r="R7" s="5">
        <v>75000</v>
      </c>
      <c r="S7" s="5">
        <v>95000</v>
      </c>
      <c r="T7" s="5">
        <v>110000</v>
      </c>
      <c r="U7" s="5">
        <v>370000</v>
      </c>
      <c r="W7" s="6"/>
    </row>
    <row r="8" spans="1:23" ht="14.25">
      <c r="A8" s="2">
        <f xml:space="preserve"> IF(ISBLANK(B8), "", _xlfn.AGGREGATE(4, 7, $A$1:A7) + 1)</f>
        <v>7</v>
      </c>
      <c r="B8" s="4" t="s">
        <v>9</v>
      </c>
      <c r="C8" s="4" t="s">
        <v>22</v>
      </c>
      <c r="D8" s="4" t="s">
        <v>23</v>
      </c>
      <c r="E8" s="5">
        <v>0</v>
      </c>
      <c r="F8" s="5">
        <v>0</v>
      </c>
      <c r="G8" s="5">
        <v>0</v>
      </c>
      <c r="H8" s="5">
        <v>20000</v>
      </c>
      <c r="I8" s="5">
        <v>20000</v>
      </c>
      <c r="J8" s="5">
        <v>35000</v>
      </c>
      <c r="K8" s="5">
        <v>45000</v>
      </c>
      <c r="L8" s="5">
        <v>20000</v>
      </c>
      <c r="M8" s="5">
        <v>20000</v>
      </c>
      <c r="N8" s="5">
        <v>55000</v>
      </c>
      <c r="O8" s="5">
        <v>65000</v>
      </c>
      <c r="P8" s="5">
        <v>55000</v>
      </c>
      <c r="Q8" s="5">
        <v>0</v>
      </c>
      <c r="R8" s="5">
        <v>75000</v>
      </c>
      <c r="S8" s="5">
        <v>85000</v>
      </c>
      <c r="T8" s="5">
        <v>175000</v>
      </c>
      <c r="U8" s="5">
        <v>335000</v>
      </c>
      <c r="W8" s="6"/>
    </row>
    <row r="9" spans="1:23" ht="14.25">
      <c r="A9" s="2">
        <f xml:space="preserve"> IF(ISBLANK(B9), "", _xlfn.AGGREGATE(4, 7, $A$1:A8) + 1)</f>
        <v>8</v>
      </c>
      <c r="B9" s="4" t="s">
        <v>9</v>
      </c>
      <c r="C9" s="4" t="s">
        <v>24</v>
      </c>
      <c r="D9" s="4" t="s">
        <v>25</v>
      </c>
      <c r="E9" s="5">
        <v>11950</v>
      </c>
      <c r="F9" s="5">
        <v>13114</v>
      </c>
      <c r="G9" s="5">
        <v>13974.400000000001</v>
      </c>
      <c r="H9" s="5">
        <v>14416.840000000006</v>
      </c>
      <c r="I9" s="5">
        <v>16367.523999999998</v>
      </c>
      <c r="J9" s="5">
        <v>18393.276399999999</v>
      </c>
      <c r="K9" s="5">
        <v>19541.604040000002</v>
      </c>
      <c r="L9" s="5">
        <v>24100.764444</v>
      </c>
      <c r="M9" s="5">
        <v>28799.840888400009</v>
      </c>
      <c r="N9" s="5">
        <v>30248.824977240009</v>
      </c>
      <c r="O9" s="5">
        <v>30956.209284540004</v>
      </c>
      <c r="P9" s="5">
        <v>32356.830212994013</v>
      </c>
      <c r="Q9" s="5">
        <v>39038.400000000001</v>
      </c>
      <c r="R9" s="5">
        <v>49177.640400000004</v>
      </c>
      <c r="S9" s="5">
        <v>72442.209372400015</v>
      </c>
      <c r="T9" s="5">
        <v>93561.864474774018</v>
      </c>
      <c r="U9" s="5">
        <v>254220.11424717403</v>
      </c>
      <c r="W9" s="6"/>
    </row>
    <row r="10" spans="1:23" s="10" customFormat="1" ht="13.15">
      <c r="A10" s="2">
        <f xml:space="preserve"> IF(ISBLANK(B10), "", _xlfn.AGGREGATE(4, 7, $A$1:A9) + 1)</f>
        <v>9</v>
      </c>
      <c r="B10" s="7" t="s">
        <v>9</v>
      </c>
      <c r="C10" s="8" t="s">
        <v>26</v>
      </c>
      <c r="D10" s="8"/>
      <c r="E10" s="9">
        <v>323803.66666666669</v>
      </c>
      <c r="F10" s="9">
        <v>298141.66666666663</v>
      </c>
      <c r="G10" s="9">
        <v>325770.06666666671</v>
      </c>
      <c r="H10" s="9">
        <v>552062.9954442227</v>
      </c>
      <c r="I10" s="9">
        <v>626875.31758464931</v>
      </c>
      <c r="J10" s="9">
        <v>841477.43600186706</v>
      </c>
      <c r="K10" s="9">
        <v>634591.55470160057</v>
      </c>
      <c r="L10" s="9">
        <v>581473.83996656945</v>
      </c>
      <c r="M10" s="9">
        <v>698856.70093245362</v>
      </c>
      <c r="N10" s="9">
        <v>1075291.427217836</v>
      </c>
      <c r="O10" s="9">
        <v>1015214.4178543893</v>
      </c>
      <c r="P10" s="9">
        <v>637065.51763572346</v>
      </c>
      <c r="Q10" s="9">
        <v>947715.39999999991</v>
      </c>
      <c r="R10" s="9">
        <v>2020415.7490307391</v>
      </c>
      <c r="S10" s="9">
        <v>1914922.0956006236</v>
      </c>
      <c r="T10" s="9">
        <v>2727571.3627079488</v>
      </c>
      <c r="U10" s="9">
        <v>7610624.6073393114</v>
      </c>
    </row>
    <row r="11" spans="1:23">
      <c r="A11" s="2" t="str">
        <f xml:space="preserve"> IF(ISBLANK(B11), "", _xlfn.AGGREGATE(4, 7, $A$1:A10) + 1)</f>
        <v/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11"/>
      <c r="R11" s="11"/>
      <c r="S11" s="11"/>
      <c r="T11" s="11"/>
      <c r="U11" s="11"/>
    </row>
    <row r="12" spans="1:23">
      <c r="A12" s="2">
        <f xml:space="preserve"> IF(ISBLANK(B12), "", _xlfn.AGGREGATE(4, 7, $A$1:A11) + 1)</f>
        <v>10</v>
      </c>
      <c r="B12" s="4" t="s">
        <v>27</v>
      </c>
      <c r="C12" s="4" t="s">
        <v>28</v>
      </c>
      <c r="D12" s="4" t="s">
        <v>29</v>
      </c>
      <c r="E12" s="5">
        <v>64583.333333333336</v>
      </c>
      <c r="F12" s="5">
        <v>64583.333333333336</v>
      </c>
      <c r="G12" s="5">
        <v>64583.333333333336</v>
      </c>
      <c r="H12" s="5">
        <v>64583.333333333336</v>
      </c>
      <c r="I12" s="5">
        <v>64583.333333333336</v>
      </c>
      <c r="J12" s="5">
        <v>64583.333333333336</v>
      </c>
      <c r="K12" s="5">
        <v>64583.333333333336</v>
      </c>
      <c r="L12" s="5">
        <v>64583.333333333336</v>
      </c>
      <c r="M12" s="5">
        <v>64583.333333333336</v>
      </c>
      <c r="N12" s="5">
        <v>64583.333333333336</v>
      </c>
      <c r="O12" s="5">
        <v>64583.333333333336</v>
      </c>
      <c r="P12" s="5">
        <v>64583.333333333336</v>
      </c>
      <c r="Q12" s="5">
        <v>193750</v>
      </c>
      <c r="R12" s="5">
        <v>193750</v>
      </c>
      <c r="S12" s="5">
        <v>193750</v>
      </c>
      <c r="T12" s="5">
        <v>193750</v>
      </c>
      <c r="U12" s="5">
        <v>775000.00000000012</v>
      </c>
    </row>
    <row r="13" spans="1:23">
      <c r="A13" s="2">
        <f xml:space="preserve"> IF(ISBLANK(B13), "", _xlfn.AGGREGATE(4, 7, $A$1:A12) + 1)</f>
        <v>11</v>
      </c>
      <c r="B13" s="4" t="s">
        <v>27</v>
      </c>
      <c r="C13" s="4" t="s">
        <v>30</v>
      </c>
      <c r="D13" s="4" t="s">
        <v>31</v>
      </c>
      <c r="E13" s="5">
        <v>65833.333333333328</v>
      </c>
      <c r="F13" s="5">
        <v>65833.333333333328</v>
      </c>
      <c r="G13" s="5">
        <v>65833.333333333328</v>
      </c>
      <c r="H13" s="5">
        <v>65833.333333333328</v>
      </c>
      <c r="I13" s="5">
        <v>65833.333333333328</v>
      </c>
      <c r="J13" s="5">
        <v>65833.333333333328</v>
      </c>
      <c r="K13" s="5">
        <v>65833.333333333328</v>
      </c>
      <c r="L13" s="5">
        <v>65833.333333333328</v>
      </c>
      <c r="M13" s="5">
        <v>65833.333333333328</v>
      </c>
      <c r="N13" s="5">
        <v>65833.333333333328</v>
      </c>
      <c r="O13" s="5">
        <v>65833.333333333328</v>
      </c>
      <c r="P13" s="5">
        <v>65833.333333333328</v>
      </c>
      <c r="Q13" s="5">
        <v>197500</v>
      </c>
      <c r="R13" s="5">
        <v>197500</v>
      </c>
      <c r="S13" s="5">
        <v>197500</v>
      </c>
      <c r="T13" s="5">
        <v>197500</v>
      </c>
      <c r="U13" s="5">
        <v>790000.00000000012</v>
      </c>
    </row>
    <row r="14" spans="1:23">
      <c r="A14" s="2">
        <f xml:space="preserve"> IF(ISBLANK(B14), "", _xlfn.AGGREGATE(4, 7, $A$1:A13) + 1)</f>
        <v>12</v>
      </c>
      <c r="B14" s="4" t="s">
        <v>27</v>
      </c>
      <c r="C14" s="4" t="s">
        <v>32</v>
      </c>
      <c r="D14" s="4" t="s">
        <v>33</v>
      </c>
      <c r="E14" s="5">
        <v>47500</v>
      </c>
      <c r="F14" s="5">
        <v>47500</v>
      </c>
      <c r="G14" s="5">
        <v>47500</v>
      </c>
      <c r="H14" s="5">
        <v>9166.6666666666661</v>
      </c>
      <c r="I14" s="5">
        <v>9166.6666666666661</v>
      </c>
      <c r="J14" s="5">
        <v>9166.6666666666661</v>
      </c>
      <c r="K14" s="5">
        <v>9166.6666666666661</v>
      </c>
      <c r="L14" s="5">
        <v>9166.6666666666661</v>
      </c>
      <c r="M14" s="5">
        <v>9166.6666666666661</v>
      </c>
      <c r="N14" s="5">
        <v>9166.6666666666661</v>
      </c>
      <c r="O14" s="5">
        <v>9166.6666666666661</v>
      </c>
      <c r="P14" s="5">
        <v>9166.6666666666661</v>
      </c>
      <c r="Q14" s="5">
        <v>142500</v>
      </c>
      <c r="R14" s="5">
        <v>27500</v>
      </c>
      <c r="S14" s="5">
        <v>27500</v>
      </c>
      <c r="T14" s="5">
        <v>27500</v>
      </c>
      <c r="U14" s="5">
        <v>224999.99999999991</v>
      </c>
    </row>
    <row r="15" spans="1:23">
      <c r="A15" s="2">
        <f xml:space="preserve"> IF(ISBLANK(B15), "", _xlfn.AGGREGATE(4, 7, $A$1:A14) + 1)</f>
        <v>13</v>
      </c>
      <c r="B15" s="4" t="s">
        <v>27</v>
      </c>
      <c r="C15" s="4" t="s">
        <v>34</v>
      </c>
      <c r="D15" s="4" t="s">
        <v>35</v>
      </c>
      <c r="E15" s="5">
        <v>6250</v>
      </c>
      <c r="F15" s="5">
        <v>6250</v>
      </c>
      <c r="G15" s="5">
        <v>6250</v>
      </c>
      <c r="H15" s="5">
        <v>6250</v>
      </c>
      <c r="I15" s="5">
        <v>6250</v>
      </c>
      <c r="J15" s="5">
        <v>6250</v>
      </c>
      <c r="K15" s="5">
        <v>6250</v>
      </c>
      <c r="L15" s="5">
        <v>6250</v>
      </c>
      <c r="M15" s="5">
        <v>6250</v>
      </c>
      <c r="N15" s="5">
        <v>6250</v>
      </c>
      <c r="O15" s="5">
        <v>6250</v>
      </c>
      <c r="P15" s="5">
        <v>6250</v>
      </c>
      <c r="Q15" s="5">
        <v>18750</v>
      </c>
      <c r="R15" s="5">
        <v>18750</v>
      </c>
      <c r="S15" s="5">
        <v>18750</v>
      </c>
      <c r="T15" s="5">
        <v>18750</v>
      </c>
      <c r="U15" s="5">
        <v>75000</v>
      </c>
    </row>
    <row r="16" spans="1:23" s="10" customFormat="1" ht="13.15">
      <c r="A16" s="2">
        <f xml:space="preserve"> IF(ISBLANK(B16), "", _xlfn.AGGREGATE(4, 7, $A$1:A15) + 1)</f>
        <v>14</v>
      </c>
      <c r="B16" s="7" t="s">
        <v>27</v>
      </c>
      <c r="C16" s="8" t="s">
        <v>26</v>
      </c>
      <c r="D16" s="8"/>
      <c r="E16" s="9">
        <v>184166.66666666666</v>
      </c>
      <c r="F16" s="9">
        <v>184166.66666666666</v>
      </c>
      <c r="G16" s="9">
        <v>184166.66666666666</v>
      </c>
      <c r="H16" s="9">
        <v>145833.33333333331</v>
      </c>
      <c r="I16" s="9">
        <v>145833.33333333331</v>
      </c>
      <c r="J16" s="9">
        <v>145833.33333333331</v>
      </c>
      <c r="K16" s="9">
        <v>145833.33333333331</v>
      </c>
      <c r="L16" s="9">
        <v>145833.33333333331</v>
      </c>
      <c r="M16" s="9">
        <v>145833.33333333331</v>
      </c>
      <c r="N16" s="9">
        <v>145833.33333333331</v>
      </c>
      <c r="O16" s="9">
        <v>145833.33333333331</v>
      </c>
      <c r="P16" s="9">
        <v>145833.33333333331</v>
      </c>
      <c r="Q16" s="9">
        <v>552500</v>
      </c>
      <c r="R16" s="9">
        <v>437499.99999999994</v>
      </c>
      <c r="S16" s="9">
        <v>437499.99999999994</v>
      </c>
      <c r="T16" s="9">
        <v>437499.99999999994</v>
      </c>
      <c r="U16" s="9">
        <v>1864999.9999999993</v>
      </c>
    </row>
    <row r="17" spans="1:21">
      <c r="A17" s="2" t="str">
        <f xml:space="preserve"> IF(ISBLANK(B17), "", _xlfn.AGGREGATE(4, 7, $A$1:A16) + 1)</f>
        <v/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1:21">
      <c r="A18" s="2">
        <f xml:space="preserve"> IF(ISBLANK(B18), "", _xlfn.AGGREGATE(4, 7, $A$1:A17) + 1)</f>
        <v>15</v>
      </c>
      <c r="B18" s="4" t="s">
        <v>36</v>
      </c>
      <c r="C18" s="4" t="s">
        <v>30</v>
      </c>
      <c r="D18" s="4" t="s">
        <v>37</v>
      </c>
      <c r="E18" s="5">
        <v>0</v>
      </c>
      <c r="F18" s="5">
        <v>0</v>
      </c>
      <c r="G18" s="5">
        <v>0</v>
      </c>
      <c r="H18" s="5">
        <v>500000</v>
      </c>
      <c r="I18" s="5">
        <v>500000</v>
      </c>
      <c r="J18" s="5">
        <v>500000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1500000</v>
      </c>
      <c r="S18" s="5">
        <v>0</v>
      </c>
      <c r="T18" s="5">
        <v>0</v>
      </c>
      <c r="U18" s="5">
        <v>1500000</v>
      </c>
    </row>
    <row r="19" spans="1:21">
      <c r="A19" s="2">
        <f xml:space="preserve"> IF(ISBLANK(B19), "", _xlfn.AGGREGATE(4, 7, $A$1:A18) + 1)</f>
        <v>16</v>
      </c>
      <c r="B19" s="4" t="s">
        <v>36</v>
      </c>
      <c r="C19" s="4" t="s">
        <v>38</v>
      </c>
      <c r="D19" s="4" t="s">
        <v>39</v>
      </c>
      <c r="E19" s="5">
        <v>50000</v>
      </c>
      <c r="F19" s="5">
        <v>50000</v>
      </c>
      <c r="G19" s="5">
        <v>50000</v>
      </c>
      <c r="H19" s="5">
        <v>50000</v>
      </c>
      <c r="I19" s="5">
        <v>50000</v>
      </c>
      <c r="J19" s="5">
        <v>50000</v>
      </c>
      <c r="K19" s="5">
        <v>50000</v>
      </c>
      <c r="L19" s="5">
        <v>50000</v>
      </c>
      <c r="M19" s="5">
        <v>50000</v>
      </c>
      <c r="N19" s="5">
        <v>50000</v>
      </c>
      <c r="O19" s="5">
        <v>50000</v>
      </c>
      <c r="P19" s="5">
        <v>50000</v>
      </c>
      <c r="Q19" s="5">
        <v>150000</v>
      </c>
      <c r="R19" s="5">
        <v>150000</v>
      </c>
      <c r="S19" s="5">
        <v>150000</v>
      </c>
      <c r="T19" s="5">
        <v>150000</v>
      </c>
      <c r="U19" s="5">
        <v>600000</v>
      </c>
    </row>
    <row r="20" spans="1:21">
      <c r="A20" s="2">
        <f xml:space="preserve"> IF(ISBLANK(B20), "", _xlfn.AGGREGATE(4, 7, $A$1:A19) + 1)</f>
        <v>17</v>
      </c>
      <c r="B20" s="4" t="s">
        <v>36</v>
      </c>
      <c r="C20" s="4" t="s">
        <v>40</v>
      </c>
      <c r="D20" s="4" t="s">
        <v>41</v>
      </c>
      <c r="E20" s="5">
        <v>2500</v>
      </c>
      <c r="F20" s="5">
        <v>2500</v>
      </c>
      <c r="G20" s="5">
        <v>2500</v>
      </c>
      <c r="H20" s="5">
        <v>2500</v>
      </c>
      <c r="I20" s="5">
        <v>2500</v>
      </c>
      <c r="J20" s="5">
        <v>2500</v>
      </c>
      <c r="K20" s="5">
        <v>2500</v>
      </c>
      <c r="L20" s="5">
        <v>2500</v>
      </c>
      <c r="M20" s="5">
        <v>2500</v>
      </c>
      <c r="N20" s="5">
        <v>2500</v>
      </c>
      <c r="O20" s="5">
        <v>2500</v>
      </c>
      <c r="P20" s="5">
        <v>2500</v>
      </c>
      <c r="Q20" s="5">
        <v>7500</v>
      </c>
      <c r="R20" s="5">
        <v>7500</v>
      </c>
      <c r="S20" s="5">
        <v>7500</v>
      </c>
      <c r="T20" s="5">
        <v>7500</v>
      </c>
      <c r="U20" s="5">
        <v>30000</v>
      </c>
    </row>
    <row r="21" spans="1:21" ht="13.15">
      <c r="A21" s="2">
        <f xml:space="preserve"> IF(ISBLANK(B21), "", _xlfn.AGGREGATE(4, 7, $A$1:A20) + 1)</f>
        <v>18</v>
      </c>
      <c r="B21" s="7" t="s">
        <v>36</v>
      </c>
      <c r="C21" s="8" t="s">
        <v>26</v>
      </c>
      <c r="D21" s="8"/>
      <c r="E21" s="9">
        <v>52500</v>
      </c>
      <c r="F21" s="9">
        <v>52500</v>
      </c>
      <c r="G21" s="9">
        <v>52500</v>
      </c>
      <c r="H21" s="9">
        <v>552500</v>
      </c>
      <c r="I21" s="9">
        <v>552500</v>
      </c>
      <c r="J21" s="9">
        <v>552500</v>
      </c>
      <c r="K21" s="9">
        <v>52500</v>
      </c>
      <c r="L21" s="9">
        <v>52500</v>
      </c>
      <c r="M21" s="9">
        <v>52500</v>
      </c>
      <c r="N21" s="9">
        <v>52500</v>
      </c>
      <c r="O21" s="9">
        <v>52500</v>
      </c>
      <c r="P21" s="9">
        <v>52500</v>
      </c>
      <c r="Q21" s="9">
        <v>157500</v>
      </c>
      <c r="R21" s="9">
        <v>1657500</v>
      </c>
      <c r="S21" s="9">
        <v>157500</v>
      </c>
      <c r="T21" s="9">
        <v>157500</v>
      </c>
      <c r="U21" s="9">
        <v>2130000</v>
      </c>
    </row>
    <row r="22" spans="1:21">
      <c r="A22" s="2" t="str">
        <f xml:space="preserve"> IF(ISBLANK(B22), "", _xlfn.AGGREGATE(4, 7, $A$1:A21) + 1)</f>
        <v/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 spans="1:21">
      <c r="A23" s="2">
        <f xml:space="preserve"> IF(ISBLANK(B23), "", _xlfn.AGGREGATE(4, 7, $A$1:A22) + 1)</f>
        <v>19</v>
      </c>
      <c r="B23" s="4" t="s">
        <v>42</v>
      </c>
      <c r="C23" s="4" t="s">
        <v>30</v>
      </c>
      <c r="D23" s="4" t="s">
        <v>43</v>
      </c>
      <c r="E23" s="5">
        <v>20833.333333333332</v>
      </c>
      <c r="F23" s="5">
        <v>20833.333333333332</v>
      </c>
      <c r="G23" s="5">
        <v>20833.333333333332</v>
      </c>
      <c r="H23" s="5">
        <v>20833.333333333332</v>
      </c>
      <c r="I23" s="5">
        <v>20833.333333333332</v>
      </c>
      <c r="J23" s="5">
        <v>20833.333333333332</v>
      </c>
      <c r="K23" s="5">
        <v>20833.333333333332</v>
      </c>
      <c r="L23" s="5">
        <v>20833.333333333332</v>
      </c>
      <c r="M23" s="5">
        <v>20833.333333333332</v>
      </c>
      <c r="N23" s="5">
        <v>20833.333333333332</v>
      </c>
      <c r="O23" s="5">
        <v>20833.333333333332</v>
      </c>
      <c r="P23" s="5">
        <v>20833.333333333332</v>
      </c>
      <c r="Q23" s="5">
        <v>62500</v>
      </c>
      <c r="R23" s="5">
        <v>62500</v>
      </c>
      <c r="S23" s="5">
        <v>62500</v>
      </c>
      <c r="T23" s="5">
        <v>62500</v>
      </c>
      <c r="U23" s="5">
        <v>250000.00000000003</v>
      </c>
    </row>
    <row r="24" spans="1:21">
      <c r="A24" s="2">
        <f xml:space="preserve"> IF(ISBLANK(B24), "", _xlfn.AGGREGATE(4, 7, $A$1:A23) + 1)</f>
        <v>20</v>
      </c>
      <c r="B24" s="4" t="s">
        <v>42</v>
      </c>
      <c r="C24" s="4" t="s">
        <v>28</v>
      </c>
      <c r="D24" s="4" t="s">
        <v>44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16666.666666666668</v>
      </c>
      <c r="O24" s="5">
        <v>16666.666666666668</v>
      </c>
      <c r="P24" s="5">
        <v>16666.666666666668</v>
      </c>
      <c r="Q24" s="5">
        <v>0</v>
      </c>
      <c r="R24" s="5">
        <v>0</v>
      </c>
      <c r="S24" s="5">
        <v>0</v>
      </c>
      <c r="T24" s="5">
        <v>50000</v>
      </c>
      <c r="U24" s="5">
        <v>50000</v>
      </c>
    </row>
    <row r="25" spans="1:21" ht="13.15">
      <c r="A25" s="2">
        <f xml:space="preserve"> IF(ISBLANK(B25), "", _xlfn.AGGREGATE(4, 7, $A$1:A24) + 1)</f>
        <v>21</v>
      </c>
      <c r="B25" s="7" t="s">
        <v>42</v>
      </c>
      <c r="C25" s="8" t="s">
        <v>26</v>
      </c>
      <c r="D25" s="8"/>
      <c r="E25" s="9">
        <v>20833.333333333332</v>
      </c>
      <c r="F25" s="9">
        <v>20833.333333333332</v>
      </c>
      <c r="G25" s="9">
        <v>20833.333333333332</v>
      </c>
      <c r="H25" s="9">
        <v>20833.333333333332</v>
      </c>
      <c r="I25" s="9">
        <v>20833.333333333332</v>
      </c>
      <c r="J25" s="9">
        <v>20833.333333333332</v>
      </c>
      <c r="K25" s="9">
        <v>20833.333333333332</v>
      </c>
      <c r="L25" s="9">
        <v>20833.333333333332</v>
      </c>
      <c r="M25" s="9">
        <v>20833.333333333332</v>
      </c>
      <c r="N25" s="9">
        <v>37500</v>
      </c>
      <c r="O25" s="9">
        <v>37500</v>
      </c>
      <c r="P25" s="9">
        <v>37500</v>
      </c>
      <c r="Q25" s="9">
        <v>62500</v>
      </c>
      <c r="R25" s="9">
        <v>62500</v>
      </c>
      <c r="S25" s="9">
        <v>62500</v>
      </c>
      <c r="T25" s="9">
        <v>112500</v>
      </c>
      <c r="U25" s="9">
        <v>300000</v>
      </c>
    </row>
    <row r="26" spans="1:21">
      <c r="A26" s="2" t="str">
        <f xml:space="preserve"> IF(ISBLANK(B26), "", _xlfn.AGGREGATE(4, 7, $A$1:A25) + 1)</f>
        <v/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spans="1:21">
      <c r="A27" s="2">
        <f xml:space="preserve"> IF(ISBLANK(B27), "", _xlfn.AGGREGATE(4, 7, $A$1:A26) + 1)</f>
        <v>22</v>
      </c>
      <c r="B27" s="4" t="s">
        <v>45</v>
      </c>
      <c r="C27" s="4" t="s">
        <v>30</v>
      </c>
      <c r="E27" s="5">
        <v>25000</v>
      </c>
      <c r="F27" s="5">
        <v>25000</v>
      </c>
      <c r="G27" s="5">
        <v>25000</v>
      </c>
      <c r="H27" s="5">
        <v>25000</v>
      </c>
      <c r="I27" s="5">
        <v>25000</v>
      </c>
      <c r="J27" s="5">
        <v>25000</v>
      </c>
      <c r="K27" s="5">
        <v>25000</v>
      </c>
      <c r="L27" s="5">
        <v>25000</v>
      </c>
      <c r="M27" s="5">
        <v>25000</v>
      </c>
      <c r="N27" s="5">
        <v>25000</v>
      </c>
      <c r="O27" s="5">
        <v>25000</v>
      </c>
      <c r="P27" s="5">
        <v>25000</v>
      </c>
      <c r="Q27" s="5">
        <v>75000</v>
      </c>
      <c r="R27" s="5">
        <v>75000</v>
      </c>
      <c r="S27" s="5">
        <v>75000</v>
      </c>
      <c r="T27" s="5">
        <v>75000</v>
      </c>
      <c r="U27" s="5">
        <v>300000</v>
      </c>
    </row>
    <row r="28" spans="1:21">
      <c r="A28" s="2">
        <f xml:space="preserve"> IF(ISBLANK(B28), "", _xlfn.AGGREGATE(4, 7, $A$1:A27) + 1)</f>
        <v>23</v>
      </c>
      <c r="B28" s="4" t="s">
        <v>45</v>
      </c>
      <c r="C28" s="4" t="s">
        <v>38</v>
      </c>
      <c r="E28" s="5">
        <v>9583.3333333333339</v>
      </c>
      <c r="F28" s="5">
        <v>9583.3333333333339</v>
      </c>
      <c r="G28" s="5">
        <v>9583.3333333333339</v>
      </c>
      <c r="H28" s="5">
        <v>9583.3333333333339</v>
      </c>
      <c r="I28" s="5">
        <v>9583.3333333333339</v>
      </c>
      <c r="J28" s="5">
        <v>9583.3333333333339</v>
      </c>
      <c r="K28" s="5">
        <v>9583.3333333333339</v>
      </c>
      <c r="L28" s="5">
        <v>9583.3333333333339</v>
      </c>
      <c r="M28" s="5">
        <v>9583.3333333333339</v>
      </c>
      <c r="N28" s="5">
        <v>9583.3333333333339</v>
      </c>
      <c r="O28" s="5">
        <v>9583.3333333333339</v>
      </c>
      <c r="P28" s="5">
        <v>9583.3333333333339</v>
      </c>
      <c r="Q28" s="5">
        <v>28750</v>
      </c>
      <c r="R28" s="5">
        <v>28750</v>
      </c>
      <c r="S28" s="5">
        <v>28750</v>
      </c>
      <c r="T28" s="5">
        <v>28750</v>
      </c>
      <c r="U28" s="5">
        <v>114999.99999999999</v>
      </c>
    </row>
    <row r="29" spans="1:21">
      <c r="A29" s="2">
        <f xml:space="preserve"> IF(ISBLANK(B29), "", _xlfn.AGGREGATE(4, 7, $A$1:A28) + 1)</f>
        <v>24</v>
      </c>
      <c r="B29" s="4" t="s">
        <v>45</v>
      </c>
      <c r="C29" s="4" t="s">
        <v>40</v>
      </c>
      <c r="E29" s="5">
        <v>1250</v>
      </c>
      <c r="F29" s="5">
        <v>1250</v>
      </c>
      <c r="G29" s="5">
        <v>1250</v>
      </c>
      <c r="H29" s="5">
        <v>1250</v>
      </c>
      <c r="I29" s="5">
        <v>1250</v>
      </c>
      <c r="J29" s="5">
        <v>1250</v>
      </c>
      <c r="K29" s="5">
        <v>1250</v>
      </c>
      <c r="L29" s="5">
        <v>1250</v>
      </c>
      <c r="M29" s="5">
        <v>1250</v>
      </c>
      <c r="N29" s="5">
        <v>1250</v>
      </c>
      <c r="O29" s="5">
        <v>1250</v>
      </c>
      <c r="P29" s="5">
        <v>1250</v>
      </c>
      <c r="Q29" s="5">
        <v>3750</v>
      </c>
      <c r="R29" s="5">
        <v>3750</v>
      </c>
      <c r="S29" s="5">
        <v>3750</v>
      </c>
      <c r="T29" s="5">
        <v>3750</v>
      </c>
      <c r="U29" s="5">
        <v>15000</v>
      </c>
    </row>
    <row r="30" spans="1:21" ht="13.15">
      <c r="A30" s="2">
        <f xml:space="preserve"> IF(ISBLANK(B30), "", _xlfn.AGGREGATE(4, 7, $A$1:A29) + 1)</f>
        <v>25</v>
      </c>
      <c r="B30" s="7" t="s">
        <v>45</v>
      </c>
      <c r="C30" s="8" t="s">
        <v>26</v>
      </c>
      <c r="D30" s="8"/>
      <c r="E30" s="9">
        <v>35833.333333333336</v>
      </c>
      <c r="F30" s="9">
        <v>35833.333333333336</v>
      </c>
      <c r="G30" s="9">
        <v>35833.333333333336</v>
      </c>
      <c r="H30" s="9">
        <v>35833.333333333336</v>
      </c>
      <c r="I30" s="9">
        <v>35833.333333333336</v>
      </c>
      <c r="J30" s="9">
        <v>35833.333333333336</v>
      </c>
      <c r="K30" s="9">
        <v>35833.333333333336</v>
      </c>
      <c r="L30" s="9">
        <v>35833.333333333336</v>
      </c>
      <c r="M30" s="9">
        <v>35833.333333333336</v>
      </c>
      <c r="N30" s="9">
        <v>35833.333333333336</v>
      </c>
      <c r="O30" s="9">
        <v>35833.333333333336</v>
      </c>
      <c r="P30" s="9">
        <v>35833.333333333336</v>
      </c>
      <c r="Q30" s="9">
        <v>107500</v>
      </c>
      <c r="R30" s="9">
        <v>107500</v>
      </c>
      <c r="S30" s="9">
        <v>107500</v>
      </c>
      <c r="T30" s="9">
        <v>107500</v>
      </c>
      <c r="U30" s="9">
        <v>429999.99999999994</v>
      </c>
    </row>
    <row r="31" spans="1:21">
      <c r="A31" s="2" t="str">
        <f xml:space="preserve"> IF(ISBLANK(B31), "", _xlfn.AGGREGATE(4, 7, $A$1:A30) + 1)</f>
        <v/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spans="1:21" ht="13.15">
      <c r="A32" s="2">
        <f xml:space="preserve"> IF(ISBLANK(B32), "", _xlfn.AGGREGATE(4, 7, $A$1:A31) + 1)</f>
        <v>26</v>
      </c>
      <c r="B32" s="7" t="s">
        <v>46</v>
      </c>
      <c r="C32" s="8"/>
      <c r="D32" s="8"/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</row>
    <row r="33" spans="1:21">
      <c r="A33" s="2" t="str">
        <f xml:space="preserve"> IF(ISBLANK(B33), "", _xlfn.AGGREGATE(4, 7, $A$1:A32) + 1)</f>
        <v/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spans="1:21" ht="13.15">
      <c r="A34" s="2">
        <f xml:space="preserve"> IF(ISBLANK(B34), "", _xlfn.AGGREGATE(4, 7, $A$1:A33) + 1)</f>
        <v>27</v>
      </c>
      <c r="B34" s="7" t="s">
        <v>47</v>
      </c>
      <c r="C34" s="8" t="s">
        <v>26</v>
      </c>
      <c r="D34" s="8"/>
      <c r="E34" s="9">
        <v>617137.00000000012</v>
      </c>
      <c r="F34" s="9">
        <v>591475</v>
      </c>
      <c r="G34" s="9">
        <v>619103.40000000014</v>
      </c>
      <c r="H34" s="9">
        <v>1307062.9954442226</v>
      </c>
      <c r="I34" s="9">
        <v>1381875.3175846492</v>
      </c>
      <c r="J34" s="9">
        <v>1596477.4360018668</v>
      </c>
      <c r="K34" s="9">
        <v>889591.55470160069</v>
      </c>
      <c r="L34" s="9">
        <v>836473.83996656956</v>
      </c>
      <c r="M34" s="9">
        <v>953856.70093245362</v>
      </c>
      <c r="N34" s="9">
        <v>1346958.0938845025</v>
      </c>
      <c r="O34" s="9">
        <v>1286881.0845210559</v>
      </c>
      <c r="P34" s="9">
        <v>908732.1843023902</v>
      </c>
      <c r="Q34" s="9">
        <v>1827715.4000000001</v>
      </c>
      <c r="R34" s="9">
        <v>4285415.7490307391</v>
      </c>
      <c r="S34" s="9">
        <v>2679922.0956006236</v>
      </c>
      <c r="T34" s="9">
        <v>3542571.3627079488</v>
      </c>
      <c r="U34" s="9">
        <v>12335624.607339311</v>
      </c>
    </row>
    <row r="35" spans="1:21">
      <c r="A35" s="2" t="str">
        <f xml:space="preserve"> IF(ISBLANK(B35), "", _xlfn.AGGREGATE(4, 7, $A$1:A34) + 1)</f>
        <v/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 spans="1:21">
      <c r="A36" s="2">
        <f xml:space="preserve"> IF(ISBLANK(B36), "", _xlfn.AGGREGATE(4, 7, $A$1:A35) + 1)</f>
        <v>28</v>
      </c>
      <c r="B36" s="4" t="s">
        <v>48</v>
      </c>
      <c r="C36" s="4" t="s">
        <v>49</v>
      </c>
      <c r="E36" s="5">
        <v>0</v>
      </c>
      <c r="F36" s="5">
        <v>0</v>
      </c>
      <c r="G36" s="5">
        <v>0</v>
      </c>
      <c r="H36" s="5">
        <v>20000</v>
      </c>
      <c r="I36" s="5">
        <v>20000</v>
      </c>
      <c r="J36" s="5">
        <v>20000</v>
      </c>
      <c r="K36" s="5">
        <v>75000</v>
      </c>
      <c r="L36" s="5">
        <v>75000</v>
      </c>
      <c r="M36" s="5">
        <v>75000</v>
      </c>
      <c r="N36" s="5">
        <v>40000</v>
      </c>
      <c r="O36" s="5">
        <v>40000</v>
      </c>
      <c r="P36" s="5">
        <v>40000</v>
      </c>
      <c r="Q36" s="5">
        <v>0</v>
      </c>
      <c r="R36" s="5">
        <v>60000</v>
      </c>
      <c r="S36" s="5">
        <v>225000</v>
      </c>
      <c r="T36" s="5">
        <v>120000</v>
      </c>
      <c r="U36" s="5">
        <v>405000</v>
      </c>
    </row>
    <row r="37" spans="1:21">
      <c r="A37" s="2">
        <f xml:space="preserve"> IF(ISBLANK(B37), "", _xlfn.AGGREGATE(4, 7, $A$1:A36) + 1)</f>
        <v>29</v>
      </c>
      <c r="B37" s="4" t="s">
        <v>48</v>
      </c>
      <c r="C37" s="4" t="s">
        <v>50</v>
      </c>
      <c r="E37" s="5">
        <v>10000</v>
      </c>
      <c r="F37" s="5">
        <v>10000</v>
      </c>
      <c r="G37" s="5">
        <v>10000</v>
      </c>
      <c r="H37" s="5">
        <v>10000</v>
      </c>
      <c r="I37" s="5">
        <v>10000</v>
      </c>
      <c r="J37" s="5">
        <v>10000</v>
      </c>
      <c r="K37" s="5">
        <v>10000</v>
      </c>
      <c r="L37" s="5">
        <v>10000</v>
      </c>
      <c r="M37" s="5">
        <v>10000</v>
      </c>
      <c r="N37" s="5">
        <v>10000</v>
      </c>
      <c r="O37" s="5">
        <v>10000</v>
      </c>
      <c r="P37" s="5">
        <v>10000</v>
      </c>
      <c r="Q37" s="5">
        <v>30000</v>
      </c>
      <c r="R37" s="5">
        <v>30000</v>
      </c>
      <c r="S37" s="5">
        <v>30000</v>
      </c>
      <c r="T37" s="5">
        <v>30000</v>
      </c>
      <c r="U37" s="5">
        <v>120000</v>
      </c>
    </row>
    <row r="38" spans="1:21">
      <c r="A38" s="2">
        <f xml:space="preserve"> IF(ISBLANK(B38), "", _xlfn.AGGREGATE(4, 7, $A$1:A37) + 1)</f>
        <v>30</v>
      </c>
      <c r="B38" s="4" t="s">
        <v>48</v>
      </c>
      <c r="C38" s="4" t="s">
        <v>24</v>
      </c>
      <c r="E38" s="5">
        <v>47502</v>
      </c>
      <c r="F38" s="5">
        <v>47502</v>
      </c>
      <c r="G38" s="5">
        <v>47502</v>
      </c>
      <c r="H38" s="5">
        <v>25084</v>
      </c>
      <c r="I38" s="5">
        <v>25084</v>
      </c>
      <c r="J38" s="5">
        <v>25084</v>
      </c>
      <c r="K38" s="5">
        <v>18149.666666666668</v>
      </c>
      <c r="L38" s="5">
        <v>18149.666666666668</v>
      </c>
      <c r="M38" s="5">
        <v>18149.666666666668</v>
      </c>
      <c r="N38" s="5">
        <v>50000</v>
      </c>
      <c r="O38" s="5">
        <v>50000</v>
      </c>
      <c r="P38" s="5">
        <v>50000</v>
      </c>
      <c r="Q38" s="5">
        <v>142506</v>
      </c>
      <c r="R38" s="5">
        <v>75252</v>
      </c>
      <c r="S38" s="5">
        <v>54449</v>
      </c>
      <c r="T38" s="5">
        <v>150000</v>
      </c>
      <c r="U38" s="5">
        <v>422207</v>
      </c>
    </row>
    <row r="39" spans="1:21">
      <c r="A39" s="2">
        <f xml:space="preserve"> IF(ISBLANK(B39), "", _xlfn.AGGREGATE(4, 7, $A$1:A38) + 1)</f>
        <v>31</v>
      </c>
      <c r="B39" s="4" t="s">
        <v>48</v>
      </c>
      <c r="C39" s="4" t="s">
        <v>51</v>
      </c>
      <c r="E39" s="5">
        <v>129569.19592222065</v>
      </c>
      <c r="F39" s="5">
        <v>80317.066366743617</v>
      </c>
      <c r="G39" s="5">
        <v>111018.90804737734</v>
      </c>
      <c r="H39" s="5">
        <v>81266.656805508508</v>
      </c>
      <c r="I39" s="5">
        <v>150802.3551419703</v>
      </c>
      <c r="J39" s="5">
        <v>126940.69977190002</v>
      </c>
      <c r="K39" s="5">
        <v>62717.881065947251</v>
      </c>
      <c r="L39" s="5">
        <v>54913.470122610728</v>
      </c>
      <c r="M39" s="5">
        <v>101128.87294306517</v>
      </c>
      <c r="N39" s="5">
        <v>157631.52814555692</v>
      </c>
      <c r="O39" s="5">
        <v>179134.89917282079</v>
      </c>
      <c r="P39" s="5">
        <v>93920.675964184309</v>
      </c>
      <c r="Q39" s="5">
        <v>320905.1703363416</v>
      </c>
      <c r="R39" s="5">
        <v>359009.71171937883</v>
      </c>
      <c r="S39" s="5">
        <v>218760.22413162317</v>
      </c>
      <c r="T39" s="5">
        <v>430687.10328256199</v>
      </c>
      <c r="U39" s="5">
        <v>1329362.2094699056</v>
      </c>
    </row>
    <row r="40" spans="1:21">
      <c r="A40" s="2">
        <f xml:space="preserve"> IF(ISBLANK(B40), "", _xlfn.AGGREGATE(4, 7, $A$1:A39) + 1)</f>
        <v>32</v>
      </c>
      <c r="B40" s="4" t="s">
        <v>48</v>
      </c>
      <c r="C40" s="12" t="s">
        <v>52</v>
      </c>
      <c r="D40" s="4" t="s">
        <v>53</v>
      </c>
      <c r="E40" s="5">
        <v>64784.597961110325</v>
      </c>
      <c r="F40" s="5">
        <v>40158.533183371808</v>
      </c>
      <c r="G40" s="5">
        <v>55509.454023688668</v>
      </c>
      <c r="H40" s="5">
        <v>40633.328402754254</v>
      </c>
      <c r="I40" s="5">
        <v>75401.17757098515</v>
      </c>
      <c r="J40" s="5">
        <v>63470.349885950011</v>
      </c>
      <c r="K40" s="5">
        <v>31358.940532973626</v>
      </c>
      <c r="L40" s="5">
        <v>27456.735061305364</v>
      </c>
      <c r="M40" s="5">
        <v>50564.436471532586</v>
      </c>
      <c r="N40" s="5">
        <v>78815.76407277846</v>
      </c>
      <c r="O40" s="5">
        <v>89567.449586410396</v>
      </c>
      <c r="P40" s="5">
        <v>46960.337982092155</v>
      </c>
      <c r="Q40" s="5">
        <v>160452.5851681708</v>
      </c>
      <c r="R40" s="5">
        <v>179504.85585968941</v>
      </c>
      <c r="S40" s="5">
        <v>109380.11206581158</v>
      </c>
      <c r="T40" s="5">
        <v>215343.551641281</v>
      </c>
      <c r="U40" s="5">
        <v>664681.10473495279</v>
      </c>
    </row>
    <row r="41" spans="1:21">
      <c r="A41" s="2">
        <f xml:space="preserve"> IF(ISBLANK(B41), "", _xlfn.AGGREGATE(4, 7, $A$1:A40) + 1)</f>
        <v>33</v>
      </c>
      <c r="B41" s="4" t="s">
        <v>48</v>
      </c>
      <c r="C41" s="12" t="s">
        <v>54</v>
      </c>
      <c r="D41" s="4" t="s">
        <v>55</v>
      </c>
      <c r="E41" s="5">
        <v>25913.839184444132</v>
      </c>
      <c r="F41" s="5">
        <v>16063.413273348724</v>
      </c>
      <c r="G41" s="5">
        <v>22203.781609475467</v>
      </c>
      <c r="H41" s="5">
        <v>16253.331361101702</v>
      </c>
      <c r="I41" s="5">
        <v>30160.471028394062</v>
      </c>
      <c r="J41" s="5">
        <v>25388.139954380007</v>
      </c>
      <c r="K41" s="5">
        <v>12543.576213189452</v>
      </c>
      <c r="L41" s="5">
        <v>10982.694024522147</v>
      </c>
      <c r="M41" s="5">
        <v>20225.774588613036</v>
      </c>
      <c r="N41" s="5">
        <v>31526.305629111386</v>
      </c>
      <c r="O41" s="5">
        <v>35826.979834564161</v>
      </c>
      <c r="P41" s="5">
        <v>18784.135192836864</v>
      </c>
      <c r="Q41" s="5">
        <v>64181.034067268323</v>
      </c>
      <c r="R41" s="5">
        <v>71801.942343875766</v>
      </c>
      <c r="S41" s="5">
        <v>43752.044826324636</v>
      </c>
      <c r="T41" s="5">
        <v>86137.420656512419</v>
      </c>
      <c r="U41" s="5">
        <v>265872.44189398119</v>
      </c>
    </row>
    <row r="42" spans="1:21">
      <c r="A42" s="2">
        <f xml:space="preserve"> IF(ISBLANK(B42), "", _xlfn.AGGREGATE(4, 7, $A$1:A41) + 1)</f>
        <v>34</v>
      </c>
      <c r="B42" s="4" t="s">
        <v>48</v>
      </c>
      <c r="C42" s="12" t="s">
        <v>56</v>
      </c>
      <c r="D42" s="4" t="s">
        <v>57</v>
      </c>
      <c r="E42" s="5">
        <v>19435.379388333098</v>
      </c>
      <c r="F42" s="5">
        <v>12047.559955011542</v>
      </c>
      <c r="G42" s="5">
        <v>16652.8362071066</v>
      </c>
      <c r="H42" s="5">
        <v>12189.998520826275</v>
      </c>
      <c r="I42" s="5">
        <v>22620.353271295546</v>
      </c>
      <c r="J42" s="5">
        <v>19041.104965785002</v>
      </c>
      <c r="K42" s="5">
        <v>9407.6821598920869</v>
      </c>
      <c r="L42" s="5">
        <v>8237.0205183916096</v>
      </c>
      <c r="M42" s="5">
        <v>15169.330941459775</v>
      </c>
      <c r="N42" s="5">
        <v>23644.729221833539</v>
      </c>
      <c r="O42" s="5">
        <v>26870.234875923117</v>
      </c>
      <c r="P42" s="5">
        <v>14088.101394627645</v>
      </c>
      <c r="Q42" s="5">
        <v>48135.775550451239</v>
      </c>
      <c r="R42" s="5">
        <v>53851.456757906824</v>
      </c>
      <c r="S42" s="5">
        <v>32814.033619743474</v>
      </c>
      <c r="T42" s="5">
        <v>64603.065492384303</v>
      </c>
      <c r="U42" s="5">
        <v>199404.33142048586</v>
      </c>
    </row>
    <row r="43" spans="1:21">
      <c r="A43" s="2">
        <f xml:space="preserve"> IF(ISBLANK(B43), "", _xlfn.AGGREGATE(4, 7, $A$1:A42) + 1)</f>
        <v>35</v>
      </c>
      <c r="B43" s="4" t="s">
        <v>48</v>
      </c>
      <c r="C43" s="12" t="s">
        <v>58</v>
      </c>
      <c r="D43" s="4" t="s">
        <v>59</v>
      </c>
      <c r="E43" s="5">
        <v>19435.379388333102</v>
      </c>
      <c r="F43" s="5">
        <v>12047.559955011544</v>
      </c>
      <c r="G43" s="5">
        <v>16652.836207106604</v>
      </c>
      <c r="H43" s="5">
        <v>12189.998520826279</v>
      </c>
      <c r="I43" s="5">
        <v>22620.353271295549</v>
      </c>
      <c r="J43" s="5">
        <v>19041.104965785005</v>
      </c>
      <c r="K43" s="5">
        <v>9407.6821598920887</v>
      </c>
      <c r="L43" s="5">
        <v>8237.0205183916096</v>
      </c>
      <c r="M43" s="5">
        <v>15169.330941459779</v>
      </c>
      <c r="N43" s="5">
        <v>23644.729221833542</v>
      </c>
      <c r="O43" s="5">
        <v>26870.234875923121</v>
      </c>
      <c r="P43" s="5">
        <v>14088.101394627649</v>
      </c>
      <c r="Q43" s="5">
        <v>48135.775550451246</v>
      </c>
      <c r="R43" s="5">
        <v>53851.456757906839</v>
      </c>
      <c r="S43" s="5">
        <v>32814.033619743481</v>
      </c>
      <c r="T43" s="5">
        <v>64603.06549238431</v>
      </c>
      <c r="U43" s="5">
        <v>199404.33142048589</v>
      </c>
    </row>
    <row r="44" spans="1:21" ht="13.15">
      <c r="A44" s="2">
        <f xml:space="preserve"> IF(ISBLANK(B44), "", _xlfn.AGGREGATE(4, 7, $A$1:A43) + 1)</f>
        <v>36</v>
      </c>
      <c r="B44" s="7" t="s">
        <v>48</v>
      </c>
      <c r="C44" s="8" t="s">
        <v>26</v>
      </c>
      <c r="D44" s="8"/>
      <c r="E44" s="9">
        <v>187071.19592222065</v>
      </c>
      <c r="F44" s="9">
        <v>137819.06636674362</v>
      </c>
      <c r="G44" s="9">
        <v>168520.90804737734</v>
      </c>
      <c r="H44" s="9">
        <v>136350.65680550851</v>
      </c>
      <c r="I44" s="9">
        <v>205886.3551419703</v>
      </c>
      <c r="J44" s="9">
        <v>182024.69977190002</v>
      </c>
      <c r="K44" s="9">
        <v>165867.54773261392</v>
      </c>
      <c r="L44" s="9">
        <v>158063.1367892774</v>
      </c>
      <c r="M44" s="9">
        <v>204278.53960973184</v>
      </c>
      <c r="N44" s="9">
        <v>257631.52814555692</v>
      </c>
      <c r="O44" s="9">
        <v>279134.89917282079</v>
      </c>
      <c r="P44" s="9">
        <v>193920.67596418431</v>
      </c>
      <c r="Q44" s="9">
        <v>493411.1703363416</v>
      </c>
      <c r="R44" s="9">
        <v>524261.71171937883</v>
      </c>
      <c r="S44" s="9">
        <v>528209.22413162317</v>
      </c>
      <c r="T44" s="9">
        <v>730687.10328256199</v>
      </c>
      <c r="U44" s="9">
        <v>2276569.2094699061</v>
      </c>
    </row>
    <row r="45" spans="1:21">
      <c r="A45" s="2" t="str">
        <f xml:space="preserve"> IF(ISBLANK(B45), "", _xlfn.AGGREGATE(4, 7, $A$1:A44) + 1)</f>
        <v/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 spans="1:21">
      <c r="A46" s="2">
        <f xml:space="preserve"> IF(ISBLANK(B46), "", _xlfn.AGGREGATE(4, 7, $A$1:A45) + 1)</f>
        <v>37</v>
      </c>
      <c r="B46" s="4" t="s">
        <v>60</v>
      </c>
      <c r="C46" s="4" t="s">
        <v>38</v>
      </c>
      <c r="D46" s="4" t="s">
        <v>61</v>
      </c>
      <c r="E46" s="5">
        <v>159122.76000260317</v>
      </c>
      <c r="F46" s="5">
        <v>82466.733431118511</v>
      </c>
      <c r="G46" s="5">
        <v>128744.04168514512</v>
      </c>
      <c r="H46" s="5">
        <v>80555.750501939881</v>
      </c>
      <c r="I46" s="5">
        <v>152848.03770421771</v>
      </c>
      <c r="J46" s="5">
        <v>137156.30674451904</v>
      </c>
      <c r="K46" s="5">
        <v>115180.00305896488</v>
      </c>
      <c r="L46" s="5">
        <v>103635.30206413323</v>
      </c>
      <c r="M46" s="5">
        <v>153025.34539867757</v>
      </c>
      <c r="N46" s="5">
        <v>225091.0727691456</v>
      </c>
      <c r="O46" s="5">
        <v>277662.80417649768</v>
      </c>
      <c r="P46" s="5">
        <v>200888.57247537305</v>
      </c>
      <c r="Q46" s="5">
        <v>370333.53511886683</v>
      </c>
      <c r="R46" s="5">
        <v>370560.09495067666</v>
      </c>
      <c r="S46" s="5">
        <v>371840.65052177571</v>
      </c>
      <c r="T46" s="5">
        <v>703642.44942101627</v>
      </c>
      <c r="U46" s="5">
        <v>1816376.7300123356</v>
      </c>
    </row>
    <row r="47" spans="1:21">
      <c r="A47" s="2">
        <f xml:space="preserve"> IF(ISBLANK(B47), "", _xlfn.AGGREGATE(4, 7, $A$1:A46) + 1)</f>
        <v>38</v>
      </c>
      <c r="B47" s="4" t="s">
        <v>60</v>
      </c>
      <c r="C47" s="4" t="s">
        <v>62</v>
      </c>
      <c r="D47" s="4" t="s">
        <v>61</v>
      </c>
      <c r="E47" s="5">
        <v>75000</v>
      </c>
      <c r="F47" s="5">
        <v>75000</v>
      </c>
      <c r="G47" s="5">
        <v>75000</v>
      </c>
      <c r="H47" s="5">
        <v>75000</v>
      </c>
      <c r="I47" s="5">
        <v>75000</v>
      </c>
      <c r="J47" s="5">
        <v>75000</v>
      </c>
      <c r="K47" s="5">
        <v>75000</v>
      </c>
      <c r="L47" s="5">
        <v>75000</v>
      </c>
      <c r="M47" s="5">
        <v>75000</v>
      </c>
      <c r="N47" s="5">
        <v>75000</v>
      </c>
      <c r="O47" s="5">
        <v>75000</v>
      </c>
      <c r="P47" s="5">
        <v>75000</v>
      </c>
      <c r="Q47" s="5">
        <v>225000</v>
      </c>
      <c r="R47" s="5">
        <v>225000</v>
      </c>
      <c r="S47" s="5">
        <v>225000</v>
      </c>
      <c r="T47" s="5">
        <v>225000</v>
      </c>
      <c r="U47" s="5">
        <v>900000</v>
      </c>
    </row>
    <row r="48" spans="1:21">
      <c r="A48" s="2">
        <f xml:space="preserve"> IF(ISBLANK(B48), "", _xlfn.AGGREGATE(4, 7, $A$1:A47) + 1)</f>
        <v>39</v>
      </c>
      <c r="B48" s="4" t="s">
        <v>60</v>
      </c>
      <c r="C48" s="4" t="s">
        <v>63</v>
      </c>
      <c r="D48" s="4" t="s">
        <v>64</v>
      </c>
      <c r="E48" s="5">
        <v>25000</v>
      </c>
      <c r="F48" s="5">
        <v>25000</v>
      </c>
      <c r="G48" s="5">
        <v>25000</v>
      </c>
      <c r="H48" s="5">
        <v>25000</v>
      </c>
      <c r="I48" s="5">
        <v>25000</v>
      </c>
      <c r="J48" s="5">
        <v>25000</v>
      </c>
      <c r="K48" s="5">
        <v>25000</v>
      </c>
      <c r="L48" s="5">
        <v>25000</v>
      </c>
      <c r="M48" s="5">
        <v>25000</v>
      </c>
      <c r="N48" s="5">
        <v>25000</v>
      </c>
      <c r="O48" s="5">
        <v>25000</v>
      </c>
      <c r="P48" s="5">
        <v>25000</v>
      </c>
      <c r="Q48" s="5">
        <v>75000</v>
      </c>
      <c r="R48" s="5">
        <v>75000</v>
      </c>
      <c r="S48" s="5">
        <v>75000</v>
      </c>
      <c r="T48" s="5">
        <v>75000</v>
      </c>
      <c r="U48" s="5">
        <v>300000</v>
      </c>
    </row>
    <row r="49" spans="1:21">
      <c r="A49" s="2">
        <f xml:space="preserve"> IF(ISBLANK(B49), "", _xlfn.AGGREGATE(4, 7, $A$1:A48) + 1)</f>
        <v>40</v>
      </c>
      <c r="B49" s="4" t="s">
        <v>60</v>
      </c>
      <c r="C49" s="4" t="s">
        <v>65</v>
      </c>
      <c r="D49" s="4" t="s">
        <v>66</v>
      </c>
      <c r="E49" s="5">
        <v>18333.333333333332</v>
      </c>
      <c r="F49" s="5">
        <v>18333.333333333332</v>
      </c>
      <c r="G49" s="5">
        <v>18333.333333333332</v>
      </c>
      <c r="H49" s="5">
        <v>18333.333333333332</v>
      </c>
      <c r="I49" s="5">
        <v>18333.333333333332</v>
      </c>
      <c r="J49" s="5">
        <v>18333.333333333332</v>
      </c>
      <c r="K49" s="5">
        <v>18333.333333333332</v>
      </c>
      <c r="L49" s="5">
        <v>18333.333333333332</v>
      </c>
      <c r="M49" s="5">
        <v>18333.333333333332</v>
      </c>
      <c r="N49" s="5">
        <v>18333.333333333332</v>
      </c>
      <c r="O49" s="5">
        <v>18333.333333333332</v>
      </c>
      <c r="P49" s="5">
        <v>18333.333333333332</v>
      </c>
      <c r="Q49" s="5">
        <v>55000</v>
      </c>
      <c r="R49" s="5">
        <v>55000</v>
      </c>
      <c r="S49" s="5">
        <v>55000</v>
      </c>
      <c r="T49" s="5">
        <v>55000</v>
      </c>
      <c r="U49" s="5">
        <v>220000.00000000003</v>
      </c>
    </row>
    <row r="50" spans="1:21">
      <c r="A50" s="2">
        <f xml:space="preserve"> IF(ISBLANK(B50), "", _xlfn.AGGREGATE(4, 7, $A$1:A49) + 1)</f>
        <v>41</v>
      </c>
      <c r="B50" s="4" t="s">
        <v>60</v>
      </c>
      <c r="C50" s="4" t="s">
        <v>67</v>
      </c>
      <c r="D50" s="4" t="s">
        <v>68</v>
      </c>
      <c r="E50" s="5">
        <v>13500</v>
      </c>
      <c r="F50" s="5">
        <v>13500</v>
      </c>
      <c r="G50" s="5">
        <v>13500</v>
      </c>
      <c r="H50" s="5">
        <v>13500</v>
      </c>
      <c r="I50" s="5">
        <v>13500</v>
      </c>
      <c r="J50" s="5">
        <v>13500</v>
      </c>
      <c r="K50" s="5">
        <v>13500</v>
      </c>
      <c r="L50" s="5">
        <v>13500</v>
      </c>
      <c r="M50" s="5">
        <v>13500</v>
      </c>
      <c r="N50" s="5">
        <v>13500</v>
      </c>
      <c r="O50" s="5">
        <v>13500</v>
      </c>
      <c r="P50" s="5">
        <v>13500</v>
      </c>
      <c r="Q50" s="5">
        <v>40500</v>
      </c>
      <c r="R50" s="5">
        <v>40500</v>
      </c>
      <c r="S50" s="5">
        <v>40500</v>
      </c>
      <c r="T50" s="5">
        <v>40500</v>
      </c>
      <c r="U50" s="5">
        <v>162000</v>
      </c>
    </row>
    <row r="51" spans="1:21">
      <c r="A51" s="2">
        <f xml:space="preserve"> IF(ISBLANK(B51), "", _xlfn.AGGREGATE(4, 7, $A$1:A50) + 1)</f>
        <v>42</v>
      </c>
      <c r="B51" s="4" t="s">
        <v>60</v>
      </c>
      <c r="C51" s="4" t="s">
        <v>69</v>
      </c>
      <c r="D51" s="4" t="s">
        <v>70</v>
      </c>
      <c r="E51" s="5">
        <v>5000</v>
      </c>
      <c r="F51" s="5">
        <v>5000</v>
      </c>
      <c r="G51" s="5">
        <v>5000</v>
      </c>
      <c r="H51" s="5">
        <v>5000</v>
      </c>
      <c r="I51" s="5">
        <v>5000</v>
      </c>
      <c r="J51" s="5">
        <v>5000</v>
      </c>
      <c r="K51" s="5">
        <v>5000</v>
      </c>
      <c r="L51" s="5">
        <v>5000</v>
      </c>
      <c r="M51" s="5">
        <v>5000</v>
      </c>
      <c r="N51" s="5">
        <v>5000</v>
      </c>
      <c r="O51" s="5">
        <v>5000</v>
      </c>
      <c r="P51" s="5">
        <v>5000</v>
      </c>
      <c r="Q51" s="5">
        <v>15000</v>
      </c>
      <c r="R51" s="5">
        <v>15000</v>
      </c>
      <c r="S51" s="5">
        <v>15000</v>
      </c>
      <c r="T51" s="5">
        <v>15000</v>
      </c>
      <c r="U51" s="5">
        <v>60000</v>
      </c>
    </row>
    <row r="52" spans="1:21" ht="13.15">
      <c r="A52" s="2">
        <f xml:space="preserve"> IF(ISBLANK(B52), "", _xlfn.AGGREGATE(4, 7, $A$1:A51) + 1)</f>
        <v>43</v>
      </c>
      <c r="B52" s="7" t="s">
        <v>60</v>
      </c>
      <c r="C52" s="8" t="s">
        <v>26</v>
      </c>
      <c r="D52" s="8"/>
      <c r="E52" s="9">
        <v>295956.09333593649</v>
      </c>
      <c r="F52" s="9">
        <v>219300.06676445183</v>
      </c>
      <c r="G52" s="9">
        <v>265577.37501847843</v>
      </c>
      <c r="H52" s="9">
        <v>217389.0838352732</v>
      </c>
      <c r="I52" s="9">
        <v>289681.37103755103</v>
      </c>
      <c r="J52" s="9">
        <v>273989.64007785235</v>
      </c>
      <c r="K52" s="9">
        <v>252013.3363922982</v>
      </c>
      <c r="L52" s="9">
        <v>240468.63539746654</v>
      </c>
      <c r="M52" s="9">
        <v>289858.67873201089</v>
      </c>
      <c r="N52" s="9">
        <v>361924.40610247891</v>
      </c>
      <c r="O52" s="9">
        <v>414496.13750983099</v>
      </c>
      <c r="P52" s="9">
        <v>337721.90580870636</v>
      </c>
      <c r="Q52" s="9">
        <v>780833.53511886671</v>
      </c>
      <c r="R52" s="9">
        <v>781060.09495067666</v>
      </c>
      <c r="S52" s="9">
        <v>782340.65052177559</v>
      </c>
      <c r="T52" s="9">
        <v>1114142.4494210163</v>
      </c>
      <c r="U52" s="9">
        <v>3458376.7300123353</v>
      </c>
    </row>
    <row r="53" spans="1:21">
      <c r="A53" s="2" t="str">
        <f xml:space="preserve"> IF(ISBLANK(B53), "", _xlfn.AGGREGATE(4, 7, $A$1:A52) + 1)</f>
        <v/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</row>
    <row r="54" spans="1:21" ht="13.15">
      <c r="A54" s="2">
        <f xml:space="preserve"> IF(ISBLANK(B54), "", _xlfn.AGGREGATE(4, 7, $A$1:A53) + 1)</f>
        <v>44</v>
      </c>
      <c r="B54" s="7" t="s">
        <v>71</v>
      </c>
      <c r="C54" s="8" t="s">
        <v>26</v>
      </c>
      <c r="D54" s="8"/>
      <c r="E54" s="9">
        <v>171507.48850000006</v>
      </c>
      <c r="F54" s="9">
        <v>142197.63529999999</v>
      </c>
      <c r="G54" s="9">
        <v>129123.92950000004</v>
      </c>
      <c r="H54" s="9">
        <v>140073.41809999998</v>
      </c>
      <c r="I54" s="9">
        <v>138510.37949999998</v>
      </c>
      <c r="J54" s="9">
        <v>134159.00570000004</v>
      </c>
      <c r="K54" s="9">
        <v>164194.4359000001</v>
      </c>
      <c r="L54" s="9">
        <v>138342.94849999997</v>
      </c>
      <c r="M54" s="9">
        <v>123878.62790000001</v>
      </c>
      <c r="N54" s="9">
        <v>160065.29190000001</v>
      </c>
      <c r="O54" s="9">
        <v>169454.58949999997</v>
      </c>
      <c r="P54" s="9">
        <v>160143.24669999996</v>
      </c>
      <c r="Q54" s="9">
        <v>442829.05330000009</v>
      </c>
      <c r="R54" s="9">
        <v>412742.80329999997</v>
      </c>
      <c r="S54" s="9">
        <v>426416.01230000012</v>
      </c>
      <c r="T54" s="9">
        <v>489663.12809999991</v>
      </c>
      <c r="U54" s="9">
        <v>1771650.9970000002</v>
      </c>
    </row>
    <row r="55" spans="1:21">
      <c r="A55" s="2" t="str">
        <f xml:space="preserve"> IF(ISBLANK(B55), "", _xlfn.AGGREGATE(4, 7, $A$1:A54) + 1)</f>
        <v/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</row>
    <row r="56" spans="1:21" ht="13.15">
      <c r="A56" s="2">
        <f xml:space="preserve"> IF(ISBLANK(B56), "", _xlfn.AGGREGATE(4, 7, $A$1:A55) + 1)</f>
        <v>45</v>
      </c>
      <c r="B56" s="7" t="s">
        <v>72</v>
      </c>
      <c r="C56" s="8" t="s">
        <v>26</v>
      </c>
      <c r="D56" s="8"/>
      <c r="E56" s="9">
        <v>0</v>
      </c>
      <c r="F56" s="9">
        <v>0</v>
      </c>
      <c r="G56" s="9">
        <v>14088.705121587651</v>
      </c>
      <c r="H56" s="9">
        <v>3376.7402526748419</v>
      </c>
      <c r="I56" s="9">
        <v>6482.2915213265751</v>
      </c>
      <c r="J56" s="9">
        <v>21078.382483989721</v>
      </c>
      <c r="K56" s="9">
        <v>10970.031805321896</v>
      </c>
      <c r="L56" s="9">
        <v>12732.760201472105</v>
      </c>
      <c r="M56" s="9">
        <v>25994.776323376409</v>
      </c>
      <c r="N56" s="9">
        <v>14657.327184861912</v>
      </c>
      <c r="O56" s="9">
        <v>14880.401994300277</v>
      </c>
      <c r="P56" s="9">
        <v>25994.776323376409</v>
      </c>
      <c r="Q56" s="9">
        <v>14088.705121587651</v>
      </c>
      <c r="R56" s="9">
        <v>30937.414257991139</v>
      </c>
      <c r="S56" s="9">
        <v>49697.568330170412</v>
      </c>
      <c r="T56" s="9">
        <v>55532.505502538595</v>
      </c>
      <c r="U56" s="9">
        <v>150256.19321228779</v>
      </c>
    </row>
    <row r="57" spans="1:21">
      <c r="A57" s="2" t="str">
        <f xml:space="preserve"> IF(ISBLANK(B57), "", _xlfn.AGGREGATE(4, 7, $A$1:A56) + 1)</f>
        <v/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</row>
    <row r="58" spans="1:21" ht="13.15">
      <c r="A58" s="2">
        <f xml:space="preserve"> IF(ISBLANK(B58), "", _xlfn.AGGREGATE(4, 7, $A$1:A57) + 1)</f>
        <v>46</v>
      </c>
      <c r="B58" s="7" t="s">
        <v>73</v>
      </c>
      <c r="C58" s="8" t="s">
        <v>26</v>
      </c>
      <c r="D58" s="13" t="s">
        <v>74</v>
      </c>
      <c r="E58" s="9">
        <v>40000</v>
      </c>
      <c r="F58" s="9">
        <v>40000</v>
      </c>
      <c r="G58" s="9">
        <v>40000</v>
      </c>
      <c r="H58" s="9">
        <v>40000</v>
      </c>
      <c r="I58" s="9">
        <v>40000</v>
      </c>
      <c r="J58" s="9">
        <v>30000</v>
      </c>
      <c r="K58" s="9">
        <v>30000</v>
      </c>
      <c r="L58" s="9">
        <v>30000</v>
      </c>
      <c r="M58" s="9">
        <v>30000</v>
      </c>
      <c r="N58" s="9">
        <v>30000</v>
      </c>
      <c r="O58" s="9">
        <v>30000</v>
      </c>
      <c r="P58" s="9">
        <v>30000</v>
      </c>
      <c r="Q58" s="9">
        <v>120000</v>
      </c>
      <c r="R58" s="9">
        <v>110000</v>
      </c>
      <c r="S58" s="9">
        <v>90000</v>
      </c>
      <c r="T58" s="9">
        <v>90000</v>
      </c>
      <c r="U58" s="9">
        <v>410000</v>
      </c>
    </row>
    <row r="59" spans="1:21">
      <c r="A59" s="2" t="str">
        <f xml:space="preserve"> IF(ISBLANK(B59), "", _xlfn.AGGREGATE(4, 7, $A$1:A58) + 1)</f>
        <v/>
      </c>
    </row>
    <row r="60" spans="1:21" ht="13.15">
      <c r="A60" s="2">
        <f xml:space="preserve"> IF(ISBLANK(B60), "", _xlfn.AGGREGATE(4, 7, $A$1:A59) + 1)</f>
        <v>47</v>
      </c>
      <c r="B60" s="7" t="s">
        <v>75</v>
      </c>
      <c r="C60" s="8" t="s">
        <v>26</v>
      </c>
      <c r="D60" s="8"/>
      <c r="E60" s="14">
        <v>1311671.7777581571</v>
      </c>
      <c r="F60" s="14">
        <v>1130791.7684311955</v>
      </c>
      <c r="G60" s="14">
        <v>1236414.3176874435</v>
      </c>
      <c r="H60" s="14">
        <v>1844252.8944376789</v>
      </c>
      <c r="I60" s="14">
        <v>2062435.7147854972</v>
      </c>
      <c r="J60" s="14">
        <v>2237729.1640356095</v>
      </c>
      <c r="K60" s="14">
        <v>1512636.9065318345</v>
      </c>
      <c r="L60" s="14">
        <v>1416081.3208547854</v>
      </c>
      <c r="M60" s="14">
        <v>1627867.3234975727</v>
      </c>
      <c r="N60" s="14">
        <v>2171236.6472174004</v>
      </c>
      <c r="O60" s="14">
        <v>2194847.1126980074</v>
      </c>
      <c r="P60" s="14">
        <v>1656512.7890986572</v>
      </c>
      <c r="Q60" s="14">
        <v>3678877.8638767963</v>
      </c>
      <c r="R60" s="14">
        <v>6144417.7732587848</v>
      </c>
      <c r="S60" s="14">
        <v>4556585.5508841928</v>
      </c>
      <c r="T60" s="14">
        <v>6022596.5490140654</v>
      </c>
      <c r="U60" s="14">
        <v>20402477.73703384</v>
      </c>
    </row>
    <row r="61" spans="1:21">
      <c r="A61" s="2" t="str">
        <f xml:space="preserve"> IF(ISBLANK(B61), "", _xlfn.AGGREGATE(4, 7, $A$1:A60) + 1)</f>
        <v/>
      </c>
    </row>
    <row r="62" spans="1:21" ht="13.15">
      <c r="A62" s="2">
        <f xml:space="preserve"> IF(ISBLANK(B62), "", _xlfn.AGGREGATE(4, 7, $A$1:A61) + 1)</f>
        <v>48</v>
      </c>
      <c r="B62" s="7" t="s">
        <v>76</v>
      </c>
      <c r="C62" s="8" t="s">
        <v>26</v>
      </c>
      <c r="D62" s="8"/>
      <c r="E62" s="14">
        <v>50000</v>
      </c>
      <c r="F62" s="14">
        <v>50000</v>
      </c>
      <c r="G62" s="14">
        <v>50000</v>
      </c>
      <c r="H62" s="14">
        <v>183333.33333333334</v>
      </c>
      <c r="I62" s="14">
        <v>183333.33333333334</v>
      </c>
      <c r="J62" s="14">
        <v>183333.33333333334</v>
      </c>
      <c r="K62" s="14">
        <v>183333.33333333334</v>
      </c>
      <c r="L62" s="14">
        <v>183333.33333333334</v>
      </c>
      <c r="M62" s="14">
        <v>183333.33333333334</v>
      </c>
      <c r="N62" s="14">
        <v>183333.33333333334</v>
      </c>
      <c r="O62" s="14">
        <v>183333.33333333334</v>
      </c>
      <c r="P62" s="14">
        <v>183333.33333333334</v>
      </c>
      <c r="Q62" s="14">
        <v>150000</v>
      </c>
      <c r="R62" s="14">
        <v>550000</v>
      </c>
      <c r="S62" s="14">
        <v>550000</v>
      </c>
      <c r="T62" s="14">
        <v>550000</v>
      </c>
      <c r="U62" s="14">
        <v>1799999.9999999998</v>
      </c>
    </row>
    <row r="63" spans="1:21">
      <c r="A63" s="2" t="str">
        <f xml:space="preserve"> IF(ISBLANK(B63), "", _xlfn.AGGREGATE(4, 7, $A$1:A62) + 1)</f>
        <v/>
      </c>
    </row>
    <row r="64" spans="1:21" ht="13.15">
      <c r="A64" s="2">
        <f xml:space="preserve"> IF(ISBLANK(B64), "", _xlfn.AGGREGATE(4, 7, $A$1:A63) + 1)</f>
        <v>49</v>
      </c>
      <c r="B64" s="7" t="s">
        <v>77</v>
      </c>
      <c r="C64" s="8" t="s">
        <v>26</v>
      </c>
      <c r="D64" s="8"/>
      <c r="E64" s="14">
        <v>1361671.7777581571</v>
      </c>
      <c r="F64" s="14">
        <v>1180791.7684311955</v>
      </c>
      <c r="G64" s="14">
        <v>1286414.3176874435</v>
      </c>
      <c r="H64" s="14">
        <v>2027586.2277710121</v>
      </c>
      <c r="I64" s="14">
        <v>2245769.0481188307</v>
      </c>
      <c r="J64" s="14">
        <v>2421062.4973689429</v>
      </c>
      <c r="K64" s="14">
        <v>1695970.2398651678</v>
      </c>
      <c r="L64" s="14">
        <v>1599414.6541881186</v>
      </c>
      <c r="M64" s="14">
        <v>1811200.6568309059</v>
      </c>
      <c r="N64" s="14">
        <v>2354569.9805507339</v>
      </c>
      <c r="O64" s="14">
        <v>2378180.4460313409</v>
      </c>
      <c r="P64" s="14">
        <v>1839846.1224319905</v>
      </c>
      <c r="Q64" s="14">
        <v>3828877.8638767963</v>
      </c>
      <c r="R64" s="14">
        <v>6694417.7732587857</v>
      </c>
      <c r="S64" s="14">
        <v>5106585.5508841928</v>
      </c>
      <c r="T64" s="14">
        <v>6572596.5490140654</v>
      </c>
      <c r="U64" s="14">
        <v>22202477.737033837</v>
      </c>
    </row>
    <row r="65" spans="2:2">
      <c r="B65" s="15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be44fa-8f27-42e1-8ae6-e40170041a73">
      <Terms xmlns="http://schemas.microsoft.com/office/infopath/2007/PartnerControls"/>
    </lcf76f155ced4ddcb4097134ff3c332f>
    <TaxCatchAll xmlns="45e9e1e6-f3d5-414b-9145-28757447c74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A9A7C058951345A7033AE6121937CD" ma:contentTypeVersion="14" ma:contentTypeDescription="Create a new document." ma:contentTypeScope="" ma:versionID="3d0afa3b8929fd8ceb8670787d34d30b">
  <xsd:schema xmlns:xsd="http://www.w3.org/2001/XMLSchema" xmlns:xs="http://www.w3.org/2001/XMLSchema" xmlns:p="http://schemas.microsoft.com/office/2006/metadata/properties" xmlns:ns2="72be44fa-8f27-42e1-8ae6-e40170041a73" xmlns:ns3="45e9e1e6-f3d5-414b-9145-28757447c742" targetNamespace="http://schemas.microsoft.com/office/2006/metadata/properties" ma:root="true" ma:fieldsID="e8ba3ba2dd3077f26562c73d7ffe540a" ns2:_="" ns3:_="">
    <xsd:import namespace="72be44fa-8f27-42e1-8ae6-e40170041a73"/>
    <xsd:import namespace="45e9e1e6-f3d5-414b-9145-28757447c7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be44fa-8f27-42e1-8ae6-e40170041a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f8b20d4-4ae0-4d56-a710-43dc9563bd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e9e1e6-f3d5-414b-9145-28757447c74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bc79d9e-0d03-4fed-bae1-2c48f7269202}" ma:internalName="TaxCatchAll" ma:showField="CatchAllData" ma:web="45e9e1e6-f3d5-414b-9145-28757447c7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EA9638-173E-4DB6-AC31-464FAC84DFA4}"/>
</file>

<file path=customXml/itemProps2.xml><?xml version="1.0" encoding="utf-8"?>
<ds:datastoreItem xmlns:ds="http://schemas.openxmlformats.org/officeDocument/2006/customXml" ds:itemID="{AAB66795-0C77-46D2-9951-C49670740B20}"/>
</file>

<file path=customXml/itemProps3.xml><?xml version="1.0" encoding="utf-8"?>
<ds:datastoreItem xmlns:ds="http://schemas.openxmlformats.org/officeDocument/2006/customXml" ds:itemID="{F9293737-DA6A-42CE-96E2-185678993F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 Rabinowitch</dc:creator>
  <cp:keywords/>
  <dc:description/>
  <cp:lastModifiedBy/>
  <cp:revision/>
  <dcterms:created xsi:type="dcterms:W3CDTF">2026-03-24T22:37:39Z</dcterms:created>
  <dcterms:modified xsi:type="dcterms:W3CDTF">2026-06-01T23:53:24Z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0x010100BBA9A7C058951345A7033AE6121937CD</vt:lpwstr>
  </property>
  <property fmtid="{D5CDD505-2E9C-101B-9397-08002B2CF9AE}" pid="3" name="MediaServiceImageTags">
    <vt:lpwstr/>
  </property>
</Properties>
</file>