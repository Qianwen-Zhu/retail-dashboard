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rrabinowitch\Downloads\"/>
    </mc:Choice>
  </mc:AlternateContent>
  <xr:revisionPtr revIDLastSave="0" documentId="8_{9F88273A-8B4F-4533-BBE7-C0571DDC84F4}" xr6:coauthVersionLast="47" xr6:coauthVersionMax="47" xr10:uidLastSave="{00000000-0000-0000-0000-000000000000}"/>
  <bookViews>
    <workbookView xWindow="-28920" yWindow="5820" windowWidth="29040" windowHeight="17520" xr2:uid="{F86D102A-53FC-4DC5-8DAD-36791A7C45BF}"/>
  </bookViews>
  <sheets>
    <sheet name="Summary" sheetId="1" r:id="rId1"/>
    <sheet name="Amazon_1P" sheetId="2" r:id="rId2"/>
    <sheet name="THD" sheetId="3" r:id="rId3"/>
    <sheet name="Walmart" sheetId="4" r:id="rId4"/>
    <sheet name="Best_Buy" sheetId="5" r:id="rId5"/>
    <sheet name="DTC" sheetId="6" r:id="rId6"/>
    <sheet name="Paul" sheetId="7" r:id="rId7"/>
  </sheets>
  <definedNames>
    <definedName name="_xlnm._FilterDatabase" localSheetId="4" hidden="1">Best_Buy!$A$1:$AA$103</definedName>
    <definedName name="_xlnm._FilterDatabase" localSheetId="6" hidden="1">Paul!$A$1:$Z$130</definedName>
    <definedName name="_xlnm._FilterDatabase" localSheetId="2" hidden="1">THD!$A$1:$AE$208</definedName>
    <definedName name="_xlnm._FilterDatabase" localSheetId="3" hidden="1">Walmart!$A$1:$AA$55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8" i="3" l="1"/>
  <c r="Q208" i="3"/>
  <c r="P208" i="3"/>
  <c r="M208" i="3"/>
  <c r="R207" i="3"/>
  <c r="Q207" i="3"/>
  <c r="P207" i="3"/>
  <c r="M207" i="3"/>
  <c r="R206" i="3"/>
  <c r="Q206" i="3"/>
  <c r="P206" i="3"/>
  <c r="M206" i="3"/>
  <c r="R205" i="3"/>
  <c r="Q205" i="3"/>
  <c r="P205" i="3"/>
  <c r="M205" i="3"/>
  <c r="R204" i="3"/>
  <c r="Q204" i="3"/>
  <c r="P204" i="3"/>
  <c r="M204" i="3"/>
  <c r="R203" i="3"/>
  <c r="Q203" i="3"/>
  <c r="P203" i="3"/>
  <c r="M203" i="3"/>
  <c r="R202" i="3"/>
  <c r="Q202" i="3"/>
  <c r="P202" i="3"/>
  <c r="M202" i="3"/>
  <c r="R201" i="3"/>
  <c r="Q201" i="3"/>
  <c r="P201" i="3"/>
  <c r="M201" i="3"/>
  <c r="R200" i="3"/>
  <c r="Q200" i="3"/>
  <c r="P200" i="3"/>
  <c r="M200" i="3"/>
  <c r="R199" i="3"/>
  <c r="Q199" i="3"/>
  <c r="P199" i="3"/>
  <c r="M199" i="3"/>
  <c r="R198" i="3"/>
  <c r="Q198" i="3"/>
  <c r="P198" i="3"/>
  <c r="M198" i="3"/>
  <c r="R197" i="3"/>
  <c r="Q197" i="3"/>
  <c r="P197" i="3"/>
  <c r="M197" i="3"/>
  <c r="R196" i="3"/>
  <c r="Q196" i="3"/>
  <c r="P196" i="3"/>
  <c r="M196" i="3"/>
  <c r="R195" i="3"/>
  <c r="Q195" i="3"/>
  <c r="P195" i="3"/>
  <c r="M195" i="3"/>
  <c r="R194" i="3"/>
  <c r="Q194" i="3"/>
  <c r="P194" i="3"/>
  <c r="M194" i="3"/>
  <c r="R193" i="3"/>
  <c r="Q193" i="3"/>
  <c r="P193" i="3"/>
  <c r="M193" i="3"/>
  <c r="R192" i="3"/>
  <c r="Q192" i="3"/>
  <c r="P192" i="3"/>
  <c r="M192" i="3"/>
  <c r="R191" i="3"/>
  <c r="Q191" i="3"/>
  <c r="P191" i="3"/>
  <c r="M191" i="3"/>
  <c r="R190" i="3"/>
  <c r="Q190" i="3"/>
  <c r="P190" i="3"/>
  <c r="M190" i="3"/>
  <c r="R189" i="3"/>
  <c r="Q189" i="3"/>
  <c r="P189" i="3"/>
  <c r="M189" i="3"/>
  <c r="R188" i="3"/>
  <c r="Q188" i="3"/>
  <c r="P188" i="3"/>
  <c r="M188" i="3"/>
  <c r="R187" i="3"/>
  <c r="Q187" i="3"/>
  <c r="P187" i="3"/>
  <c r="M187" i="3"/>
  <c r="R186" i="3"/>
  <c r="Q186" i="3"/>
  <c r="P186" i="3"/>
  <c r="M186" i="3"/>
  <c r="R185" i="3"/>
  <c r="Q185" i="3"/>
  <c r="P185" i="3"/>
  <c r="M185" i="3"/>
  <c r="R184" i="3"/>
  <c r="Q184" i="3"/>
  <c r="P184" i="3"/>
  <c r="M184" i="3"/>
  <c r="R183" i="3"/>
  <c r="Q183" i="3"/>
  <c r="P183" i="3"/>
  <c r="M183" i="3"/>
  <c r="R182" i="3"/>
  <c r="Q182" i="3"/>
  <c r="P182" i="3"/>
  <c r="M182" i="3"/>
  <c r="R181" i="3"/>
  <c r="Q181" i="3"/>
  <c r="P181" i="3"/>
  <c r="M181" i="3"/>
  <c r="R180" i="3"/>
  <c r="Q180" i="3"/>
  <c r="P180" i="3"/>
  <c r="M180" i="3"/>
  <c r="R179" i="3"/>
  <c r="Q179" i="3"/>
  <c r="P179" i="3"/>
  <c r="M179" i="3"/>
  <c r="R178" i="3"/>
  <c r="Q178" i="3"/>
  <c r="P178" i="3"/>
  <c r="M178" i="3"/>
  <c r="R177" i="3"/>
  <c r="Q177" i="3"/>
  <c r="P177" i="3"/>
  <c r="M177" i="3"/>
  <c r="R176" i="3"/>
  <c r="Q176" i="3"/>
  <c r="P176" i="3"/>
  <c r="M176" i="3"/>
  <c r="R175" i="3"/>
  <c r="Q175" i="3"/>
  <c r="P175" i="3"/>
  <c r="M175" i="3"/>
  <c r="R174" i="3"/>
  <c r="Q174" i="3"/>
  <c r="P174" i="3"/>
  <c r="M174" i="3"/>
  <c r="R173" i="3"/>
  <c r="Q173" i="3"/>
  <c r="P173" i="3"/>
  <c r="M173" i="3"/>
  <c r="R172" i="3"/>
  <c r="Q172" i="3"/>
  <c r="P172" i="3"/>
  <c r="M172" i="3"/>
  <c r="R171" i="3"/>
  <c r="Q171" i="3"/>
  <c r="P171" i="3"/>
  <c r="M171" i="3"/>
  <c r="R170" i="3"/>
  <c r="Q170" i="3"/>
  <c r="P170" i="3"/>
  <c r="M170" i="3"/>
  <c r="R169" i="3"/>
  <c r="Q169" i="3"/>
  <c r="P169" i="3"/>
  <c r="M169" i="3"/>
  <c r="R168" i="3"/>
  <c r="Q168" i="3"/>
  <c r="P168" i="3"/>
  <c r="M168" i="3"/>
  <c r="R167" i="3"/>
  <c r="Q167" i="3"/>
  <c r="P167" i="3"/>
  <c r="M167" i="3"/>
  <c r="R166" i="3"/>
  <c r="Q166" i="3"/>
  <c r="P166" i="3"/>
  <c r="M166" i="3"/>
  <c r="R165" i="3"/>
  <c r="Q165" i="3"/>
  <c r="P165" i="3"/>
  <c r="M165" i="3"/>
  <c r="R164" i="3"/>
  <c r="Q164" i="3"/>
  <c r="P164" i="3"/>
  <c r="M164" i="3"/>
  <c r="R163" i="3"/>
  <c r="Q163" i="3"/>
  <c r="P163" i="3"/>
  <c r="M163" i="3"/>
  <c r="R162" i="3"/>
  <c r="Q162" i="3"/>
  <c r="P162" i="3"/>
  <c r="M162" i="3"/>
  <c r="R161" i="3"/>
  <c r="Q161" i="3"/>
  <c r="P161" i="3"/>
  <c r="M161" i="3"/>
  <c r="R160" i="3"/>
  <c r="Q160" i="3"/>
  <c r="P160" i="3"/>
  <c r="M160" i="3"/>
  <c r="R159" i="3"/>
  <c r="Q159" i="3"/>
  <c r="P159" i="3"/>
  <c r="M159" i="3"/>
  <c r="R158" i="3"/>
  <c r="Q158" i="3"/>
  <c r="P158" i="3"/>
  <c r="M158" i="3"/>
  <c r="R157" i="3"/>
  <c r="Q157" i="3"/>
  <c r="P157" i="3"/>
  <c r="M157" i="3"/>
  <c r="R156" i="3"/>
  <c r="Q156" i="3"/>
  <c r="P156" i="3"/>
  <c r="M156" i="3"/>
  <c r="R155" i="3"/>
  <c r="Q155" i="3"/>
  <c r="P155" i="3"/>
  <c r="M155" i="3"/>
  <c r="R154" i="3"/>
  <c r="Q154" i="3"/>
  <c r="P154" i="3"/>
  <c r="M154" i="3"/>
  <c r="R153" i="3"/>
  <c r="Q153" i="3"/>
  <c r="P153" i="3"/>
  <c r="M153" i="3"/>
  <c r="R152" i="3"/>
  <c r="Q152" i="3"/>
  <c r="P152" i="3"/>
  <c r="M152" i="3"/>
  <c r="R151" i="3"/>
  <c r="Q151" i="3"/>
  <c r="P151" i="3"/>
  <c r="M151" i="3"/>
  <c r="R150" i="3"/>
  <c r="Q150" i="3"/>
  <c r="P150" i="3"/>
  <c r="M150" i="3"/>
  <c r="R149" i="3"/>
  <c r="Q149" i="3"/>
  <c r="P149" i="3"/>
  <c r="M149" i="3"/>
  <c r="R148" i="3"/>
  <c r="Q148" i="3"/>
  <c r="P148" i="3"/>
  <c r="M148" i="3"/>
  <c r="R147" i="3"/>
  <c r="Q147" i="3"/>
  <c r="P147" i="3"/>
  <c r="M147" i="3"/>
  <c r="R146" i="3"/>
  <c r="Q146" i="3"/>
  <c r="P146" i="3"/>
  <c r="M146" i="3"/>
  <c r="R145" i="3"/>
  <c r="Q145" i="3"/>
  <c r="P145" i="3"/>
  <c r="M145" i="3"/>
  <c r="R144" i="3"/>
  <c r="Q144" i="3"/>
  <c r="P144" i="3"/>
  <c r="M144" i="3"/>
  <c r="R143" i="3"/>
  <c r="Q143" i="3"/>
  <c r="P143" i="3"/>
  <c r="M143" i="3"/>
  <c r="R142" i="3"/>
  <c r="Q142" i="3"/>
  <c r="P142" i="3"/>
  <c r="M142" i="3"/>
  <c r="R141" i="3"/>
  <c r="Q141" i="3"/>
  <c r="P141" i="3"/>
  <c r="M141" i="3"/>
  <c r="R140" i="3"/>
  <c r="Q140" i="3"/>
  <c r="P140" i="3"/>
  <c r="M140" i="3"/>
  <c r="R139" i="3"/>
  <c r="Q139" i="3"/>
  <c r="P139" i="3"/>
  <c r="M139" i="3"/>
  <c r="R138" i="3"/>
  <c r="Q138" i="3"/>
  <c r="P138" i="3"/>
  <c r="M138" i="3"/>
  <c r="R137" i="3"/>
  <c r="Q137" i="3"/>
  <c r="P137" i="3"/>
  <c r="M137" i="3"/>
  <c r="R136" i="3"/>
  <c r="Q136" i="3"/>
  <c r="P136" i="3"/>
  <c r="M136" i="3"/>
  <c r="R135" i="3"/>
  <c r="Q135" i="3"/>
  <c r="P135" i="3"/>
  <c r="M135" i="3"/>
  <c r="R134" i="3"/>
  <c r="Q134" i="3"/>
  <c r="P134" i="3"/>
  <c r="M134" i="3"/>
  <c r="R133" i="3"/>
  <c r="Q133" i="3"/>
  <c r="P133" i="3"/>
  <c r="M133" i="3"/>
  <c r="R132" i="3"/>
  <c r="Q132" i="3"/>
  <c r="P132" i="3"/>
  <c r="M132" i="3"/>
  <c r="R131" i="3"/>
  <c r="Q131" i="3"/>
  <c r="P131" i="3"/>
  <c r="M131" i="3"/>
  <c r="R130" i="3"/>
  <c r="Q130" i="3"/>
  <c r="P130" i="3"/>
  <c r="M130" i="3"/>
  <c r="R129" i="3"/>
  <c r="Q129" i="3"/>
  <c r="P129" i="3"/>
  <c r="M129" i="3"/>
  <c r="R128" i="3"/>
  <c r="Q128" i="3"/>
  <c r="P128" i="3"/>
  <c r="M128" i="3"/>
  <c r="R127" i="3"/>
  <c r="Q127" i="3"/>
  <c r="P127" i="3"/>
  <c r="M127" i="3"/>
  <c r="R126" i="3"/>
  <c r="Q126" i="3"/>
  <c r="P126" i="3"/>
  <c r="M126" i="3"/>
  <c r="R125" i="3"/>
  <c r="Q125" i="3"/>
  <c r="P125" i="3"/>
  <c r="M125" i="3"/>
  <c r="R124" i="3"/>
  <c r="Q124" i="3"/>
  <c r="P124" i="3"/>
  <c r="M124" i="3"/>
  <c r="R123" i="3"/>
  <c r="Q123" i="3"/>
  <c r="P123" i="3"/>
  <c r="M123" i="3"/>
  <c r="R122" i="3"/>
  <c r="Q122" i="3"/>
  <c r="P122" i="3"/>
  <c r="M122" i="3"/>
  <c r="R121" i="3"/>
  <c r="Q121" i="3"/>
  <c r="P121" i="3"/>
  <c r="M121" i="3"/>
  <c r="R120" i="3"/>
  <c r="Q120" i="3"/>
  <c r="P120" i="3"/>
  <c r="M120" i="3"/>
  <c r="R119" i="3"/>
  <c r="Q119" i="3"/>
  <c r="P119" i="3"/>
  <c r="M119" i="3"/>
  <c r="R118" i="3"/>
  <c r="Q118" i="3"/>
  <c r="P118" i="3"/>
  <c r="M118" i="3"/>
  <c r="R117" i="3"/>
  <c r="Q117" i="3"/>
  <c r="P117" i="3"/>
  <c r="M117" i="3"/>
  <c r="R116" i="3"/>
  <c r="Q116" i="3"/>
  <c r="P116" i="3"/>
  <c r="M116" i="3"/>
  <c r="R115" i="3"/>
  <c r="Q115" i="3"/>
  <c r="P115" i="3"/>
  <c r="M115" i="3"/>
  <c r="R114" i="3"/>
  <c r="Q114" i="3"/>
  <c r="P114" i="3"/>
  <c r="M114" i="3"/>
  <c r="R113" i="3"/>
  <c r="Q113" i="3"/>
  <c r="P113" i="3"/>
  <c r="M113" i="3"/>
  <c r="R112" i="3"/>
  <c r="Q112" i="3"/>
  <c r="P112" i="3"/>
  <c r="M112" i="3"/>
  <c r="R111" i="3"/>
  <c r="Q111" i="3"/>
  <c r="P111" i="3"/>
  <c r="M111" i="3"/>
  <c r="R110" i="3"/>
  <c r="Q110" i="3"/>
  <c r="P110" i="3"/>
  <c r="M110" i="3"/>
  <c r="R109" i="3"/>
  <c r="Q109" i="3"/>
  <c r="P109" i="3"/>
  <c r="M109" i="3"/>
  <c r="R108" i="3"/>
  <c r="Q108" i="3"/>
  <c r="P108" i="3"/>
  <c r="M108" i="3"/>
  <c r="R107" i="3"/>
  <c r="Q107" i="3"/>
  <c r="P107" i="3"/>
  <c r="M107" i="3"/>
  <c r="R106" i="3"/>
  <c r="Q106" i="3"/>
  <c r="P106" i="3"/>
  <c r="M106" i="3"/>
  <c r="R105" i="3"/>
  <c r="Q105" i="3"/>
  <c r="P105" i="3"/>
  <c r="M105" i="3"/>
  <c r="R104" i="3"/>
  <c r="Q104" i="3"/>
  <c r="P104" i="3"/>
  <c r="M104" i="3"/>
  <c r="R103" i="3"/>
  <c r="Q103" i="3"/>
  <c r="P103" i="3"/>
  <c r="M103" i="3"/>
  <c r="R102" i="3"/>
  <c r="Q102" i="3"/>
  <c r="P102" i="3"/>
  <c r="M102" i="3"/>
  <c r="R101" i="3"/>
  <c r="Q101" i="3"/>
  <c r="P101" i="3"/>
  <c r="M101" i="3"/>
  <c r="R100" i="3"/>
  <c r="Q100" i="3"/>
  <c r="P100" i="3"/>
  <c r="M100" i="3"/>
  <c r="R99" i="3"/>
  <c r="Q99" i="3"/>
  <c r="P99" i="3"/>
  <c r="M99" i="3"/>
  <c r="R98" i="3"/>
  <c r="Q98" i="3"/>
  <c r="P98" i="3"/>
  <c r="M98" i="3"/>
  <c r="R97" i="3"/>
  <c r="Q97" i="3"/>
  <c r="P97" i="3"/>
  <c r="M97" i="3"/>
  <c r="R96" i="3"/>
  <c r="Q96" i="3"/>
  <c r="P96" i="3"/>
  <c r="M96" i="3"/>
  <c r="R95" i="3"/>
  <c r="Q95" i="3"/>
  <c r="P95" i="3"/>
  <c r="M95" i="3"/>
  <c r="R94" i="3"/>
  <c r="Q94" i="3"/>
  <c r="P94" i="3"/>
  <c r="M94" i="3"/>
  <c r="R93" i="3"/>
  <c r="Q93" i="3"/>
  <c r="P93" i="3"/>
  <c r="M93" i="3"/>
  <c r="R92" i="3"/>
  <c r="Q92" i="3"/>
  <c r="P92" i="3"/>
  <c r="M92" i="3"/>
  <c r="R91" i="3"/>
  <c r="Q91" i="3"/>
  <c r="P91" i="3"/>
  <c r="M91" i="3"/>
  <c r="R90" i="3"/>
  <c r="Q90" i="3"/>
  <c r="P90" i="3"/>
  <c r="M90" i="3"/>
  <c r="R89" i="3"/>
  <c r="Q89" i="3"/>
  <c r="P89" i="3"/>
  <c r="M89" i="3"/>
  <c r="R88" i="3"/>
  <c r="Q88" i="3"/>
  <c r="P88" i="3"/>
  <c r="M88" i="3"/>
  <c r="R87" i="3"/>
  <c r="Q87" i="3"/>
  <c r="P87" i="3"/>
  <c r="M87" i="3"/>
  <c r="R86" i="3"/>
  <c r="Q86" i="3"/>
  <c r="P86" i="3"/>
  <c r="M86" i="3"/>
  <c r="R85" i="3"/>
  <c r="Q85" i="3"/>
  <c r="P85" i="3"/>
  <c r="M85" i="3"/>
  <c r="R84" i="3"/>
  <c r="Q84" i="3"/>
  <c r="P84" i="3"/>
  <c r="M84" i="3"/>
  <c r="R83" i="3"/>
  <c r="Q83" i="3"/>
  <c r="P83" i="3"/>
  <c r="M83" i="3"/>
  <c r="R82" i="3"/>
  <c r="Q82" i="3"/>
  <c r="P82" i="3"/>
  <c r="M82" i="3"/>
  <c r="R81" i="3"/>
  <c r="Q81" i="3"/>
  <c r="P81" i="3"/>
  <c r="M81" i="3"/>
  <c r="R80" i="3"/>
  <c r="Q80" i="3"/>
  <c r="P80" i="3"/>
  <c r="M80" i="3"/>
  <c r="R79" i="3"/>
  <c r="Q79" i="3"/>
  <c r="P79" i="3"/>
  <c r="M79" i="3"/>
  <c r="R78" i="3"/>
  <c r="Q78" i="3"/>
  <c r="P78" i="3"/>
  <c r="M78" i="3"/>
  <c r="R77" i="3"/>
  <c r="Q77" i="3"/>
  <c r="P77" i="3"/>
  <c r="M77" i="3"/>
  <c r="R76" i="3"/>
  <c r="Q76" i="3"/>
  <c r="P76" i="3"/>
  <c r="M76" i="3"/>
  <c r="R75" i="3"/>
  <c r="Q75" i="3"/>
  <c r="P75" i="3"/>
  <c r="M75" i="3"/>
  <c r="R74" i="3"/>
  <c r="Q74" i="3"/>
  <c r="P74" i="3"/>
  <c r="M74" i="3"/>
  <c r="R73" i="3"/>
  <c r="Q73" i="3"/>
  <c r="P73" i="3"/>
  <c r="M73" i="3"/>
  <c r="R72" i="3"/>
  <c r="Q72" i="3"/>
  <c r="P72" i="3"/>
  <c r="M72" i="3"/>
  <c r="R71" i="3"/>
  <c r="Q71" i="3"/>
  <c r="P71" i="3"/>
  <c r="M71" i="3"/>
  <c r="R70" i="3"/>
  <c r="Q70" i="3"/>
  <c r="P70" i="3"/>
  <c r="M70" i="3"/>
  <c r="R69" i="3"/>
  <c r="Q69" i="3"/>
  <c r="P69" i="3"/>
  <c r="M69" i="3"/>
  <c r="R68" i="3"/>
  <c r="Q68" i="3"/>
  <c r="P68" i="3"/>
  <c r="M68" i="3"/>
  <c r="R67" i="3"/>
  <c r="Q67" i="3"/>
  <c r="P67" i="3"/>
  <c r="M67" i="3"/>
  <c r="R66" i="3"/>
  <c r="Q66" i="3"/>
  <c r="P66" i="3"/>
  <c r="M66" i="3"/>
  <c r="R65" i="3"/>
  <c r="Q65" i="3"/>
  <c r="P65" i="3"/>
  <c r="M65" i="3"/>
  <c r="R64" i="3"/>
  <c r="Q64" i="3"/>
  <c r="P64" i="3"/>
  <c r="M64" i="3"/>
  <c r="R63" i="3"/>
  <c r="Q63" i="3"/>
  <c r="P63" i="3"/>
  <c r="M63" i="3"/>
  <c r="R62" i="3"/>
  <c r="Q62" i="3"/>
  <c r="P62" i="3"/>
  <c r="M62" i="3"/>
  <c r="R61" i="3"/>
  <c r="Q61" i="3"/>
  <c r="P61" i="3"/>
  <c r="M61" i="3"/>
  <c r="R60" i="3"/>
  <c r="Q60" i="3"/>
  <c r="P60" i="3"/>
  <c r="M60" i="3"/>
  <c r="R59" i="3"/>
  <c r="Q59" i="3"/>
  <c r="P59" i="3"/>
  <c r="M59" i="3"/>
  <c r="R58" i="3"/>
  <c r="Q58" i="3"/>
  <c r="P58" i="3"/>
  <c r="M58" i="3"/>
  <c r="R57" i="3"/>
  <c r="Q57" i="3"/>
  <c r="P57" i="3"/>
  <c r="M57" i="3"/>
  <c r="R56" i="3"/>
  <c r="Q56" i="3"/>
  <c r="P56" i="3"/>
  <c r="M56" i="3"/>
  <c r="R55" i="3"/>
  <c r="Q55" i="3"/>
  <c r="P55" i="3"/>
  <c r="M55" i="3"/>
  <c r="R54" i="3"/>
  <c r="Q54" i="3"/>
  <c r="P54" i="3"/>
  <c r="M54" i="3"/>
  <c r="R53" i="3"/>
  <c r="Q53" i="3"/>
  <c r="P53" i="3"/>
  <c r="M53" i="3"/>
  <c r="R52" i="3"/>
  <c r="Q52" i="3"/>
  <c r="P52" i="3"/>
  <c r="M52" i="3"/>
  <c r="R51" i="3"/>
  <c r="Q51" i="3"/>
  <c r="P51" i="3"/>
  <c r="M51" i="3"/>
  <c r="R50" i="3"/>
  <c r="Q50" i="3"/>
  <c r="P50" i="3"/>
  <c r="M50" i="3"/>
  <c r="R49" i="3"/>
  <c r="Q49" i="3"/>
  <c r="P49" i="3"/>
  <c r="M49" i="3"/>
  <c r="R48" i="3"/>
  <c r="Q48" i="3"/>
  <c r="P48" i="3"/>
  <c r="M48" i="3"/>
  <c r="R47" i="3"/>
  <c r="Q47" i="3"/>
  <c r="P47" i="3"/>
  <c r="M47" i="3"/>
  <c r="R46" i="3"/>
  <c r="Q46" i="3"/>
  <c r="P46" i="3"/>
  <c r="M46" i="3"/>
  <c r="R45" i="3"/>
  <c r="Q45" i="3"/>
  <c r="P45" i="3"/>
  <c r="M45" i="3"/>
  <c r="R44" i="3"/>
  <c r="Q44" i="3"/>
  <c r="P44" i="3"/>
  <c r="M44" i="3"/>
  <c r="R43" i="3"/>
  <c r="Q43" i="3"/>
  <c r="P43" i="3"/>
  <c r="M43" i="3"/>
  <c r="R42" i="3"/>
  <c r="Q42" i="3"/>
  <c r="P42" i="3"/>
  <c r="M42" i="3"/>
  <c r="R41" i="3"/>
  <c r="Q41" i="3"/>
  <c r="P41" i="3"/>
  <c r="M41" i="3"/>
  <c r="R40" i="3"/>
  <c r="Q40" i="3"/>
  <c r="P40" i="3"/>
  <c r="M40" i="3"/>
  <c r="R39" i="3"/>
  <c r="Q39" i="3"/>
  <c r="P39" i="3"/>
  <c r="M39" i="3"/>
  <c r="R38" i="3"/>
  <c r="Q38" i="3"/>
  <c r="P38" i="3"/>
  <c r="M38" i="3"/>
  <c r="R37" i="3"/>
  <c r="Q37" i="3"/>
  <c r="P37" i="3"/>
  <c r="M37" i="3"/>
  <c r="R36" i="3"/>
  <c r="Q36" i="3"/>
  <c r="P36" i="3"/>
  <c r="M36" i="3"/>
  <c r="R35" i="3"/>
  <c r="Q35" i="3"/>
  <c r="P35" i="3"/>
  <c r="M35" i="3"/>
  <c r="R34" i="3"/>
  <c r="Q34" i="3"/>
  <c r="P34" i="3"/>
  <c r="M34" i="3"/>
  <c r="R33" i="3"/>
  <c r="Q33" i="3"/>
  <c r="P33" i="3"/>
  <c r="M33" i="3"/>
  <c r="R32" i="3"/>
  <c r="Q32" i="3"/>
  <c r="P32" i="3"/>
  <c r="M32" i="3"/>
  <c r="R31" i="3"/>
  <c r="Q31" i="3"/>
  <c r="P31" i="3"/>
  <c r="M31" i="3"/>
  <c r="R30" i="3"/>
  <c r="Q30" i="3"/>
  <c r="P30" i="3"/>
  <c r="M30" i="3"/>
  <c r="R29" i="3"/>
  <c r="Q29" i="3"/>
  <c r="P29" i="3"/>
  <c r="M29" i="3"/>
  <c r="R28" i="3"/>
  <c r="Q28" i="3"/>
  <c r="P28" i="3"/>
  <c r="M28" i="3"/>
  <c r="R27" i="3"/>
  <c r="Q27" i="3"/>
  <c r="P27" i="3"/>
  <c r="M27" i="3"/>
  <c r="R26" i="3"/>
  <c r="Q26" i="3"/>
  <c r="P26" i="3"/>
  <c r="M26" i="3"/>
  <c r="R25" i="3"/>
  <c r="Q25" i="3"/>
  <c r="P25" i="3"/>
  <c r="M25" i="3"/>
  <c r="R24" i="3"/>
  <c r="Q24" i="3"/>
  <c r="P24" i="3"/>
  <c r="M24" i="3"/>
  <c r="R23" i="3"/>
  <c r="Q23" i="3"/>
  <c r="P23" i="3"/>
  <c r="M23" i="3"/>
  <c r="R22" i="3"/>
  <c r="Q22" i="3"/>
  <c r="P22" i="3"/>
  <c r="M22" i="3"/>
  <c r="R21" i="3"/>
  <c r="Q21" i="3"/>
  <c r="P21" i="3"/>
  <c r="M21" i="3"/>
  <c r="R20" i="3"/>
  <c r="Q20" i="3"/>
  <c r="P20" i="3"/>
  <c r="M20" i="3"/>
  <c r="R19" i="3"/>
  <c r="Q19" i="3"/>
  <c r="P19" i="3"/>
  <c r="M19" i="3"/>
  <c r="R18" i="3"/>
  <c r="Q18" i="3"/>
  <c r="P18" i="3"/>
  <c r="M18" i="3"/>
  <c r="R17" i="3"/>
  <c r="Q17" i="3"/>
  <c r="P17" i="3"/>
  <c r="M17" i="3"/>
  <c r="R16" i="3"/>
  <c r="Q16" i="3"/>
  <c r="P16" i="3"/>
  <c r="M16" i="3"/>
  <c r="R15" i="3"/>
  <c r="Q15" i="3"/>
  <c r="P15" i="3"/>
  <c r="M15" i="3"/>
  <c r="R14" i="3"/>
  <c r="Q14" i="3"/>
  <c r="P14" i="3"/>
  <c r="M14" i="3"/>
  <c r="R13" i="3"/>
  <c r="Q13" i="3"/>
  <c r="P13" i="3"/>
  <c r="M13" i="3"/>
  <c r="R12" i="3"/>
  <c r="Q12" i="3"/>
  <c r="P12" i="3"/>
  <c r="M12" i="3"/>
  <c r="R11" i="3"/>
  <c r="Q11" i="3"/>
  <c r="P11" i="3"/>
  <c r="M11" i="3"/>
  <c r="R10" i="3"/>
  <c r="Q10" i="3"/>
  <c r="P10" i="3"/>
  <c r="M10" i="3"/>
  <c r="R9" i="3"/>
  <c r="Q9" i="3"/>
  <c r="P9" i="3"/>
  <c r="M9" i="3"/>
  <c r="R8" i="3"/>
  <c r="Q8" i="3"/>
  <c r="P8" i="3"/>
  <c r="M8" i="3"/>
  <c r="R7" i="3"/>
  <c r="Q7" i="3"/>
  <c r="P7" i="3"/>
  <c r="M7" i="3"/>
  <c r="R6" i="3"/>
  <c r="Q6" i="3"/>
  <c r="P6" i="3"/>
  <c r="M6" i="3"/>
  <c r="AH5" i="3"/>
  <c r="R5" i="3"/>
  <c r="Q5" i="3"/>
  <c r="P5" i="3"/>
  <c r="M5" i="3"/>
  <c r="R4" i="3"/>
  <c r="Q4" i="3"/>
  <c r="P4" i="3"/>
  <c r="M4" i="3"/>
  <c r="R3" i="3"/>
  <c r="Q3" i="3"/>
  <c r="P3" i="3"/>
  <c r="M3" i="3"/>
  <c r="R2" i="3"/>
  <c r="Q2" i="3"/>
  <c r="P2" i="3"/>
  <c r="M2" i="3"/>
  <c r="AH1" i="3"/>
  <c r="T13" i="1"/>
  <c r="T12" i="1"/>
  <c r="T11" i="1"/>
  <c r="T10" i="1"/>
  <c r="T9" i="1"/>
  <c r="T8" i="1"/>
  <c r="T7" i="1"/>
  <c r="T6" i="1"/>
  <c r="T5" i="1"/>
  <c r="T4" i="1"/>
  <c r="T3" i="1"/>
  <c r="A3" i="1"/>
  <c r="A4" i="1" s="1"/>
  <c r="AH6" i="3" l="1"/>
  <c r="AI6" i="3" s="1"/>
  <c r="AI5" i="3"/>
  <c r="A5" i="1"/>
  <c r="N208" i="3" l="1"/>
  <c r="O208" i="3" s="1"/>
  <c r="N206" i="3"/>
  <c r="O206" i="3" s="1"/>
  <c r="N202" i="3"/>
  <c r="O202" i="3" s="1"/>
  <c r="N200" i="3"/>
  <c r="O200" i="3" s="1"/>
  <c r="N196" i="3"/>
  <c r="O196" i="3" s="1"/>
  <c r="N192" i="3"/>
  <c r="O192" i="3" s="1"/>
  <c r="N190" i="3"/>
  <c r="O190" i="3" s="1"/>
  <c r="N188" i="3"/>
  <c r="O188" i="3" s="1"/>
  <c r="N184" i="3"/>
  <c r="O184" i="3" s="1"/>
  <c r="N180" i="3"/>
  <c r="O180" i="3" s="1"/>
  <c r="N176" i="3"/>
  <c r="O176" i="3" s="1"/>
  <c r="N174" i="3"/>
  <c r="O174" i="3" s="1"/>
  <c r="N166" i="3"/>
  <c r="O166" i="3" s="1"/>
  <c r="N158" i="3"/>
  <c r="O158" i="3" s="1"/>
  <c r="N150" i="3"/>
  <c r="O150" i="3" s="1"/>
  <c r="N118" i="3"/>
  <c r="O118" i="3" s="1"/>
  <c r="N114" i="3"/>
  <c r="O114" i="3" s="1"/>
  <c r="N102" i="3"/>
  <c r="O102" i="3" s="1"/>
  <c r="N86" i="3"/>
  <c r="O86" i="3" s="1"/>
  <c r="N74" i="3"/>
  <c r="O74" i="3" s="1"/>
  <c r="N72" i="3"/>
  <c r="O72" i="3" s="1"/>
  <c r="N68" i="3"/>
  <c r="O68" i="3" s="1"/>
  <c r="N64" i="3"/>
  <c r="O64" i="3" s="1"/>
  <c r="N62" i="3"/>
  <c r="O62" i="3" s="1"/>
  <c r="N54" i="3"/>
  <c r="O54" i="3" s="1"/>
  <c r="N44" i="3"/>
  <c r="O44" i="3" s="1"/>
  <c r="N38" i="3"/>
  <c r="O38" i="3" s="1"/>
  <c r="N32" i="3"/>
  <c r="O32" i="3" s="1"/>
  <c r="N28" i="3"/>
  <c r="O28" i="3" s="1"/>
  <c r="N18" i="3"/>
  <c r="O18" i="3" s="1"/>
  <c r="N178" i="3"/>
  <c r="O178" i="3" s="1"/>
  <c r="N172" i="3"/>
  <c r="O172" i="3" s="1"/>
  <c r="N168" i="3"/>
  <c r="O168" i="3" s="1"/>
  <c r="N160" i="3"/>
  <c r="O160" i="3" s="1"/>
  <c r="N152" i="3"/>
  <c r="O152" i="3" s="1"/>
  <c r="N142" i="3"/>
  <c r="O142" i="3" s="1"/>
  <c r="N140" i="3"/>
  <c r="O140" i="3" s="1"/>
  <c r="N136" i="3"/>
  <c r="O136" i="3" s="1"/>
  <c r="N128" i="3"/>
  <c r="O128" i="3" s="1"/>
  <c r="N126" i="3"/>
  <c r="O126" i="3" s="1"/>
  <c r="N120" i="3"/>
  <c r="O120" i="3" s="1"/>
  <c r="N116" i="3"/>
  <c r="O116" i="3" s="1"/>
  <c r="N112" i="3"/>
  <c r="O112" i="3" s="1"/>
  <c r="N108" i="3"/>
  <c r="O108" i="3" s="1"/>
  <c r="N104" i="3"/>
  <c r="O104" i="3" s="1"/>
  <c r="N98" i="3"/>
  <c r="O98" i="3" s="1"/>
  <c r="N92" i="3"/>
  <c r="O92" i="3" s="1"/>
  <c r="N82" i="3"/>
  <c r="O82" i="3" s="1"/>
  <c r="N78" i="3"/>
  <c r="O78" i="3" s="1"/>
  <c r="N70" i="3"/>
  <c r="O70" i="3" s="1"/>
  <c r="N66" i="3"/>
  <c r="O66" i="3" s="1"/>
  <c r="N56" i="3"/>
  <c r="O56" i="3" s="1"/>
  <c r="N40" i="3"/>
  <c r="O40" i="3" s="1"/>
  <c r="N34" i="3"/>
  <c r="O34" i="3" s="1"/>
  <c r="N30" i="3"/>
  <c r="O30" i="3" s="1"/>
  <c r="N26" i="3"/>
  <c r="O26" i="3" s="1"/>
  <c r="N16" i="3"/>
  <c r="O16" i="3" s="1"/>
  <c r="N14" i="3"/>
  <c r="O14" i="3" s="1"/>
  <c r="N8" i="3"/>
  <c r="O8" i="3" s="1"/>
  <c r="N5" i="3"/>
  <c r="O5" i="3" s="1"/>
  <c r="N3" i="3"/>
  <c r="O3" i="3" s="1"/>
  <c r="N204" i="3"/>
  <c r="O204" i="3" s="1"/>
  <c r="N198" i="3"/>
  <c r="O198" i="3" s="1"/>
  <c r="N194" i="3"/>
  <c r="O194" i="3" s="1"/>
  <c r="N186" i="3"/>
  <c r="O186" i="3" s="1"/>
  <c r="N182" i="3"/>
  <c r="O182" i="3" s="1"/>
  <c r="N170" i="3"/>
  <c r="O170" i="3" s="1"/>
  <c r="N164" i="3"/>
  <c r="O164" i="3" s="1"/>
  <c r="N162" i="3"/>
  <c r="O162" i="3" s="1"/>
  <c r="N156" i="3"/>
  <c r="O156" i="3" s="1"/>
  <c r="N154" i="3"/>
  <c r="O154" i="3" s="1"/>
  <c r="N148" i="3"/>
  <c r="O148" i="3" s="1"/>
  <c r="N146" i="3"/>
  <c r="O146" i="3" s="1"/>
  <c r="N144" i="3"/>
  <c r="O144" i="3" s="1"/>
  <c r="N138" i="3"/>
  <c r="O138" i="3" s="1"/>
  <c r="N134" i="3"/>
  <c r="O134" i="3" s="1"/>
  <c r="N132" i="3"/>
  <c r="O132" i="3" s="1"/>
  <c r="N130" i="3"/>
  <c r="O130" i="3" s="1"/>
  <c r="N124" i="3"/>
  <c r="O124" i="3" s="1"/>
  <c r="N122" i="3"/>
  <c r="O122" i="3" s="1"/>
  <c r="N110" i="3"/>
  <c r="O110" i="3" s="1"/>
  <c r="N106" i="3"/>
  <c r="O106" i="3" s="1"/>
  <c r="N100" i="3"/>
  <c r="O100" i="3" s="1"/>
  <c r="N96" i="3"/>
  <c r="O96" i="3" s="1"/>
  <c r="N94" i="3"/>
  <c r="O94" i="3" s="1"/>
  <c r="N90" i="3"/>
  <c r="O90" i="3" s="1"/>
  <c r="N88" i="3"/>
  <c r="O88" i="3" s="1"/>
  <c r="N84" i="3"/>
  <c r="O84" i="3" s="1"/>
  <c r="N80" i="3"/>
  <c r="O80" i="3" s="1"/>
  <c r="N76" i="3"/>
  <c r="O76" i="3" s="1"/>
  <c r="N60" i="3"/>
  <c r="O60" i="3" s="1"/>
  <c r="N58" i="3"/>
  <c r="O58" i="3" s="1"/>
  <c r="N52" i="3"/>
  <c r="O52" i="3" s="1"/>
  <c r="N50" i="3"/>
  <c r="O50" i="3" s="1"/>
  <c r="N48" i="3"/>
  <c r="O48" i="3" s="1"/>
  <c r="N46" i="3"/>
  <c r="O46" i="3" s="1"/>
  <c r="N42" i="3"/>
  <c r="O42" i="3" s="1"/>
  <c r="N36" i="3"/>
  <c r="O36" i="3" s="1"/>
  <c r="N24" i="3"/>
  <c r="O24" i="3" s="1"/>
  <c r="N22" i="3"/>
  <c r="O22" i="3" s="1"/>
  <c r="N20" i="3"/>
  <c r="O20" i="3" s="1"/>
  <c r="N12" i="3"/>
  <c r="O12" i="3" s="1"/>
  <c r="N10" i="3"/>
  <c r="O10" i="3" s="1"/>
  <c r="N6" i="3"/>
  <c r="O6" i="3" s="1"/>
  <c r="N4" i="3"/>
  <c r="O4" i="3" s="1"/>
  <c r="N2" i="3"/>
  <c r="O2" i="3" s="1"/>
  <c r="N155" i="3"/>
  <c r="O155" i="3" s="1"/>
  <c r="N131" i="3"/>
  <c r="O131" i="3" s="1"/>
  <c r="N115" i="3"/>
  <c r="O115" i="3" s="1"/>
  <c r="N107" i="3"/>
  <c r="O107" i="3" s="1"/>
  <c r="N99" i="3"/>
  <c r="O99" i="3" s="1"/>
  <c r="N91" i="3"/>
  <c r="O91" i="3" s="1"/>
  <c r="N67" i="3"/>
  <c r="O67" i="3" s="1"/>
  <c r="N51" i="3"/>
  <c r="O51" i="3" s="1"/>
  <c r="N29" i="3"/>
  <c r="O29" i="3" s="1"/>
  <c r="N17" i="3"/>
  <c r="O17" i="3" s="1"/>
  <c r="N7" i="3"/>
  <c r="O7" i="3" s="1"/>
  <c r="N205" i="3"/>
  <c r="O205" i="3" s="1"/>
  <c r="N181" i="3"/>
  <c r="O181" i="3" s="1"/>
  <c r="N173" i="3"/>
  <c r="O173" i="3" s="1"/>
  <c r="N157" i="3"/>
  <c r="O157" i="3" s="1"/>
  <c r="N149" i="3"/>
  <c r="O149" i="3" s="1"/>
  <c r="N133" i="3"/>
  <c r="O133" i="3" s="1"/>
  <c r="N109" i="3"/>
  <c r="O109" i="3" s="1"/>
  <c r="N101" i="3"/>
  <c r="O101" i="3" s="1"/>
  <c r="N85" i="3"/>
  <c r="O85" i="3" s="1"/>
  <c r="N25" i="3"/>
  <c r="O25" i="3" s="1"/>
  <c r="N177" i="3"/>
  <c r="O177" i="3" s="1"/>
  <c r="N153" i="3"/>
  <c r="O153" i="3" s="1"/>
  <c r="N137" i="3"/>
  <c r="O137" i="3" s="1"/>
  <c r="N113" i="3"/>
  <c r="O113" i="3" s="1"/>
  <c r="N89" i="3"/>
  <c r="O89" i="3" s="1"/>
  <c r="N65" i="3"/>
  <c r="O65" i="3" s="1"/>
  <c r="N203" i="3"/>
  <c r="O203" i="3" s="1"/>
  <c r="N195" i="3"/>
  <c r="O195" i="3" s="1"/>
  <c r="N187" i="3"/>
  <c r="O187" i="3" s="1"/>
  <c r="N179" i="3"/>
  <c r="O179" i="3" s="1"/>
  <c r="N171" i="3"/>
  <c r="O171" i="3" s="1"/>
  <c r="N163" i="3"/>
  <c r="O163" i="3" s="1"/>
  <c r="N147" i="3"/>
  <c r="O147" i="3" s="1"/>
  <c r="N139" i="3"/>
  <c r="O139" i="3" s="1"/>
  <c r="N123" i="3"/>
  <c r="O123" i="3" s="1"/>
  <c r="N83" i="3"/>
  <c r="O83" i="3" s="1"/>
  <c r="N75" i="3"/>
  <c r="O75" i="3" s="1"/>
  <c r="N59" i="3"/>
  <c r="O59" i="3" s="1"/>
  <c r="N41" i="3"/>
  <c r="O41" i="3" s="1"/>
  <c r="N19" i="3"/>
  <c r="O19" i="3" s="1"/>
  <c r="N141" i="3"/>
  <c r="O141" i="3" s="1"/>
  <c r="N125" i="3"/>
  <c r="O125" i="3" s="1"/>
  <c r="N93" i="3"/>
  <c r="O93" i="3" s="1"/>
  <c r="N77" i="3"/>
  <c r="O77" i="3" s="1"/>
  <c r="N69" i="3"/>
  <c r="O69" i="3" s="1"/>
  <c r="N53" i="3"/>
  <c r="O53" i="3" s="1"/>
  <c r="N37" i="3"/>
  <c r="O37" i="3" s="1"/>
  <c r="N185" i="3"/>
  <c r="O185" i="3" s="1"/>
  <c r="N129" i="3"/>
  <c r="O129" i="3" s="1"/>
  <c r="N15" i="3"/>
  <c r="O15" i="3" s="1"/>
  <c r="N43" i="3"/>
  <c r="O43" i="3" s="1"/>
  <c r="N31" i="3"/>
  <c r="O31" i="3" s="1"/>
  <c r="N197" i="3"/>
  <c r="O197" i="3" s="1"/>
  <c r="N189" i="3"/>
  <c r="O189" i="3" s="1"/>
  <c r="N165" i="3"/>
  <c r="O165" i="3" s="1"/>
  <c r="N117" i="3"/>
  <c r="O117" i="3" s="1"/>
  <c r="N61" i="3"/>
  <c r="O61" i="3" s="1"/>
  <c r="N23" i="3"/>
  <c r="O23" i="3" s="1"/>
  <c r="N47" i="3"/>
  <c r="O47" i="3" s="1"/>
  <c r="N13" i="3"/>
  <c r="O13" i="3" s="1"/>
  <c r="N193" i="3"/>
  <c r="O193" i="3" s="1"/>
  <c r="N97" i="3"/>
  <c r="O97" i="3" s="1"/>
  <c r="N73" i="3"/>
  <c r="O73" i="3" s="1"/>
  <c r="N49" i="3"/>
  <c r="O49" i="3" s="1"/>
  <c r="N27" i="3"/>
  <c r="O27" i="3" s="1"/>
  <c r="N45" i="3"/>
  <c r="O45" i="3" s="1"/>
  <c r="N33" i="3"/>
  <c r="O33" i="3" s="1"/>
  <c r="N21" i="3"/>
  <c r="O21" i="3" s="1"/>
  <c r="N9" i="3"/>
  <c r="O9" i="3" s="1"/>
  <c r="N207" i="3"/>
  <c r="O207" i="3" s="1"/>
  <c r="N199" i="3"/>
  <c r="O199" i="3" s="1"/>
  <c r="N191" i="3"/>
  <c r="O191" i="3" s="1"/>
  <c r="N183" i="3"/>
  <c r="O183" i="3" s="1"/>
  <c r="N175" i="3"/>
  <c r="O175" i="3" s="1"/>
  <c r="N167" i="3"/>
  <c r="O167" i="3" s="1"/>
  <c r="N159" i="3"/>
  <c r="O159" i="3" s="1"/>
  <c r="N151" i="3"/>
  <c r="O151" i="3" s="1"/>
  <c r="N143" i="3"/>
  <c r="O143" i="3" s="1"/>
  <c r="N135" i="3"/>
  <c r="O135" i="3" s="1"/>
  <c r="N127" i="3"/>
  <c r="O127" i="3" s="1"/>
  <c r="N119" i="3"/>
  <c r="O119" i="3" s="1"/>
  <c r="N111" i="3"/>
  <c r="O111" i="3" s="1"/>
  <c r="N103" i="3"/>
  <c r="O103" i="3" s="1"/>
  <c r="N95" i="3"/>
  <c r="O95" i="3" s="1"/>
  <c r="N87" i="3"/>
  <c r="O87" i="3" s="1"/>
  <c r="N79" i="3"/>
  <c r="O79" i="3" s="1"/>
  <c r="N71" i="3"/>
  <c r="O71" i="3" s="1"/>
  <c r="N63" i="3"/>
  <c r="O63" i="3" s="1"/>
  <c r="N55" i="3"/>
  <c r="O55" i="3" s="1"/>
  <c r="N35" i="3"/>
  <c r="O35" i="3" s="1"/>
  <c r="N11" i="3"/>
  <c r="O11" i="3" s="1"/>
  <c r="N201" i="3"/>
  <c r="O201" i="3" s="1"/>
  <c r="N169" i="3"/>
  <c r="O169" i="3" s="1"/>
  <c r="N161" i="3"/>
  <c r="O161" i="3" s="1"/>
  <c r="N145" i="3"/>
  <c r="O145" i="3" s="1"/>
  <c r="N121" i="3"/>
  <c r="O121" i="3" s="1"/>
  <c r="N105" i="3"/>
  <c r="O105" i="3" s="1"/>
  <c r="N81" i="3"/>
  <c r="O81" i="3" s="1"/>
  <c r="N57" i="3"/>
  <c r="O57" i="3" s="1"/>
  <c r="N39" i="3"/>
  <c r="O39" i="3" s="1"/>
  <c r="A6" i="1" l="1"/>
  <c r="A7" i="1" l="1"/>
  <c r="A8" i="1" l="1"/>
  <c r="A9" i="1" s="1"/>
  <c r="A10" i="1" s="1"/>
  <c r="A11" i="1" l="1"/>
  <c r="A12" i="1" s="1"/>
  <c r="A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tc={47324DD1-25E0-4D05-84F1-86A302221926}</author>
  </authors>
  <commentList>
    <comment ref="B1" authorId="0" shapeId="0" xr:uid="{47324DD1-25E0-4D05-84F1-86A302221926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Planned by product family. Using one sku to input impact to budget</t>
      </text>
    </comment>
  </commentList>
</comments>
</file>

<file path=xl/sharedStrings.xml><?xml version="1.0" encoding="utf-8"?>
<sst xmlns="http://schemas.openxmlformats.org/spreadsheetml/2006/main" count="3545" uniqueCount="384">
  <si>
    <t>HW Promo spend (in thousand USD)</t>
  </si>
  <si>
    <t>#</t>
  </si>
  <si>
    <t>Channel</t>
  </si>
  <si>
    <t>Q1-26</t>
  </si>
  <si>
    <t>Q2-26</t>
  </si>
  <si>
    <t>Q3-26</t>
  </si>
  <si>
    <t>Q4-26</t>
  </si>
  <si>
    <t>FY-26</t>
  </si>
  <si>
    <t>Channel Mix</t>
  </si>
  <si>
    <t>Amazon 1P</t>
  </si>
  <si>
    <t>Home Depot</t>
  </si>
  <si>
    <t>Walmart</t>
  </si>
  <si>
    <t>Best Buy</t>
  </si>
  <si>
    <t>Total Retail</t>
  </si>
  <si>
    <t>DTC</t>
  </si>
  <si>
    <t>TikTok Shop</t>
  </si>
  <si>
    <t>Paul</t>
  </si>
  <si>
    <t>EU</t>
  </si>
  <si>
    <t>Mark-Down</t>
  </si>
  <si>
    <t>Total Wyze</t>
  </si>
  <si>
    <t>*FY26 HW promo budget is 9.6% of gross revenue vs. the 4.5% target we set when setting MSRP.</t>
  </si>
  <si>
    <t>Metric</t>
  </si>
  <si>
    <t>Representative SKU</t>
  </si>
  <si>
    <t>Product</t>
  </si>
  <si>
    <t>SKU Count</t>
  </si>
  <si>
    <t>WYZECGS</t>
  </si>
  <si>
    <t>Cam OG</t>
  </si>
  <si>
    <t>WYZEC4WH</t>
  </si>
  <si>
    <t>Cam v4</t>
  </si>
  <si>
    <t>WYZECPAN3</t>
  </si>
  <si>
    <t>Pan v3</t>
  </si>
  <si>
    <t>WYZE-DUO-BL</t>
  </si>
  <si>
    <t>Pan Duo</t>
  </si>
  <si>
    <t>WVDWDV2</t>
  </si>
  <si>
    <t>Doorbell v2</t>
  </si>
  <si>
    <t>WVDB-DUO-BL</t>
  </si>
  <si>
    <t>Doorbell Duo - w/Chime</t>
  </si>
  <si>
    <t>WYZEBVD</t>
  </si>
  <si>
    <t>Battery Doorbell</t>
  </si>
  <si>
    <t>WYZECOP</t>
  </si>
  <si>
    <t>Battery Cam Pro - Singles</t>
  </si>
  <si>
    <t>WVOD3</t>
  </si>
  <si>
    <t>Solar Cam Pan</t>
  </si>
  <si>
    <t>WYZECFL2BL</t>
  </si>
  <si>
    <t>Floodlight v2</t>
  </si>
  <si>
    <t>WYZECFLP</t>
  </si>
  <si>
    <t>Floodlight Pro</t>
  </si>
  <si>
    <t>WYZEC-BC</t>
  </si>
  <si>
    <t>Bulb Cam</t>
  </si>
  <si>
    <t>WYZECPAN4</t>
  </si>
  <si>
    <t>Pan v4</t>
  </si>
  <si>
    <t>WPLCK1</t>
  </si>
  <si>
    <t>Palm Lock</t>
  </si>
  <si>
    <t>Pan Lite</t>
  </si>
  <si>
    <t>bulb cam pro</t>
  </si>
  <si>
    <t>Bulb Cam Pro</t>
  </si>
  <si>
    <t>Battery Cam</t>
  </si>
  <si>
    <t>Battery Floodlight</t>
  </si>
  <si>
    <t>WYZEWCWH</t>
  </si>
  <si>
    <t>Window Cam</t>
  </si>
  <si>
    <t>Promo</t>
  </si>
  <si>
    <t>bulb cam pan</t>
  </si>
  <si>
    <t>Budget SKU</t>
  </si>
  <si>
    <t>Parent Product Name</t>
  </si>
  <si>
    <t>Cam/Non-cam</t>
  </si>
  <si>
    <t>Channel(s)</t>
  </si>
  <si>
    <t>Campaign</t>
  </si>
  <si>
    <t>Start Date</t>
  </si>
  <si>
    <t>End Date</t>
  </si>
  <si>
    <t>Promo Price (budget SKU)</t>
  </si>
  <si>
    <t>MSRP (budget SKU)</t>
  </si>
  <si>
    <t>Promo Discount ($) (budget SKU)</t>
  </si>
  <si>
    <t>Expected Sale Volume (budget SKU)</t>
  </si>
  <si>
    <t>Planned Promo Spend</t>
  </si>
  <si>
    <t>Units/$ spend</t>
  </si>
  <si>
    <t>Adj Promo Budget</t>
  </si>
  <si>
    <t>Adj Units</t>
  </si>
  <si>
    <t>Days</t>
  </si>
  <si>
    <t>Start Month</t>
  </si>
  <si>
    <t>End Month</t>
  </si>
  <si>
    <t>Battery Cam Pro - White</t>
  </si>
  <si>
    <t>Camera</t>
  </si>
  <si>
    <t>Home Depot US Online</t>
  </si>
  <si>
    <t>Spring Sale 26</t>
  </si>
  <si>
    <t>WYZECOPRB_2PK</t>
  </si>
  <si>
    <t xml:space="preserve">Battery cam pro 2 pack </t>
  </si>
  <si>
    <t>Promo budget reduction</t>
  </si>
  <si>
    <t>WVDB-BVD-OFL</t>
  </si>
  <si>
    <t>Battery Video Doorbell</t>
  </si>
  <si>
    <t>Base</t>
  </si>
  <si>
    <t>WYZEC4BK</t>
  </si>
  <si>
    <t>Reduction</t>
  </si>
  <si>
    <t>WYZEC4GY</t>
  </si>
  <si>
    <t>Reduction %</t>
  </si>
  <si>
    <t>WDCDOBL</t>
  </si>
  <si>
    <t>Duo Cam Doorbell No Chime</t>
  </si>
  <si>
    <t>Duo Cam Doorbell With Chime</t>
  </si>
  <si>
    <t>WYZECFLPBL</t>
  </si>
  <si>
    <t>Floodlight Pro - Black</t>
  </si>
  <si>
    <t>Floodlight Pro White</t>
  </si>
  <si>
    <t>WYZECFL2</t>
  </si>
  <si>
    <t xml:space="preserve">Floodlight v2 black </t>
  </si>
  <si>
    <t>WYZECPAN4_WHOFL</t>
  </si>
  <si>
    <t>THD Spring Black Friday 26</t>
  </si>
  <si>
    <t>WYZEC-DUO-WH</t>
  </si>
  <si>
    <t>WYZESCPWH_OFL</t>
  </si>
  <si>
    <t>Solar Pan Cam 1pk</t>
  </si>
  <si>
    <t>WYZESCPWH_OFL_2PK</t>
  </si>
  <si>
    <t>Solar Pan Cam 2pk</t>
  </si>
  <si>
    <t>WYZECGS-RB</t>
  </si>
  <si>
    <t>Wyze Cam OG white</t>
  </si>
  <si>
    <t>Memorial Day 26</t>
  </si>
  <si>
    <t>WYZECGSB</t>
  </si>
  <si>
    <t>Wyze Cam OG Black</t>
  </si>
  <si>
    <t>Father's Day 26</t>
  </si>
  <si>
    <t xml:space="preserve">Wyze Cam v4 Black </t>
  </si>
  <si>
    <t>Wyze Cam v4 Grey</t>
  </si>
  <si>
    <t>Wyze Cam v4 white</t>
  </si>
  <si>
    <t>Prime Day + Lead-up 26</t>
  </si>
  <si>
    <t>THD Make-up Day/ Summer Sale 25</t>
  </si>
  <si>
    <t>Labor Day 26</t>
  </si>
  <si>
    <t>BF/CM 26</t>
  </si>
  <si>
    <t>Holiday Shopping 26</t>
  </si>
  <si>
    <t xml:space="preserve"> Bulb Cam</t>
  </si>
  <si>
    <t>PBDD 26</t>
  </si>
  <si>
    <t>Battery Cam OG</t>
  </si>
  <si>
    <t>Duo Cam Doorbell</t>
  </si>
  <si>
    <t>Duo Cam Pan</t>
  </si>
  <si>
    <t>WYZECPAN4_WH</t>
  </si>
  <si>
    <t>THD Makeup Day 26</t>
  </si>
  <si>
    <t>$50 Battery Cam</t>
  </si>
  <si>
    <t>National Promotions</t>
  </si>
  <si>
    <t>Bundle and DTC Unique Promotions</t>
  </si>
  <si>
    <t>Loyalty Promotions - Wyze Wits</t>
  </si>
  <si>
    <t>Growth Promotions</t>
  </si>
  <si>
    <t>Flash Sales</t>
  </si>
  <si>
    <t>Giveaways</t>
  </si>
  <si>
    <t>Total Promotions</t>
  </si>
  <si>
    <t>Category</t>
  </si>
  <si>
    <t>Nation</t>
  </si>
  <si>
    <t>Entity</t>
  </si>
  <si>
    <t>Wyze SKU</t>
  </si>
  <si>
    <t>Item Description</t>
  </si>
  <si>
    <t>Paul Channel</t>
  </si>
  <si>
    <t>Paul Sub-Channel</t>
  </si>
  <si>
    <t>Paul Prod Group</t>
  </si>
  <si>
    <t>Paul Prod Family</t>
  </si>
  <si>
    <t>Atrribute</t>
  </si>
  <si>
    <t>Finance Prod Group</t>
  </si>
  <si>
    <t>Finance Prod Family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</si>
  <si>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</si>
  <si>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</si>
  <si>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</si>
  <si>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</si>
  <si>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</si>
  <si>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</si>
  <si>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</si>
  <si>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</si>
  <si>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</si>
  <si>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</si>
  <si>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</si>
  <si>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</si>
  <si>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FY26</t>
  </si>
  <si>
    <t>Home</t>
  </si>
  <si>
    <t>Amazon 3P</t>
  </si>
  <si>
    <t>US</t>
  </si>
  <si>
    <t>Wyze US</t>
  </si>
  <si>
    <t>WHSCL1</t>
  </si>
  <si>
    <t>Scale</t>
  </si>
  <si>
    <t>International</t>
  </si>
  <si>
    <t>Lifestyle</t>
  </si>
  <si>
    <t>Scales</t>
  </si>
  <si>
    <t>Legacy</t>
  </si>
  <si>
    <t>Wyze SZ</t>
  </si>
  <si>
    <t>WSCALX</t>
  </si>
  <si>
    <t>Scale X Black</t>
  </si>
  <si>
    <t>Scale X</t>
  </si>
  <si>
    <t>WSCALX-W</t>
  </si>
  <si>
    <t>Scale X White</t>
  </si>
  <si>
    <t>WSCALS</t>
  </si>
  <si>
    <t>Scale S Black</t>
  </si>
  <si>
    <t>Scale S</t>
  </si>
  <si>
    <t>WSCALS-W</t>
  </si>
  <si>
    <t>Scale S White</t>
  </si>
  <si>
    <t>WSCLU_BL</t>
  </si>
  <si>
    <t>Scale Ultra Black</t>
  </si>
  <si>
    <t>Scale Ultra</t>
  </si>
  <si>
    <t>WSCLU_WH</t>
  </si>
  <si>
    <t>Scale Ultra White</t>
  </si>
  <si>
    <t>WSCLXB_BL</t>
  </si>
  <si>
    <t>Scale X Butterfly Black</t>
  </si>
  <si>
    <t>New Release</t>
  </si>
  <si>
    <t>WSCLXB_WH</t>
  </si>
  <si>
    <t>Scale X Butterfly White</t>
  </si>
  <si>
    <t>WSCLUB_BL</t>
  </si>
  <si>
    <t>Scale Ultra BodyScan Black</t>
  </si>
  <si>
    <t>Scale Ultra Bodyscan</t>
  </si>
  <si>
    <t>WSCLUB_WH</t>
  </si>
  <si>
    <t>Scale Ultra BodyScan White</t>
  </si>
  <si>
    <t>WCLVAC</t>
  </si>
  <si>
    <t>Cordless Vacuum</t>
  </si>
  <si>
    <t>Connected Home</t>
  </si>
  <si>
    <t>Other Vacuum</t>
  </si>
  <si>
    <t>Stick Vac</t>
  </si>
  <si>
    <t>WSAPUR</t>
  </si>
  <si>
    <t>Air Purifier with Allergen Filter(Standard)</t>
  </si>
  <si>
    <t>Air Purifiers</t>
  </si>
  <si>
    <t>WSAPURWWFF</t>
  </si>
  <si>
    <t>Air Purifier with Wildfire Filter (Special)</t>
  </si>
  <si>
    <t>WSAPURWVNHF</t>
  </si>
  <si>
    <t>Air Purifier with Formaldehyde Filter (Premium)</t>
  </si>
  <si>
    <t>WSAPUR-HEPAF</t>
  </si>
  <si>
    <t>Air Purifier-Standard Filter</t>
  </si>
  <si>
    <t>Accessories</t>
  </si>
  <si>
    <t>Air Purifier Accessories</t>
  </si>
  <si>
    <t>WSAPUR-WFF</t>
  </si>
  <si>
    <t>Air Purifier-Special Filter</t>
  </si>
  <si>
    <t>WSAPUR-VNHF</t>
  </si>
  <si>
    <t>Air Purifier-Premium Filter</t>
  </si>
  <si>
    <t>Accessory</t>
  </si>
  <si>
    <t>WYZEBF</t>
  </si>
  <si>
    <t>Bird feeder</t>
  </si>
  <si>
    <t>Camera Accessories</t>
  </si>
  <si>
    <t>WYZEBFBN</t>
  </si>
  <si>
    <t>WYZEBF-L</t>
  </si>
  <si>
    <t>Bird feeder Lens</t>
  </si>
  <si>
    <t>WYZEC3CP3</t>
  </si>
  <si>
    <t>Cam V3+Cam Plus 3 months</t>
  </si>
  <si>
    <t>Cameras</t>
  </si>
  <si>
    <t>Cam v3</t>
  </si>
  <si>
    <t>EOL</t>
  </si>
  <si>
    <t>WYZEC3*2</t>
  </si>
  <si>
    <t>Cam V3 2 Pack</t>
  </si>
  <si>
    <t>WYZEC3+WYZEMSD32C10</t>
  </si>
  <si>
    <t>Cam V3+SD</t>
  </si>
  <si>
    <t>WYZEC3+WYZEMSD128C10</t>
  </si>
  <si>
    <t>WYZEC3+WYZEMSD256C10</t>
  </si>
  <si>
    <t>WYZECP2x2</t>
  </si>
  <si>
    <t>Cam Pan v2 2 Pack</t>
  </si>
  <si>
    <t>Cam Pan v2</t>
  </si>
  <si>
    <t>WYZECP2</t>
  </si>
  <si>
    <t>Cam Pan V2</t>
  </si>
  <si>
    <t>WYZECP2+WYZEMSD128C10</t>
  </si>
  <si>
    <t>Cam Pan V2+ 128GB SD Card</t>
  </si>
  <si>
    <t>WVODV2B1</t>
  </si>
  <si>
    <t>Cam Outdoor Starter Bundle v2</t>
  </si>
  <si>
    <t>Outdoor Cam v2</t>
  </si>
  <si>
    <t>WVOD2</t>
  </si>
  <si>
    <t>Cam Outdoor v2</t>
  </si>
  <si>
    <t>WVODV2-2PK</t>
  </si>
  <si>
    <t>Cam Outdoor v2 X 2</t>
  </si>
  <si>
    <t>WVODV2-3PK</t>
  </si>
  <si>
    <t>Cam Outdoor v2 X 3</t>
  </si>
  <si>
    <t>WVODV2B1_WVODV2</t>
  </si>
  <si>
    <t>Cam Outdoor Starter Bundle v2 + Cam Outdoor v2</t>
  </si>
  <si>
    <t>WVODV2B1+WYZEMSD32C10</t>
  </si>
  <si>
    <t>Cam Outdoor Starter Bundle v2 + 32GB SD Card</t>
  </si>
  <si>
    <t>WVODV2B1+WYZEMSD128C10</t>
  </si>
  <si>
    <t>Cam Outdoor Starter Bundle v2 + 128GB SD Card</t>
  </si>
  <si>
    <t>Lights</t>
  </si>
  <si>
    <t>WLPNL</t>
  </si>
  <si>
    <t>Night Light</t>
  </si>
  <si>
    <t>Power &amp; Lighting</t>
  </si>
  <si>
    <t>WLPNL6PK</t>
  </si>
  <si>
    <t>Night Light 6 Pack</t>
  </si>
  <si>
    <t>WLPNL9PK</t>
  </si>
  <si>
    <t>Night Light 9 Pack</t>
  </si>
  <si>
    <t>WLPA19V2-2PK</t>
  </si>
  <si>
    <t>Bulb White v2 (2-pack)</t>
  </si>
  <si>
    <t>Bulbs</t>
  </si>
  <si>
    <t>WLPA19V2-4PK</t>
  </si>
  <si>
    <t>Bulb White v2 (4-pack)</t>
  </si>
  <si>
    <t>WLPA19CV2-2PK</t>
  </si>
  <si>
    <t>Wyze Bulb Color A19 -2PK</t>
  </si>
  <si>
    <t>WLPA19CV2-4PK</t>
  </si>
  <si>
    <t>Wyze Bulb Color A19 -4PK</t>
  </si>
  <si>
    <t>WLPBR30C</t>
  </si>
  <si>
    <t>Bulb Color - BR30 (1-Pack)</t>
  </si>
  <si>
    <t>WLPBR30C-2</t>
  </si>
  <si>
    <t>Bulb Color - BR30 (2-Pack)</t>
  </si>
  <si>
    <t>WLCKB1</t>
  </si>
  <si>
    <t>Wyze Lock Bolt</t>
  </si>
  <si>
    <t>Door Locks</t>
  </si>
  <si>
    <t>Lock Bolt v1</t>
  </si>
  <si>
    <t>WLCKB1-S</t>
  </si>
  <si>
    <t>Wyze Lock Bolt satin Nickel</t>
  </si>
  <si>
    <t>WNCH1</t>
  </si>
  <si>
    <t>Wyze Headphones (Black)</t>
  </si>
  <si>
    <t>Audio</t>
  </si>
  <si>
    <t>WNCH1-CS1B</t>
  </si>
  <si>
    <t>Wyze Headphones + Travel Case Bundle (Black)</t>
  </si>
  <si>
    <t>WNCH1-W</t>
  </si>
  <si>
    <t>Wyze Headphones (White)</t>
  </si>
  <si>
    <t>WNCH1-W-CS1B</t>
  </si>
  <si>
    <t>Wyze Headphones + Travel Case Bundle (White)</t>
  </si>
  <si>
    <t>WLPP1</t>
  </si>
  <si>
    <t>Wyze Plug v1 (2-pack) CFH</t>
  </si>
  <si>
    <t>Smart Plugs</t>
  </si>
  <si>
    <t>WYZEC4WH-WYZECUSBAEC</t>
  </si>
  <si>
    <t>WYZE Cam v4 White + USB Extension Cable 20 ft</t>
  </si>
  <si>
    <t>WYZEC4GY-WYZECUSBAEC</t>
  </si>
  <si>
    <t>WYZE Cam v4 Grey + USB Extension Cable 20 ft</t>
  </si>
  <si>
    <t>WYZEC4BK-WYZECUSBAEC</t>
  </si>
  <si>
    <t>WYZE Cam v4 Black + USB Extension Cable 20 ft</t>
  </si>
  <si>
    <t>WVDWDV2WK</t>
  </si>
  <si>
    <t>Wyze Video Doorbell V2 (Wired) Wedge Kit</t>
  </si>
  <si>
    <t>WVDWDV2-WVDWDV2WK</t>
  </si>
  <si>
    <t>WVDWDV2+WVDWDV2WK</t>
  </si>
  <si>
    <t>Security</t>
  </si>
  <si>
    <t>Amazon 1P - International</t>
  </si>
  <si>
    <t>Canada</t>
  </si>
  <si>
    <t>WYZEC3</t>
  </si>
  <si>
    <t>Cam V3</t>
  </si>
  <si>
    <t>WYZEC3X2</t>
  </si>
  <si>
    <t>Cam V3X2</t>
  </si>
  <si>
    <t>Cam V4 White</t>
  </si>
  <si>
    <t>Cam V4 Grey</t>
  </si>
  <si>
    <t>Cam V4 Black</t>
  </si>
  <si>
    <t>Battery Cam Pro White</t>
  </si>
  <si>
    <t>Battery Cam Pro</t>
  </si>
  <si>
    <t>WYZECOPB</t>
  </si>
  <si>
    <t>Battery Cam Pro Black</t>
  </si>
  <si>
    <t>WYZEC-BC-AB</t>
  </si>
  <si>
    <t>Accessory Bulb (for Bulb Cam)</t>
  </si>
  <si>
    <t>Cam Pan v4 White</t>
  </si>
  <si>
    <t>Cam Pan v4</t>
  </si>
  <si>
    <t>Duo Cam Pan White</t>
  </si>
  <si>
    <t>Cam Pan Duo</t>
  </si>
  <si>
    <t>WYZESCALX</t>
  </si>
  <si>
    <t>WYZESCALX-W</t>
  </si>
  <si>
    <t>Lock Bolt</t>
  </si>
  <si>
    <t>Deadbolt</t>
  </si>
  <si>
    <t>Lock Bolt silver</t>
  </si>
  <si>
    <t>WLCKB2</t>
  </si>
  <si>
    <t>Lock Bolt v2</t>
  </si>
  <si>
    <t>WE1BLK</t>
  </si>
  <si>
    <t>Earbuds Basic</t>
  </si>
  <si>
    <t>Mexico</t>
  </si>
  <si>
    <t>Video Doorbell Duo Black</t>
  </si>
  <si>
    <t>Duo Doorbell</t>
  </si>
  <si>
    <t>WVDB-DUO-SV</t>
  </si>
  <si>
    <t>Video Doorbell Duo Silver</t>
  </si>
  <si>
    <t>Lock</t>
  </si>
  <si>
    <t>WL_SCLUB</t>
  </si>
  <si>
    <t>WL_SCLUW</t>
  </si>
  <si>
    <t>Pet&amp;Baby Cam</t>
  </si>
  <si>
    <t>Singapore</t>
  </si>
  <si>
    <t>WYZEC3-UK</t>
  </si>
  <si>
    <t>WYZEC3BK</t>
  </si>
  <si>
    <t>Cam V3 Black</t>
  </si>
  <si>
    <t>PANV2</t>
  </si>
  <si>
    <t>WSP2W</t>
  </si>
  <si>
    <t>Solar Panel</t>
  </si>
  <si>
    <t>WYZECL</t>
  </si>
  <si>
    <t>Spotlight</t>
  </si>
  <si>
    <t>WYZEMSD32C10</t>
  </si>
  <si>
    <t>SD Card 32GB</t>
  </si>
  <si>
    <t>WYZEMSD128C10</t>
  </si>
  <si>
    <t>SD Card 128GB</t>
  </si>
  <si>
    <t>Mercado</t>
  </si>
  <si>
    <t>Cam Pan v3</t>
  </si>
  <si>
    <t>WYZECPAN3_BK</t>
  </si>
  <si>
    <t>Pan v3 - Black</t>
  </si>
  <si>
    <t>Cam OG Standard</t>
  </si>
  <si>
    <t>Wyze Battery Cam Pro</t>
  </si>
  <si>
    <t>Video Doorbell v2</t>
  </si>
  <si>
    <t>Cam v4 Gray</t>
  </si>
  <si>
    <t>Cam v4 Black</t>
  </si>
  <si>
    <t>V3 + 32G SD Card</t>
  </si>
  <si>
    <t>Lock Bolt Satin Nickel</t>
  </si>
  <si>
    <t>Wyze Scale X Black</t>
  </si>
  <si>
    <t>Wyze Scale X White</t>
  </si>
  <si>
    <t>Wyze Scale S White</t>
  </si>
  <si>
    <t>Wyze Scale S Black</t>
  </si>
  <si>
    <t>Wyze Night Light 3pk</t>
  </si>
  <si>
    <t>Wyze Night Light 6pk</t>
  </si>
  <si>
    <t>Wyze Bulb White v2 (4-pack)</t>
  </si>
  <si>
    <t>Wyze Bulb Color - A19 v2</t>
  </si>
  <si>
    <t>Wyze Bulb Color - A19 v2 4pack</t>
  </si>
  <si>
    <t>Wyze Cam V3 2PK</t>
  </si>
  <si>
    <t>Wyze bulb cam</t>
  </si>
  <si>
    <t>Wyze pan v4</t>
  </si>
  <si>
    <t xml:space="preserve">Wyze Duo Cam Pan White </t>
  </si>
  <si>
    <t>Wyze duo doorbell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</si>
</sst>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[$-409]mmm\-yy"/>
    <numFmt numFmtId="165" formatCode="&quot;$&quot;#,##0,_);[Red]\(&quot;$&quot;#,##0,\);\-"/>
    <numFmt numFmtId="166" formatCode="_(* #,##0_);_(* \(#,##0\);_(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3" borderId="0" xfId="2" applyNumberFormat="1" applyFont="1" applyFill="1" applyAlignment="1">
      <alignment horizontal="center"/>
    </xf>
    <xf numFmtId="0" fontId="7" fillId="0" borderId="0" xfId="0" applyFont="1" applyAlignment="1">
      <alignment horizontal="left" indent="2"/>
    </xf>
    <xf numFmtId="165" fontId="7" fillId="0" borderId="0" xfId="0" applyNumberFormat="1" applyFont="1"/>
    <xf numFmtId="9" fontId="7" fillId="0" borderId="0" xfId="0" applyNumberFormat="1" applyFont="1"/>
    <xf numFmtId="0" fontId="7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8" fillId="0" borderId="2" xfId="0" applyFont="1" applyBorder="1"/>
    <xf numFmtId="165" fontId="8" fillId="0" borderId="3" xfId="0" applyNumberFormat="1" applyFont="1" applyBorder="1"/>
    <xf numFmtId="9" fontId="8" fillId="0" borderId="3" xfId="0" applyNumberFormat="1" applyFont="1" applyBorder="1"/>
    <xf numFmtId="0" fontId="9" fillId="0" borderId="0" xfId="0" applyFont="1"/>
    <xf numFmtId="0" fontId="3" fillId="2" borderId="0" xfId="0" applyFont="1" applyFill="1"/>
    <xf numFmtId="166" fontId="0" fillId="0" borderId="0" xfId="1" applyNumberFormat="1" applyFont="1"/>
    <xf numFmtId="166" fontId="0" fillId="0" borderId="0" xfId="0" applyNumberFormat="1"/>
    <xf numFmtId="6" fontId="0" fillId="0" borderId="0" xfId="0" applyNumberFormat="1"/>
    <xf numFmtId="6" fontId="0" fillId="0" borderId="0" xfId="1" applyNumberFormat="1" applyFont="1"/>
    <xf numFmtId="0" fontId="2" fillId="0" borderId="0" xfId="0" applyFont="1"/>
    <xf numFmtId="0" fontId="0" fillId="4" borderId="0" xfId="0" applyFill="1"/>
    <xf numFmtId="0" fontId="2" fillId="4" borderId="0" xfId="0" applyFont="1" applyFill="1"/>
    <xf numFmtId="14" fontId="0" fillId="0" borderId="0" xfId="0" applyNumberFormat="1"/>
    <xf numFmtId="8" fontId="0" fillId="0" borderId="0" xfId="0" applyNumberFormat="1"/>
    <xf numFmtId="4" fontId="0" fillId="0" borderId="0" xfId="0" applyNumberFormat="1"/>
    <xf numFmtId="3" fontId="0" fillId="0" borderId="0" xfId="0" applyNumberFormat="1"/>
    <xf numFmtId="0" fontId="10" fillId="0" borderId="0" xfId="0" applyFont="1"/>
    <xf numFmtId="9" fontId="0" fillId="0" borderId="0" xfId="0" applyNumberFormat="1"/>
    <xf numFmtId="0" fontId="8" fillId="0" borderId="2" xfId="0" applyFont="1" applyBorder="1" applyAlignment="1">
      <alignment horizontal="left" indent="1"/>
    </xf>
    <xf numFmtId="164" fontId="11" fillId="3" borderId="0" xfId="2" applyNumberFormat="1" applyFont="1" applyFill="1" applyAlignment="1">
      <alignment horizontal="center"/>
    </xf>
    <xf numFmtId="0" fontId="2" fillId="0" borderId="3" xfId="0" applyFont="1" applyBorder="1"/>
    <xf numFmtId="6" fontId="2" fillId="0" borderId="3" xfId="0" applyNumberFormat="1" applyFont="1" applyBorder="1"/>
    <xf numFmtId="164" fontId="12" fillId="5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Normal 2 2" xfId="2" xr:uid="{13CFCBBF-1CA0-45AE-84F6-2E58C00406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 Rabinowitch" id="{5E9D4D26-401D-4A02-90B1-E07895BBEE9F}" userId="S::rrabinowitch@wyze.com::877887dd-9e88-4ccc-a09d-16290d9141a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04T06:10:11.02" personId="{5E9D4D26-401D-4A02-90B1-E07895BBEE9F}" id="{47324DD1-25E0-4D05-84F1-86A302221926}">
    <text>Planned by product family. Using one sku to input impact to budget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9D4D-77CF-4B50-B0AA-0AEBF2165F5E}">
  <dimension ref="A1:T14"/>
  <sheetViews>
    <sheetView tabSelected="1" workbookViewId="0">
      <selection activeCell="I12" sqref="I12"/>
    </sheetView>
  </sheetViews>
  <sheetFormatPr defaultRowHeight="14.25"/>
  <cols>
    <col min="1" max="1" width="2.7109375" bestFit="1" customWidth="1"/>
    <col min="2" max="2" width="17.7109375" customWidth="1"/>
    <col min="20" max="20" width="10.7109375" bestFit="1" customWidth="1"/>
  </cols>
  <sheetData>
    <row r="1" spans="1:20" ht="21">
      <c r="B1" s="1" t="s">
        <v>0</v>
      </c>
    </row>
    <row r="2" spans="1:20">
      <c r="A2" s="2" t="s">
        <v>1</v>
      </c>
      <c r="B2" s="3" t="s">
        <v>2</v>
      </c>
      <c r="C2" s="4">
        <v>46023</v>
      </c>
      <c r="D2" s="4">
        <v>46054</v>
      </c>
      <c r="E2" s="4">
        <v>46082</v>
      </c>
      <c r="F2" s="4">
        <v>46113</v>
      </c>
      <c r="G2" s="4">
        <v>46143</v>
      </c>
      <c r="H2" s="4">
        <v>46174</v>
      </c>
      <c r="I2" s="4">
        <v>46204</v>
      </c>
      <c r="J2" s="4">
        <v>46235</v>
      </c>
      <c r="K2" s="4">
        <v>46266</v>
      </c>
      <c r="L2" s="4">
        <v>46296</v>
      </c>
      <c r="M2" s="4">
        <v>46327</v>
      </c>
      <c r="N2" s="4">
        <v>46357</v>
      </c>
      <c r="O2" s="4" t="s">
        <v>3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</row>
    <row r="3" spans="1:20">
      <c r="A3" s="3">
        <f xml:space="preserve"> IF(ISBLANK(B3), "", _xlfn.AGGREGATE(4, 7, $A$2:A2) + 1)</f>
        <v>1</v>
      </c>
      <c r="B3" s="5" t="s">
        <v>9</v>
      </c>
      <c r="C3" s="6">
        <v>0</v>
      </c>
      <c r="D3" s="6">
        <v>0</v>
      </c>
      <c r="E3" s="6">
        <v>301141</v>
      </c>
      <c r="F3" s="6">
        <v>266459</v>
      </c>
      <c r="G3" s="6">
        <v>130269</v>
      </c>
      <c r="H3" s="6">
        <v>373997</v>
      </c>
      <c r="I3" s="6">
        <v>1931059</v>
      </c>
      <c r="J3" s="6">
        <v>45196</v>
      </c>
      <c r="K3" s="6">
        <v>105737</v>
      </c>
      <c r="L3" s="6">
        <v>609049</v>
      </c>
      <c r="M3" s="6">
        <v>2587696</v>
      </c>
      <c r="N3" s="6">
        <v>2051057</v>
      </c>
      <c r="O3" s="6">
        <v>301141</v>
      </c>
      <c r="P3" s="6">
        <v>770725</v>
      </c>
      <c r="Q3" s="6">
        <v>2081992</v>
      </c>
      <c r="R3" s="6">
        <v>5247802</v>
      </c>
      <c r="S3" s="6">
        <v>8401660</v>
      </c>
      <c r="T3" s="7">
        <f xml:space="preserve"> S3 / S$13</f>
        <v>0.45546527531990644</v>
      </c>
    </row>
    <row r="4" spans="1:20">
      <c r="A4" s="3">
        <f xml:space="preserve"> IF(ISBLANK(B4), "", _xlfn.AGGREGATE(4, 7, $A$2:A3) + 1)</f>
        <v>2</v>
      </c>
      <c r="B4" s="5" t="s">
        <v>10</v>
      </c>
      <c r="C4" s="6">
        <v>0</v>
      </c>
      <c r="D4" s="6">
        <v>0</v>
      </c>
      <c r="E4" s="6">
        <v>94679.948233481191</v>
      </c>
      <c r="F4" s="6">
        <v>132405.06575549842</v>
      </c>
      <c r="G4" s="6">
        <v>72673.629678971134</v>
      </c>
      <c r="H4" s="6">
        <v>84217.882795136858</v>
      </c>
      <c r="I4" s="6">
        <v>80781.317344956013</v>
      </c>
      <c r="J4" s="6">
        <v>67808.17786925807</v>
      </c>
      <c r="K4" s="6">
        <v>89958.080030603742</v>
      </c>
      <c r="L4" s="6">
        <v>0</v>
      </c>
      <c r="M4" s="6">
        <v>332990.70887195645</v>
      </c>
      <c r="N4" s="6">
        <v>500771.10380746808</v>
      </c>
      <c r="O4" s="6">
        <v>94679.948233481191</v>
      </c>
      <c r="P4" s="6">
        <v>289296.57822960638</v>
      </c>
      <c r="Q4" s="6">
        <v>238547.57524481782</v>
      </c>
      <c r="R4" s="6">
        <v>833761.81267942453</v>
      </c>
      <c r="S4" s="6">
        <v>1456285.9143873299</v>
      </c>
      <c r="T4" s="7">
        <f xml:space="preserve"> S4 / S$13</f>
        <v>7.8947215781277377E-2</v>
      </c>
    </row>
    <row r="5" spans="1:20">
      <c r="A5" s="3">
        <f xml:space="preserve"> IF(ISBLANK(B5), "", _xlfn.AGGREGATE(4, 7, $A$2:A4) + 1)</f>
        <v>3</v>
      </c>
      <c r="B5" s="5" t="s">
        <v>11</v>
      </c>
      <c r="C5" s="6">
        <v>0</v>
      </c>
      <c r="D5" s="6">
        <v>0</v>
      </c>
      <c r="E5" s="6">
        <v>51800</v>
      </c>
      <c r="F5" s="6">
        <v>74800</v>
      </c>
      <c r="G5" s="6">
        <v>73700</v>
      </c>
      <c r="H5" s="6">
        <v>84240</v>
      </c>
      <c r="I5" s="6">
        <v>110160</v>
      </c>
      <c r="J5" s="6">
        <v>10314.285714285714</v>
      </c>
      <c r="K5" s="6">
        <v>61885.714285714283</v>
      </c>
      <c r="L5" s="6">
        <v>107200</v>
      </c>
      <c r="M5" s="6">
        <v>518320</v>
      </c>
      <c r="N5" s="6">
        <v>129580</v>
      </c>
      <c r="O5" s="6">
        <v>51800</v>
      </c>
      <c r="P5" s="6">
        <v>232740</v>
      </c>
      <c r="Q5" s="6">
        <v>182360</v>
      </c>
      <c r="R5" s="6">
        <v>755100</v>
      </c>
      <c r="S5" s="6">
        <v>1222000</v>
      </c>
      <c r="T5" s="7">
        <f xml:space="preserve"> S5 / S$13</f>
        <v>6.6246261624598665E-2</v>
      </c>
    </row>
    <row r="6" spans="1:20">
      <c r="A6" s="3">
        <f xml:space="preserve"> IF(ISBLANK(B6), "", _xlfn.AGGREGATE(4, 7, $A$2:A5) + 1)</f>
        <v>4</v>
      </c>
      <c r="B6" s="5" t="s">
        <v>12</v>
      </c>
      <c r="C6" s="6">
        <v>0</v>
      </c>
      <c r="D6" s="6">
        <v>0</v>
      </c>
      <c r="E6" s="6">
        <v>5535</v>
      </c>
      <c r="F6" s="6">
        <v>6835</v>
      </c>
      <c r="G6" s="6">
        <v>3705</v>
      </c>
      <c r="H6" s="6">
        <v>6835</v>
      </c>
      <c r="I6" s="6">
        <v>7964.2857142857147</v>
      </c>
      <c r="J6" s="6">
        <v>778.57142857142856</v>
      </c>
      <c r="K6" s="6">
        <v>3707.1428571428569</v>
      </c>
      <c r="L6" s="6">
        <v>7885</v>
      </c>
      <c r="M6" s="6">
        <v>14848</v>
      </c>
      <c r="N6" s="6">
        <v>22272</v>
      </c>
      <c r="O6" s="6">
        <v>5535</v>
      </c>
      <c r="P6" s="6">
        <v>17375</v>
      </c>
      <c r="Q6" s="6">
        <v>12450</v>
      </c>
      <c r="R6" s="6">
        <v>45005</v>
      </c>
      <c r="S6" s="6">
        <v>80365</v>
      </c>
      <c r="T6" s="7">
        <f xml:space="preserve"> S6 / S$13</f>
        <v>4.3566946116701082E-3</v>
      </c>
    </row>
    <row r="7" spans="1:20">
      <c r="A7" s="3">
        <f xml:space="preserve"> IF(ISBLANK(B7), "", _xlfn.AGGREGATE(4, 7, $A$2:A6) + 1)</f>
        <v>5</v>
      </c>
      <c r="B7" s="28" t="s">
        <v>13</v>
      </c>
      <c r="C7" s="11">
        <v>0</v>
      </c>
      <c r="D7" s="11">
        <v>0</v>
      </c>
      <c r="E7" s="11">
        <v>453155.94823348121</v>
      </c>
      <c r="F7" s="11">
        <v>480499.06575549842</v>
      </c>
      <c r="G7" s="11">
        <v>280347.62967897113</v>
      </c>
      <c r="H7" s="11">
        <v>549289.88279513689</v>
      </c>
      <c r="I7" s="11">
        <v>2129964.603059242</v>
      </c>
      <c r="J7" s="11">
        <v>124097.03501211522</v>
      </c>
      <c r="K7" s="11">
        <v>261287.9371734609</v>
      </c>
      <c r="L7" s="11">
        <v>724134</v>
      </c>
      <c r="M7" s="11">
        <v>3453854.7088719564</v>
      </c>
      <c r="N7" s="11">
        <v>2703680.103807468</v>
      </c>
      <c r="O7" s="11">
        <v>453155.94823348121</v>
      </c>
      <c r="P7" s="11">
        <v>1310136.5782296064</v>
      </c>
      <c r="Q7" s="11">
        <v>2515349.5752448183</v>
      </c>
      <c r="R7" s="11">
        <v>6881668.8126794249</v>
      </c>
      <c r="S7" s="11">
        <v>11160310.91438733</v>
      </c>
      <c r="T7" s="12">
        <f xml:space="preserve"> S7 / S$13</f>
        <v>0.60501544733745261</v>
      </c>
    </row>
    <row r="8" spans="1:20">
      <c r="A8" s="3">
        <f xml:space="preserve"> IF(ISBLANK(B8), "", _xlfn.AGGREGATE(4, 7, $A$2:A7) + 1)</f>
        <v>6</v>
      </c>
      <c r="B8" s="8" t="s">
        <v>14</v>
      </c>
      <c r="C8" s="6">
        <v>200644.98255921947</v>
      </c>
      <c r="D8" s="6">
        <v>104730.83085841424</v>
      </c>
      <c r="E8" s="6">
        <v>290394.81314044277</v>
      </c>
      <c r="F8" s="6">
        <v>103614.96382025455</v>
      </c>
      <c r="G8" s="6">
        <v>307657.28179184149</v>
      </c>
      <c r="H8" s="6">
        <v>345077.48042174673</v>
      </c>
      <c r="I8" s="6">
        <v>288309.01577718585</v>
      </c>
      <c r="J8" s="6">
        <v>140646.33600407359</v>
      </c>
      <c r="K8" s="6">
        <v>278424.75372383837</v>
      </c>
      <c r="L8" s="6">
        <v>610698.42560015514</v>
      </c>
      <c r="M8" s="6">
        <v>450320.22038206627</v>
      </c>
      <c r="N8" s="6">
        <v>206913.63592076176</v>
      </c>
      <c r="O8" s="6">
        <v>595770.62655807647</v>
      </c>
      <c r="P8" s="6">
        <v>756349.72603384277</v>
      </c>
      <c r="Q8" s="6">
        <v>707380.10550509777</v>
      </c>
      <c r="R8" s="6">
        <v>1267932.2819029833</v>
      </c>
      <c r="S8" s="6">
        <v>3327432.74</v>
      </c>
      <c r="T8" s="7">
        <f xml:space="preserve"> S8 / S$13</f>
        <v>0.1803845988807653</v>
      </c>
    </row>
    <row r="9" spans="1:20">
      <c r="A9" s="3">
        <f xml:space="preserve"> IF(ISBLANK(B9), "", _xlfn.AGGREGATE(4, 7, $A$2:A8) + 1)</f>
        <v>7</v>
      </c>
      <c r="B9" s="9" t="s">
        <v>15</v>
      </c>
      <c r="C9" s="6">
        <v>66672.096034899791</v>
      </c>
      <c r="D9" s="6">
        <v>51591.233226419477</v>
      </c>
      <c r="E9" s="6">
        <v>52698.698396689411</v>
      </c>
      <c r="F9" s="6">
        <v>41657.742722070339</v>
      </c>
      <c r="G9" s="6">
        <v>58977.757735567735</v>
      </c>
      <c r="H9" s="6">
        <v>54026.658736453246</v>
      </c>
      <c r="I9" s="6">
        <v>100797.23720367131</v>
      </c>
      <c r="J9" s="6">
        <v>45904.165097792393</v>
      </c>
      <c r="K9" s="6">
        <v>68327.368763806284</v>
      </c>
      <c r="L9" s="6">
        <v>170781.62303030374</v>
      </c>
      <c r="M9" s="6">
        <v>196024.62195022986</v>
      </c>
      <c r="N9" s="6">
        <v>77676.975086654653</v>
      </c>
      <c r="O9" s="6">
        <v>170962.02765800868</v>
      </c>
      <c r="P9" s="6">
        <v>154662.15919409133</v>
      </c>
      <c r="Q9" s="6">
        <v>215028.77106527</v>
      </c>
      <c r="R9" s="6">
        <v>444483.22006718826</v>
      </c>
      <c r="S9" s="6">
        <v>985136.17798455816</v>
      </c>
      <c r="T9" s="7">
        <f xml:space="preserve"> S9 / S$13</f>
        <v>5.3405555632260425E-2</v>
      </c>
    </row>
    <row r="10" spans="1:20">
      <c r="A10" s="3">
        <f xml:space="preserve"> IF(ISBLANK(B10), "", _xlfn.AGGREGATE(4, 7, $A$2:A9) + 1)</f>
        <v>8</v>
      </c>
      <c r="B10" s="9" t="s">
        <v>16</v>
      </c>
      <c r="C10" s="6">
        <v>93944.439350000044</v>
      </c>
      <c r="D10" s="6">
        <v>60699.839350000009</v>
      </c>
      <c r="E10" s="6">
        <v>60590.839350000009</v>
      </c>
      <c r="F10" s="6">
        <v>69576.263350000023</v>
      </c>
      <c r="G10" s="6">
        <v>57256.263350000008</v>
      </c>
      <c r="H10" s="6">
        <v>58696.02335000001</v>
      </c>
      <c r="I10" s="6">
        <v>83785.273090000017</v>
      </c>
      <c r="J10" s="6">
        <v>56607.172950000007</v>
      </c>
      <c r="K10" s="6">
        <v>53887.435050000007</v>
      </c>
      <c r="L10" s="6">
        <v>79076.942539999989</v>
      </c>
      <c r="M10" s="6">
        <v>75083.862549999991</v>
      </c>
      <c r="N10" s="6">
        <v>73983.533850000007</v>
      </c>
      <c r="O10" s="6">
        <v>215235.11805000005</v>
      </c>
      <c r="P10" s="6">
        <v>185528.55005000005</v>
      </c>
      <c r="Q10" s="6">
        <v>194279.88109000001</v>
      </c>
      <c r="R10" s="6">
        <v>228144.33893999999</v>
      </c>
      <c r="S10" s="6">
        <v>823187.88813000009</v>
      </c>
      <c r="T10" s="7">
        <f xml:space="preserve"> S10 / S$13</f>
        <v>4.4626121279264193E-2</v>
      </c>
    </row>
    <row r="11" spans="1:20">
      <c r="A11" s="3">
        <f xml:space="preserve"> IF(ISBLANK(B11), "", _xlfn.AGGREGATE(4, 7, $A$2:A10) + 1)</f>
        <v>9</v>
      </c>
      <c r="B11" s="9" t="s">
        <v>17</v>
      </c>
      <c r="C11" s="6">
        <v>0</v>
      </c>
      <c r="D11" s="6">
        <v>0</v>
      </c>
      <c r="E11" s="6">
        <v>14088.705121587651</v>
      </c>
      <c r="F11" s="6">
        <v>3376.7402526748419</v>
      </c>
      <c r="G11" s="6">
        <v>6482.2915213265751</v>
      </c>
      <c r="H11" s="6">
        <v>21078.382483989721</v>
      </c>
      <c r="I11" s="6">
        <v>10970.031805321896</v>
      </c>
      <c r="J11" s="6">
        <v>12732.760201472105</v>
      </c>
      <c r="K11" s="6">
        <v>25994.776323376409</v>
      </c>
      <c r="L11" s="6">
        <v>14657.327184861912</v>
      </c>
      <c r="M11" s="6">
        <v>14880.401994300277</v>
      </c>
      <c r="N11" s="6">
        <v>25994.776323376409</v>
      </c>
      <c r="O11" s="6">
        <v>14088.705121587651</v>
      </c>
      <c r="P11" s="6">
        <v>30937.414257991139</v>
      </c>
      <c r="Q11" s="6">
        <v>49697.568330170412</v>
      </c>
      <c r="R11" s="6">
        <v>55532.505502538595</v>
      </c>
      <c r="S11" s="6">
        <v>150256.19321228779</v>
      </c>
      <c r="T11" s="7">
        <f xml:space="preserve"> S11 / S$13</f>
        <v>8.1455900869537353E-3</v>
      </c>
    </row>
    <row r="12" spans="1:20">
      <c r="A12" s="3">
        <f xml:space="preserve"> IF(ISBLANK(B12), "", _xlfn.AGGREGATE(4, 7, $A$2:A11) + 1)</f>
        <v>10</v>
      </c>
      <c r="B12" s="9" t="s">
        <v>18</v>
      </c>
      <c r="C12" s="6">
        <v>166666.66666666666</v>
      </c>
      <c r="D12" s="6">
        <v>166666.66666666666</v>
      </c>
      <c r="E12" s="6">
        <v>166666.66666666666</v>
      </c>
      <c r="F12" s="6">
        <v>166666.66666666666</v>
      </c>
      <c r="G12" s="6">
        <v>166666.66666666666</v>
      </c>
      <c r="H12" s="6">
        <v>166666.66666666666</v>
      </c>
      <c r="I12" s="6">
        <v>166666.66666666666</v>
      </c>
      <c r="J12" s="6">
        <v>166666.66666666666</v>
      </c>
      <c r="K12" s="6">
        <v>166666.66666666666</v>
      </c>
      <c r="L12" s="6">
        <v>166666.66666666666</v>
      </c>
      <c r="M12" s="6">
        <v>166666.66666666666</v>
      </c>
      <c r="N12" s="6">
        <v>166666.66666666666</v>
      </c>
      <c r="O12" s="6">
        <v>500000</v>
      </c>
      <c r="P12" s="6">
        <v>500000</v>
      </c>
      <c r="Q12" s="6">
        <v>500000</v>
      </c>
      <c r="R12" s="6">
        <v>500000</v>
      </c>
      <c r="S12" s="6">
        <v>2000000.0000000002</v>
      </c>
      <c r="T12" s="7">
        <f xml:space="preserve"> S12 / S$13</f>
        <v>0.10842268678330388</v>
      </c>
    </row>
    <row r="13" spans="1:20">
      <c r="A13" s="3">
        <f xml:space="preserve"> IF(ISBLANK(B13), "", _xlfn.AGGREGATE(4, 7, $A$2:A12) + 1)</f>
        <v>11</v>
      </c>
      <c r="B13" s="10" t="s">
        <v>19</v>
      </c>
      <c r="C13" s="11">
        <v>527928.18461078603</v>
      </c>
      <c r="D13" s="11">
        <v>383688.57010150037</v>
      </c>
      <c r="E13" s="11">
        <v>1037595.6709088676</v>
      </c>
      <c r="F13" s="11">
        <v>865391.44256716478</v>
      </c>
      <c r="G13" s="11">
        <v>877387.89074437355</v>
      </c>
      <c r="H13" s="11">
        <v>1194835.0944539933</v>
      </c>
      <c r="I13" s="11">
        <v>2780492.8276020875</v>
      </c>
      <c r="J13" s="11">
        <v>546654.13593211991</v>
      </c>
      <c r="K13" s="11">
        <v>854588.93770114868</v>
      </c>
      <c r="L13" s="11">
        <v>1766014.9850219875</v>
      </c>
      <c r="M13" s="11">
        <v>4356830.4824152198</v>
      </c>
      <c r="N13" s="11">
        <v>3254915.6916549276</v>
      </c>
      <c r="O13" s="11">
        <v>1949212.425621154</v>
      </c>
      <c r="P13" s="11">
        <v>2937614.4277655315</v>
      </c>
      <c r="Q13" s="11">
        <v>4181735.901235356</v>
      </c>
      <c r="R13" s="11">
        <v>9377761.1590921357</v>
      </c>
      <c r="S13" s="11">
        <v>18446323.913714174</v>
      </c>
      <c r="T13" s="12">
        <f xml:space="preserve"> S13 / S$13</f>
        <v>1</v>
      </c>
    </row>
    <row r="14" spans="1:20">
      <c r="B14" s="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A903-1C08-47A5-BED2-1185A26874AC}">
  <dimension ref="A1:P40"/>
  <sheetViews>
    <sheetView workbookViewId="0"/>
  </sheetViews>
  <sheetFormatPr defaultRowHeight="14.25"/>
  <cols>
    <col min="1" max="1" width="9.28515625" customWidth="1"/>
    <col min="2" max="2" width="16.7109375" bestFit="1" customWidth="1"/>
    <col min="3" max="3" width="21.5703125" bestFit="1" customWidth="1"/>
    <col min="16" max="16" width="10" bestFit="1" customWidth="1"/>
  </cols>
  <sheetData>
    <row r="1" spans="1:16">
      <c r="A1" s="14" t="s">
        <v>21</v>
      </c>
      <c r="B1" s="14" t="s">
        <v>22</v>
      </c>
      <c r="C1" s="14" t="s">
        <v>23</v>
      </c>
      <c r="D1" s="4">
        <v>46023</v>
      </c>
      <c r="E1" s="4">
        <v>46054</v>
      </c>
      <c r="F1" s="4">
        <v>46082</v>
      </c>
      <c r="G1" s="4">
        <v>46113</v>
      </c>
      <c r="H1" s="4">
        <v>46143</v>
      </c>
      <c r="I1" s="4">
        <v>46174</v>
      </c>
      <c r="J1" s="4">
        <v>46204</v>
      </c>
      <c r="K1" s="4">
        <v>46235</v>
      </c>
      <c r="L1" s="4">
        <v>46266</v>
      </c>
      <c r="M1" s="4">
        <v>46296</v>
      </c>
      <c r="N1" s="4">
        <v>46327</v>
      </c>
      <c r="O1" s="4">
        <v>46357</v>
      </c>
      <c r="P1" s="4" t="s">
        <v>7</v>
      </c>
    </row>
    <row r="2" spans="1:16">
      <c r="A2" t="s">
        <v>24</v>
      </c>
      <c r="B2" t="s">
        <v>25</v>
      </c>
      <c r="C2" t="s">
        <v>26</v>
      </c>
      <c r="D2" s="15">
        <v>0</v>
      </c>
      <c r="E2" s="15">
        <v>0</v>
      </c>
      <c r="F2" s="15">
        <v>0</v>
      </c>
      <c r="G2" s="15">
        <v>3384</v>
      </c>
      <c r="H2" s="15">
        <v>3384</v>
      </c>
      <c r="I2" s="15">
        <v>1450</v>
      </c>
      <c r="J2" s="15">
        <v>9909</v>
      </c>
      <c r="K2" s="15">
        <v>1450</v>
      </c>
      <c r="L2" s="15">
        <v>2417</v>
      </c>
      <c r="M2" s="15">
        <v>0</v>
      </c>
      <c r="N2" s="15">
        <v>11843</v>
      </c>
      <c r="O2" s="15">
        <v>10151</v>
      </c>
      <c r="P2" s="16">
        <v>43988</v>
      </c>
    </row>
    <row r="3" spans="1:16">
      <c r="A3" t="s">
        <v>24</v>
      </c>
      <c r="B3" t="s">
        <v>27</v>
      </c>
      <c r="C3" t="s">
        <v>28</v>
      </c>
      <c r="D3" s="15">
        <v>0</v>
      </c>
      <c r="E3" s="15">
        <v>0</v>
      </c>
      <c r="F3" s="15">
        <v>11420</v>
      </c>
      <c r="G3" s="15">
        <v>11420</v>
      </c>
      <c r="H3" s="15">
        <v>0</v>
      </c>
      <c r="I3" s="15">
        <v>16314</v>
      </c>
      <c r="J3" s="15">
        <v>23655</v>
      </c>
      <c r="K3" s="15">
        <v>0</v>
      </c>
      <c r="L3" s="15">
        <v>0</v>
      </c>
      <c r="M3" s="15">
        <v>0</v>
      </c>
      <c r="N3" s="15">
        <v>34259</v>
      </c>
      <c r="O3" s="15">
        <v>28549</v>
      </c>
      <c r="P3" s="16">
        <v>125617</v>
      </c>
    </row>
    <row r="4" spans="1:16">
      <c r="A4" t="s">
        <v>24</v>
      </c>
      <c r="B4" t="s">
        <v>29</v>
      </c>
      <c r="C4" t="s">
        <v>30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34048</v>
      </c>
      <c r="O4" s="15">
        <v>29184</v>
      </c>
      <c r="P4" s="16">
        <v>63232</v>
      </c>
    </row>
    <row r="5" spans="1:16">
      <c r="A5" t="s">
        <v>24</v>
      </c>
      <c r="B5" t="s">
        <v>31</v>
      </c>
      <c r="C5" t="s">
        <v>32</v>
      </c>
      <c r="D5" s="15">
        <v>0</v>
      </c>
      <c r="E5" s="15">
        <v>0</v>
      </c>
      <c r="F5" s="15">
        <v>0</v>
      </c>
      <c r="G5" s="15">
        <v>2030</v>
      </c>
      <c r="H5" s="15">
        <v>2030</v>
      </c>
      <c r="I5" s="15">
        <v>1740</v>
      </c>
      <c r="J5" s="15">
        <v>10441</v>
      </c>
      <c r="K5" s="15">
        <v>0</v>
      </c>
      <c r="L5" s="15">
        <v>0</v>
      </c>
      <c r="M5" s="15">
        <v>4060</v>
      </c>
      <c r="N5" s="15">
        <v>8121</v>
      </c>
      <c r="O5" s="15">
        <v>6090</v>
      </c>
      <c r="P5" s="16">
        <v>34512</v>
      </c>
    </row>
    <row r="6" spans="1:16">
      <c r="A6" t="s">
        <v>24</v>
      </c>
      <c r="B6" t="s">
        <v>33</v>
      </c>
      <c r="C6" t="s">
        <v>34</v>
      </c>
      <c r="D6" s="15">
        <v>0</v>
      </c>
      <c r="E6" s="15">
        <v>0</v>
      </c>
      <c r="F6" s="15">
        <v>0</v>
      </c>
      <c r="G6" s="15">
        <v>0</v>
      </c>
      <c r="H6" s="15">
        <v>1692</v>
      </c>
      <c r="I6" s="15">
        <v>0</v>
      </c>
      <c r="J6" s="15">
        <v>0</v>
      </c>
      <c r="K6" s="15">
        <v>483</v>
      </c>
      <c r="L6" s="15">
        <v>1208</v>
      </c>
      <c r="M6" s="15">
        <v>0</v>
      </c>
      <c r="N6" s="15">
        <v>6767</v>
      </c>
      <c r="O6" s="15">
        <v>5075</v>
      </c>
      <c r="P6" s="16">
        <v>15225</v>
      </c>
    </row>
    <row r="7" spans="1:16">
      <c r="A7" t="s">
        <v>24</v>
      </c>
      <c r="B7" t="s">
        <v>35</v>
      </c>
      <c r="C7" t="s">
        <v>36</v>
      </c>
      <c r="D7" s="15">
        <v>0</v>
      </c>
      <c r="E7" s="15">
        <v>0</v>
      </c>
      <c r="F7" s="15">
        <v>3384</v>
      </c>
      <c r="G7" s="15">
        <v>0</v>
      </c>
      <c r="H7" s="15">
        <v>0</v>
      </c>
      <c r="I7" s="15">
        <v>3142</v>
      </c>
      <c r="J7" s="15">
        <v>7855</v>
      </c>
      <c r="K7" s="15">
        <v>0</v>
      </c>
      <c r="L7" s="15">
        <v>0</v>
      </c>
      <c r="M7" s="15">
        <v>3384</v>
      </c>
      <c r="N7" s="15">
        <v>6767</v>
      </c>
      <c r="O7" s="15">
        <v>5075</v>
      </c>
      <c r="P7" s="16">
        <v>29607</v>
      </c>
    </row>
    <row r="8" spans="1:16">
      <c r="A8" t="s">
        <v>24</v>
      </c>
      <c r="B8" t="s">
        <v>37</v>
      </c>
      <c r="C8" t="s">
        <v>38</v>
      </c>
      <c r="D8" s="15">
        <v>0</v>
      </c>
      <c r="E8" s="15">
        <v>0</v>
      </c>
      <c r="F8" s="15">
        <v>3384</v>
      </c>
      <c r="G8" s="15">
        <v>3384</v>
      </c>
      <c r="H8" s="15">
        <v>1692</v>
      </c>
      <c r="I8" s="15">
        <v>3142</v>
      </c>
      <c r="J8" s="15">
        <v>7855</v>
      </c>
      <c r="K8" s="15">
        <v>483</v>
      </c>
      <c r="L8" s="15">
        <v>1208</v>
      </c>
      <c r="M8" s="15">
        <v>3384</v>
      </c>
      <c r="N8" s="15">
        <v>6767</v>
      </c>
      <c r="O8" s="15">
        <v>5075</v>
      </c>
      <c r="P8" s="16">
        <v>36374</v>
      </c>
    </row>
    <row r="9" spans="1:16">
      <c r="A9" t="s">
        <v>24</v>
      </c>
      <c r="B9" t="s">
        <v>39</v>
      </c>
      <c r="C9" t="s">
        <v>40</v>
      </c>
      <c r="D9" s="15">
        <v>0</v>
      </c>
      <c r="E9" s="15">
        <v>0</v>
      </c>
      <c r="F9" s="15">
        <v>846</v>
      </c>
      <c r="G9" s="15">
        <v>0</v>
      </c>
      <c r="H9" s="15">
        <v>0</v>
      </c>
      <c r="I9" s="15">
        <v>1390</v>
      </c>
      <c r="J9" s="15">
        <v>3263</v>
      </c>
      <c r="K9" s="15">
        <v>242</v>
      </c>
      <c r="L9" s="15">
        <v>604</v>
      </c>
      <c r="M9" s="15">
        <v>1692</v>
      </c>
      <c r="N9" s="15">
        <v>3384</v>
      </c>
      <c r="O9" s="15">
        <v>2538</v>
      </c>
      <c r="P9" s="16">
        <v>13959</v>
      </c>
    </row>
    <row r="10" spans="1:16">
      <c r="A10" t="s">
        <v>24</v>
      </c>
      <c r="B10" t="s">
        <v>41</v>
      </c>
      <c r="C10" t="s">
        <v>42</v>
      </c>
      <c r="D10" s="15">
        <v>0</v>
      </c>
      <c r="E10" s="15">
        <v>0</v>
      </c>
      <c r="F10" s="15">
        <v>0</v>
      </c>
      <c r="G10" s="15">
        <v>5075</v>
      </c>
      <c r="H10" s="15">
        <v>5075</v>
      </c>
      <c r="I10" s="15">
        <v>4350</v>
      </c>
      <c r="J10" s="15">
        <v>21027</v>
      </c>
      <c r="K10" s="15">
        <v>1450</v>
      </c>
      <c r="L10" s="15">
        <v>3625</v>
      </c>
      <c r="M10" s="15">
        <v>10151</v>
      </c>
      <c r="N10" s="15">
        <v>20302</v>
      </c>
      <c r="O10" s="15">
        <v>15226</v>
      </c>
      <c r="P10" s="16">
        <v>86281</v>
      </c>
    </row>
    <row r="11" spans="1:16">
      <c r="A11" t="s">
        <v>24</v>
      </c>
      <c r="B11" t="s">
        <v>43</v>
      </c>
      <c r="C11" t="s">
        <v>44</v>
      </c>
      <c r="D11" s="15">
        <v>0</v>
      </c>
      <c r="E11" s="15">
        <v>0</v>
      </c>
      <c r="F11" s="15">
        <v>3384</v>
      </c>
      <c r="G11" s="15">
        <v>1692</v>
      </c>
      <c r="H11" s="15">
        <v>1692</v>
      </c>
      <c r="I11" s="15">
        <v>2779</v>
      </c>
      <c r="J11" s="15">
        <v>3480</v>
      </c>
      <c r="K11" s="15">
        <v>483</v>
      </c>
      <c r="L11" s="15">
        <v>1208</v>
      </c>
      <c r="M11" s="15">
        <v>3384</v>
      </c>
      <c r="N11" s="15">
        <v>5075</v>
      </c>
      <c r="O11" s="15">
        <v>3384</v>
      </c>
      <c r="P11" s="16">
        <v>26561</v>
      </c>
    </row>
    <row r="12" spans="1:16">
      <c r="A12" t="s">
        <v>24</v>
      </c>
      <c r="B12" t="s">
        <v>45</v>
      </c>
      <c r="C12" t="s">
        <v>46</v>
      </c>
      <c r="D12" s="15">
        <v>0</v>
      </c>
      <c r="E12" s="15">
        <v>0</v>
      </c>
      <c r="F12" s="15">
        <v>1353</v>
      </c>
      <c r="G12" s="15">
        <v>677</v>
      </c>
      <c r="H12" s="15">
        <v>677</v>
      </c>
      <c r="I12" s="15">
        <v>1112</v>
      </c>
      <c r="J12" s="15">
        <v>2610</v>
      </c>
      <c r="K12" s="15">
        <v>193</v>
      </c>
      <c r="L12" s="15">
        <v>483</v>
      </c>
      <c r="M12" s="15">
        <v>1015</v>
      </c>
      <c r="N12" s="15">
        <v>2030</v>
      </c>
      <c r="O12" s="15">
        <v>1692</v>
      </c>
      <c r="P12" s="16">
        <v>11842</v>
      </c>
    </row>
    <row r="13" spans="1:16">
      <c r="A13" t="s">
        <v>24</v>
      </c>
      <c r="B13" t="s">
        <v>47</v>
      </c>
      <c r="C13" t="s">
        <v>48</v>
      </c>
      <c r="D13" s="15">
        <v>0</v>
      </c>
      <c r="E13" s="15">
        <v>0</v>
      </c>
      <c r="F13" s="15">
        <v>0</v>
      </c>
      <c r="G13" s="15">
        <v>0</v>
      </c>
      <c r="H13" s="15">
        <v>5075</v>
      </c>
      <c r="I13" s="15">
        <v>4350</v>
      </c>
      <c r="J13" s="15">
        <v>23564</v>
      </c>
      <c r="K13" s="15">
        <v>0</v>
      </c>
      <c r="L13" s="15">
        <v>0</v>
      </c>
      <c r="M13" s="15">
        <v>7613</v>
      </c>
      <c r="N13" s="15">
        <v>17764</v>
      </c>
      <c r="O13" s="15">
        <v>15226</v>
      </c>
      <c r="P13" s="16">
        <v>73592</v>
      </c>
    </row>
    <row r="14" spans="1:16">
      <c r="A14" t="s">
        <v>24</v>
      </c>
      <c r="B14" t="s">
        <v>49</v>
      </c>
      <c r="C14" t="s">
        <v>50</v>
      </c>
      <c r="D14" s="15">
        <v>0</v>
      </c>
      <c r="E14" s="15">
        <v>0</v>
      </c>
      <c r="F14" s="15">
        <v>3384</v>
      </c>
      <c r="G14" s="15">
        <v>3384</v>
      </c>
      <c r="H14" s="15">
        <v>0</v>
      </c>
      <c r="I14" s="15">
        <v>3142</v>
      </c>
      <c r="J14" s="15">
        <v>7855</v>
      </c>
      <c r="K14" s="15">
        <v>483</v>
      </c>
      <c r="L14" s="15">
        <v>1208</v>
      </c>
      <c r="M14" s="15">
        <v>2538</v>
      </c>
      <c r="N14" s="15">
        <v>6767</v>
      </c>
      <c r="O14" s="15">
        <v>5075</v>
      </c>
      <c r="P14" s="16">
        <v>33836</v>
      </c>
    </row>
    <row r="15" spans="1:16">
      <c r="A15" t="s">
        <v>24</v>
      </c>
      <c r="B15" t="s">
        <v>51</v>
      </c>
      <c r="C15" t="s">
        <v>52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5921</v>
      </c>
      <c r="K15" s="15">
        <v>0</v>
      </c>
      <c r="L15" s="15">
        <v>0</v>
      </c>
      <c r="M15" s="15">
        <v>0</v>
      </c>
      <c r="N15" s="15">
        <v>6767</v>
      </c>
      <c r="O15" s="15">
        <v>5921</v>
      </c>
      <c r="P15" s="16">
        <v>18609</v>
      </c>
    </row>
    <row r="16" spans="1:16">
      <c r="A16" t="s">
        <v>24</v>
      </c>
      <c r="B16" t="s">
        <v>53</v>
      </c>
      <c r="C16" t="s">
        <v>53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2538</v>
      </c>
      <c r="N16" s="15">
        <v>6767</v>
      </c>
      <c r="O16" s="15">
        <v>5075</v>
      </c>
      <c r="P16" s="16">
        <v>14380</v>
      </c>
    </row>
    <row r="17" spans="1:16">
      <c r="A17" t="s">
        <v>24</v>
      </c>
      <c r="B17" t="s">
        <v>54</v>
      </c>
      <c r="C17" t="s">
        <v>55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2030</v>
      </c>
      <c r="N17" s="15">
        <v>5414</v>
      </c>
      <c r="O17" s="15">
        <v>4060</v>
      </c>
      <c r="P17" s="16">
        <v>11504</v>
      </c>
    </row>
    <row r="18" spans="1:16">
      <c r="A18" t="s">
        <v>24</v>
      </c>
      <c r="B18" t="s">
        <v>56</v>
      </c>
      <c r="C18" t="s">
        <v>56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3045</v>
      </c>
      <c r="N18" s="15">
        <v>8121</v>
      </c>
      <c r="O18" s="15">
        <v>6090</v>
      </c>
      <c r="P18" s="16">
        <v>17256</v>
      </c>
    </row>
    <row r="19" spans="1:16">
      <c r="A19" t="s">
        <v>24</v>
      </c>
      <c r="B19" t="s">
        <v>57</v>
      </c>
      <c r="C19" t="s">
        <v>57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3045</v>
      </c>
      <c r="N19" s="15">
        <v>8121</v>
      </c>
      <c r="O19" s="15">
        <v>6090</v>
      </c>
      <c r="P19" s="16">
        <v>17256</v>
      </c>
    </row>
    <row r="20" spans="1:16">
      <c r="A20" t="s">
        <v>24</v>
      </c>
      <c r="B20" t="s">
        <v>58</v>
      </c>
      <c r="C20" t="s">
        <v>59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8290</v>
      </c>
      <c r="K20" s="15">
        <v>0</v>
      </c>
      <c r="L20" s="15">
        <v>0</v>
      </c>
      <c r="M20" s="15">
        <v>3553</v>
      </c>
      <c r="N20" s="15">
        <v>9474</v>
      </c>
      <c r="O20" s="15">
        <v>7106</v>
      </c>
      <c r="P20" s="16">
        <v>28423</v>
      </c>
    </row>
    <row r="21" spans="1:16"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</row>
    <row r="22" spans="1:16">
      <c r="A22" s="17" t="s">
        <v>60</v>
      </c>
      <c r="B22" t="s">
        <v>25</v>
      </c>
      <c r="C22" t="s">
        <v>26</v>
      </c>
      <c r="D22" s="18">
        <v>0</v>
      </c>
      <c r="E22" s="18">
        <v>0</v>
      </c>
      <c r="F22" s="18">
        <v>0</v>
      </c>
      <c r="G22" s="18">
        <v>16918</v>
      </c>
      <c r="H22" s="18">
        <v>16918</v>
      </c>
      <c r="I22" s="18">
        <v>8701</v>
      </c>
      <c r="J22" s="18">
        <v>59455</v>
      </c>
      <c r="K22" s="18">
        <v>8701</v>
      </c>
      <c r="L22" s="18">
        <v>14501</v>
      </c>
      <c r="M22" s="18">
        <v>0</v>
      </c>
      <c r="N22" s="18">
        <v>118426</v>
      </c>
      <c r="O22" s="18">
        <v>101508</v>
      </c>
      <c r="P22" s="17">
        <v>345128</v>
      </c>
    </row>
    <row r="23" spans="1:16">
      <c r="A23" s="17" t="s">
        <v>60</v>
      </c>
      <c r="B23" t="s">
        <v>27</v>
      </c>
      <c r="C23" t="s">
        <v>28</v>
      </c>
      <c r="D23" s="15">
        <v>0</v>
      </c>
      <c r="E23" s="15">
        <v>0</v>
      </c>
      <c r="F23" s="15">
        <v>68518</v>
      </c>
      <c r="G23" s="15">
        <v>68518</v>
      </c>
      <c r="H23" s="15">
        <v>0</v>
      </c>
      <c r="I23" s="15">
        <v>97883</v>
      </c>
      <c r="J23" s="15">
        <v>141930</v>
      </c>
      <c r="K23" s="15">
        <v>0</v>
      </c>
      <c r="L23" s="15">
        <v>0</v>
      </c>
      <c r="M23" s="15">
        <v>0</v>
      </c>
      <c r="N23" s="15">
        <v>342590</v>
      </c>
      <c r="O23" s="15">
        <v>285492</v>
      </c>
      <c r="P23" s="16">
        <v>1004931</v>
      </c>
    </row>
    <row r="24" spans="1:16">
      <c r="A24" s="17" t="s">
        <v>60</v>
      </c>
      <c r="B24" t="s">
        <v>29</v>
      </c>
      <c r="C24" t="s">
        <v>30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340475</v>
      </c>
      <c r="O24" s="15">
        <v>291836</v>
      </c>
      <c r="P24" s="16">
        <v>632311</v>
      </c>
    </row>
    <row r="25" spans="1:16">
      <c r="A25" s="17" t="s">
        <v>60</v>
      </c>
      <c r="B25" t="s">
        <v>31</v>
      </c>
      <c r="C25" t="s">
        <v>32</v>
      </c>
      <c r="D25" s="15">
        <v>0</v>
      </c>
      <c r="E25" s="15">
        <v>0</v>
      </c>
      <c r="F25" s="15">
        <v>0</v>
      </c>
      <c r="G25" s="15">
        <v>20302</v>
      </c>
      <c r="H25" s="15">
        <v>20302</v>
      </c>
      <c r="I25" s="15">
        <v>19142</v>
      </c>
      <c r="J25" s="15">
        <v>114849</v>
      </c>
      <c r="K25" s="15">
        <v>0</v>
      </c>
      <c r="L25" s="15">
        <v>0</v>
      </c>
      <c r="M25" s="15">
        <v>44664</v>
      </c>
      <c r="N25" s="15">
        <v>89327</v>
      </c>
      <c r="O25" s="15">
        <v>66995</v>
      </c>
      <c r="P25" s="16">
        <v>375581</v>
      </c>
    </row>
    <row r="26" spans="1:16">
      <c r="A26" s="17" t="s">
        <v>60</v>
      </c>
      <c r="B26" t="s">
        <v>33</v>
      </c>
      <c r="C26" t="s">
        <v>34</v>
      </c>
      <c r="D26" s="15">
        <v>0</v>
      </c>
      <c r="E26" s="15">
        <v>0</v>
      </c>
      <c r="F26" s="15">
        <v>0</v>
      </c>
      <c r="G26" s="15">
        <v>0</v>
      </c>
      <c r="H26" s="15">
        <v>15226</v>
      </c>
      <c r="I26" s="15">
        <v>0</v>
      </c>
      <c r="J26" s="15">
        <v>0</v>
      </c>
      <c r="K26" s="15">
        <v>3384</v>
      </c>
      <c r="L26" s="15">
        <v>8459</v>
      </c>
      <c r="M26" s="15">
        <v>0</v>
      </c>
      <c r="N26" s="15">
        <v>67672</v>
      </c>
      <c r="O26" s="15">
        <v>50754</v>
      </c>
      <c r="P26" s="16">
        <v>145495</v>
      </c>
    </row>
    <row r="27" spans="1:16">
      <c r="A27" s="17" t="s">
        <v>60</v>
      </c>
      <c r="B27" t="s">
        <v>35</v>
      </c>
      <c r="C27" t="s">
        <v>36</v>
      </c>
      <c r="D27" s="15">
        <v>0</v>
      </c>
      <c r="E27" s="15">
        <v>0</v>
      </c>
      <c r="F27" s="15">
        <v>67672</v>
      </c>
      <c r="G27" s="15">
        <v>0</v>
      </c>
      <c r="H27" s="15">
        <v>0</v>
      </c>
      <c r="I27" s="15">
        <v>62838</v>
      </c>
      <c r="J27" s="15">
        <v>157096</v>
      </c>
      <c r="K27" s="15">
        <v>0</v>
      </c>
      <c r="L27" s="15">
        <v>0</v>
      </c>
      <c r="M27" s="15">
        <v>67672</v>
      </c>
      <c r="N27" s="15">
        <v>135344</v>
      </c>
      <c r="O27" s="15">
        <v>101508</v>
      </c>
      <c r="P27" s="16">
        <v>592130</v>
      </c>
    </row>
    <row r="28" spans="1:16">
      <c r="A28" s="17" t="s">
        <v>60</v>
      </c>
      <c r="B28" t="s">
        <v>37</v>
      </c>
      <c r="C28" t="s">
        <v>38</v>
      </c>
      <c r="D28" s="15">
        <v>0</v>
      </c>
      <c r="E28" s="15">
        <v>0</v>
      </c>
      <c r="F28" s="15">
        <v>33836</v>
      </c>
      <c r="G28" s="15">
        <v>33836</v>
      </c>
      <c r="H28" s="15">
        <v>16918</v>
      </c>
      <c r="I28" s="15">
        <v>31419</v>
      </c>
      <c r="J28" s="15">
        <v>78548</v>
      </c>
      <c r="K28" s="15">
        <v>4834</v>
      </c>
      <c r="L28" s="15">
        <v>12084</v>
      </c>
      <c r="M28" s="15">
        <v>33836</v>
      </c>
      <c r="N28" s="15">
        <v>101508</v>
      </c>
      <c r="O28" s="15">
        <v>76131</v>
      </c>
      <c r="P28" s="16">
        <v>422950</v>
      </c>
    </row>
    <row r="29" spans="1:16">
      <c r="A29" s="17" t="s">
        <v>60</v>
      </c>
      <c r="B29" t="s">
        <v>39</v>
      </c>
      <c r="C29" t="s">
        <v>40</v>
      </c>
      <c r="D29" s="15">
        <v>0</v>
      </c>
      <c r="E29" s="15">
        <v>0</v>
      </c>
      <c r="F29" s="15">
        <v>12689</v>
      </c>
      <c r="G29" s="15">
        <v>0</v>
      </c>
      <c r="H29" s="15">
        <v>0</v>
      </c>
      <c r="I29" s="15">
        <v>20845</v>
      </c>
      <c r="J29" s="15">
        <v>48941</v>
      </c>
      <c r="K29" s="15">
        <v>3625</v>
      </c>
      <c r="L29" s="15">
        <v>9063</v>
      </c>
      <c r="M29" s="15">
        <v>25377</v>
      </c>
      <c r="N29" s="15">
        <v>50754</v>
      </c>
      <c r="O29" s="15">
        <v>38066</v>
      </c>
      <c r="P29" s="16">
        <v>209360</v>
      </c>
    </row>
    <row r="30" spans="1:16">
      <c r="A30" s="17" t="s">
        <v>60</v>
      </c>
      <c r="B30" t="s">
        <v>41</v>
      </c>
      <c r="C30" t="s">
        <v>42</v>
      </c>
      <c r="D30" s="15">
        <v>0</v>
      </c>
      <c r="E30" s="15">
        <v>0</v>
      </c>
      <c r="F30" s="15">
        <v>0</v>
      </c>
      <c r="G30" s="15">
        <v>50754</v>
      </c>
      <c r="H30" s="15">
        <v>60905</v>
      </c>
      <c r="I30" s="15">
        <v>52204</v>
      </c>
      <c r="J30" s="15">
        <v>252320</v>
      </c>
      <c r="K30" s="15">
        <v>17401</v>
      </c>
      <c r="L30" s="15">
        <v>43504</v>
      </c>
      <c r="M30" s="15">
        <v>121810</v>
      </c>
      <c r="N30" s="15">
        <v>304525</v>
      </c>
      <c r="O30" s="15">
        <v>228393</v>
      </c>
      <c r="P30" s="16">
        <v>1131816</v>
      </c>
    </row>
    <row r="31" spans="1:16">
      <c r="A31" s="17" t="s">
        <v>60</v>
      </c>
      <c r="B31" t="s">
        <v>43</v>
      </c>
      <c r="C31" t="s">
        <v>44</v>
      </c>
      <c r="D31" s="15">
        <v>0</v>
      </c>
      <c r="E31" s="15">
        <v>0</v>
      </c>
      <c r="F31" s="15">
        <v>50754</v>
      </c>
      <c r="G31" s="15">
        <v>25377</v>
      </c>
      <c r="H31" s="15">
        <v>0</v>
      </c>
      <c r="I31" s="15">
        <v>47129</v>
      </c>
      <c r="J31" s="15">
        <v>79756</v>
      </c>
      <c r="K31" s="15">
        <v>7251</v>
      </c>
      <c r="L31" s="15">
        <v>18126</v>
      </c>
      <c r="M31" s="15">
        <v>50754</v>
      </c>
      <c r="N31" s="15">
        <v>101508</v>
      </c>
      <c r="O31" s="15">
        <v>67672</v>
      </c>
      <c r="P31" s="16">
        <v>448327</v>
      </c>
    </row>
    <row r="32" spans="1:16">
      <c r="A32" s="17" t="s">
        <v>60</v>
      </c>
      <c r="B32" t="s">
        <v>45</v>
      </c>
      <c r="C32" t="s">
        <v>46</v>
      </c>
      <c r="D32" s="15">
        <v>0</v>
      </c>
      <c r="E32" s="15">
        <v>0</v>
      </c>
      <c r="F32" s="15">
        <v>33836</v>
      </c>
      <c r="G32" s="15">
        <v>16918</v>
      </c>
      <c r="H32" s="15">
        <v>0</v>
      </c>
      <c r="I32" s="15">
        <v>16918</v>
      </c>
      <c r="J32" s="15">
        <v>50754</v>
      </c>
      <c r="K32" s="15">
        <v>0</v>
      </c>
      <c r="L32" s="15">
        <v>0</v>
      </c>
      <c r="M32" s="15">
        <v>25377</v>
      </c>
      <c r="N32" s="15">
        <v>60905</v>
      </c>
      <c r="O32" s="15">
        <v>50754</v>
      </c>
      <c r="P32" s="16">
        <v>255462</v>
      </c>
    </row>
    <row r="33" spans="1:16">
      <c r="A33" s="17" t="s">
        <v>60</v>
      </c>
      <c r="B33" t="s">
        <v>47</v>
      </c>
      <c r="C33" t="s">
        <v>48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444098</v>
      </c>
      <c r="K33" s="15">
        <v>0</v>
      </c>
      <c r="L33" s="15">
        <v>0</v>
      </c>
      <c r="M33" s="15">
        <v>60905</v>
      </c>
      <c r="N33" s="15">
        <v>177639</v>
      </c>
      <c r="O33" s="15">
        <v>152262</v>
      </c>
      <c r="P33" s="16">
        <v>834904</v>
      </c>
    </row>
    <row r="34" spans="1:16">
      <c r="A34" s="17" t="s">
        <v>60</v>
      </c>
      <c r="B34" t="s">
        <v>49</v>
      </c>
      <c r="C34" t="s">
        <v>50</v>
      </c>
      <c r="D34" s="15">
        <v>0</v>
      </c>
      <c r="E34" s="15">
        <v>0</v>
      </c>
      <c r="F34" s="15">
        <v>33836</v>
      </c>
      <c r="G34" s="15">
        <v>33836</v>
      </c>
      <c r="H34" s="15">
        <v>0</v>
      </c>
      <c r="I34" s="15">
        <v>16918</v>
      </c>
      <c r="J34" s="15">
        <v>148033</v>
      </c>
      <c r="K34" s="15">
        <v>0</v>
      </c>
      <c r="L34" s="15">
        <v>0</v>
      </c>
      <c r="M34" s="15">
        <v>25377</v>
      </c>
      <c r="N34" s="15">
        <v>81207</v>
      </c>
      <c r="O34" s="15">
        <v>60905</v>
      </c>
      <c r="P34" s="16">
        <v>400112</v>
      </c>
    </row>
    <row r="35" spans="1:16">
      <c r="A35" s="17" t="s">
        <v>60</v>
      </c>
      <c r="B35" t="s">
        <v>51</v>
      </c>
      <c r="C35" t="s">
        <v>52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148033</v>
      </c>
      <c r="K35" s="15">
        <v>0</v>
      </c>
      <c r="L35" s="15">
        <v>0</v>
      </c>
      <c r="M35" s="15">
        <v>0</v>
      </c>
      <c r="N35" s="15">
        <v>135344</v>
      </c>
      <c r="O35" s="15">
        <v>118426</v>
      </c>
      <c r="P35" s="16">
        <v>401803</v>
      </c>
    </row>
    <row r="36" spans="1:16">
      <c r="A36" s="17" t="s">
        <v>60</v>
      </c>
      <c r="B36" t="s">
        <v>53</v>
      </c>
      <c r="C36" t="s">
        <v>53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15226</v>
      </c>
      <c r="N36" s="15">
        <v>47370</v>
      </c>
      <c r="O36" s="15">
        <v>35528</v>
      </c>
      <c r="P36" s="16">
        <v>98124</v>
      </c>
    </row>
    <row r="37" spans="1:16">
      <c r="A37" s="17" t="s">
        <v>60</v>
      </c>
      <c r="B37" t="s">
        <v>61</v>
      </c>
      <c r="C37" t="s">
        <v>55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28422</v>
      </c>
      <c r="N37" s="15">
        <v>97448</v>
      </c>
      <c r="O37" s="15">
        <v>73086</v>
      </c>
      <c r="P37" s="16">
        <v>198956</v>
      </c>
    </row>
    <row r="38" spans="1:16">
      <c r="A38" s="17" t="s">
        <v>60</v>
      </c>
      <c r="B38" t="s">
        <v>56</v>
      </c>
      <c r="C38" t="s">
        <v>56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36543</v>
      </c>
      <c r="N38" s="15">
        <v>97448</v>
      </c>
      <c r="O38" s="15">
        <v>73086</v>
      </c>
      <c r="P38" s="16">
        <v>207077</v>
      </c>
    </row>
    <row r="39" spans="1:16">
      <c r="A39" s="17" t="s">
        <v>60</v>
      </c>
      <c r="B39" t="s">
        <v>57</v>
      </c>
      <c r="C39" t="s">
        <v>57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51769</v>
      </c>
      <c r="N39" s="15">
        <v>162413</v>
      </c>
      <c r="O39" s="15">
        <v>121810</v>
      </c>
      <c r="P39" s="16">
        <v>335992</v>
      </c>
    </row>
    <row r="40" spans="1:16">
      <c r="A40" s="17" t="s">
        <v>60</v>
      </c>
      <c r="B40" t="s">
        <v>58</v>
      </c>
      <c r="C40" t="s">
        <v>59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207246</v>
      </c>
      <c r="K40" s="15">
        <v>0</v>
      </c>
      <c r="L40" s="15">
        <v>0</v>
      </c>
      <c r="M40" s="15">
        <v>21317</v>
      </c>
      <c r="N40" s="15">
        <v>75793</v>
      </c>
      <c r="O40" s="15">
        <v>56845</v>
      </c>
      <c r="P40" s="16">
        <v>361201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A951-4E4C-4ED8-9DD4-B81E28D36C2F}">
  <dimension ref="A1:AI208"/>
  <sheetViews>
    <sheetView workbookViewId="0"/>
  </sheetViews>
  <sheetFormatPr defaultRowHeight="14.25"/>
  <cols>
    <col min="4" max="4" width="22.85546875" bestFit="1" customWidth="1"/>
    <col min="12" max="12" width="20.42578125" bestFit="1" customWidth="1"/>
    <col min="13" max="13" width="15.5703125" bestFit="1" customWidth="1"/>
    <col min="14" max="14" width="20.42578125" customWidth="1"/>
    <col min="15" max="15" width="11.28515625" bestFit="1" customWidth="1"/>
    <col min="34" max="34" width="10.85546875" bestFit="1" customWidth="1"/>
    <col min="35" max="35" width="10.5703125" bestFit="1" customWidth="1"/>
  </cols>
  <sheetData>
    <row r="1" spans="1:35">
      <c r="A1" s="19" t="s">
        <v>62</v>
      </c>
      <c r="B1" s="19" t="s">
        <v>63</v>
      </c>
      <c r="C1" s="19" t="s">
        <v>64</v>
      </c>
      <c r="D1" s="19" t="s">
        <v>65</v>
      </c>
      <c r="E1" s="19" t="s">
        <v>66</v>
      </c>
      <c r="F1" s="19" t="s">
        <v>67</v>
      </c>
      <c r="G1" s="19" t="s">
        <v>68</v>
      </c>
      <c r="H1" s="19" t="s">
        <v>69</v>
      </c>
      <c r="I1" s="19" t="s">
        <v>70</v>
      </c>
      <c r="J1" s="19" t="s">
        <v>71</v>
      </c>
      <c r="K1" s="19" t="s">
        <v>72</v>
      </c>
      <c r="L1" s="19" t="s">
        <v>73</v>
      </c>
      <c r="M1" s="20" t="s">
        <v>74</v>
      </c>
      <c r="N1" s="21" t="s">
        <v>75</v>
      </c>
      <c r="O1" s="21" t="s">
        <v>76</v>
      </c>
      <c r="P1" s="20" t="s">
        <v>77</v>
      </c>
      <c r="Q1" s="20" t="s">
        <v>78</v>
      </c>
      <c r="R1" s="20" t="s">
        <v>79</v>
      </c>
      <c r="S1" s="4">
        <v>46023</v>
      </c>
      <c r="T1" s="4">
        <v>46054</v>
      </c>
      <c r="U1" s="4">
        <v>46082</v>
      </c>
      <c r="V1" s="4">
        <v>46113</v>
      </c>
      <c r="W1" s="4">
        <v>46143</v>
      </c>
      <c r="X1" s="4">
        <v>46174</v>
      </c>
      <c r="Y1" s="4">
        <v>46204</v>
      </c>
      <c r="Z1" s="4">
        <v>46235</v>
      </c>
      <c r="AA1" s="4">
        <v>46266</v>
      </c>
      <c r="AB1" s="4">
        <v>46296</v>
      </c>
      <c r="AC1" s="4">
        <v>46327</v>
      </c>
      <c r="AD1" s="4">
        <v>46357</v>
      </c>
      <c r="AE1" s="4" t="s">
        <v>7</v>
      </c>
      <c r="AH1" s="17">
        <f xml:space="preserve"> SUM(AE2:AE208)</f>
        <v>1456285.9143873306</v>
      </c>
    </row>
    <row r="2" spans="1:35">
      <c r="A2" t="s">
        <v>39</v>
      </c>
      <c r="B2" t="s">
        <v>80</v>
      </c>
      <c r="C2" t="s">
        <v>81</v>
      </c>
      <c r="D2" t="s">
        <v>82</v>
      </c>
      <c r="E2" t="s">
        <v>83</v>
      </c>
      <c r="F2" s="22">
        <v>46104</v>
      </c>
      <c r="G2" s="22">
        <v>46110</v>
      </c>
      <c r="H2" s="23">
        <v>74.98</v>
      </c>
      <c r="I2" s="23">
        <v>89.98</v>
      </c>
      <c r="J2" s="23">
        <v>15</v>
      </c>
      <c r="K2">
        <v>40</v>
      </c>
      <c r="L2" s="23">
        <v>600</v>
      </c>
      <c r="M2" s="24">
        <f xml:space="preserve"> K2 / L2</f>
        <v>6.6666666666666666E-2</v>
      </c>
      <c r="N2" s="23">
        <f xml:space="preserve"> $AI$6 * L2</f>
        <v>550.73164265718572</v>
      </c>
      <c r="O2" s="25">
        <f xml:space="preserve"> ROUND((N2 - L2) * M2, 0)</f>
        <v>-3</v>
      </c>
      <c r="P2">
        <f t="shared" ref="P2:P65" si="0" xml:space="preserve"> G2 - F2 + 1</f>
        <v>7</v>
      </c>
      <c r="Q2" s="22">
        <f t="shared" ref="Q2:R65" si="1" xml:space="preserve"> EOMONTH(F2, -1) + 1</f>
        <v>46082</v>
      </c>
      <c r="R2" s="22">
        <f t="shared" si="1"/>
        <v>46082</v>
      </c>
      <c r="S2" s="17">
        <v>0</v>
      </c>
      <c r="T2" s="17">
        <v>0</v>
      </c>
      <c r="U2" s="17">
        <v>550.73164265718572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550.73164265718572</v>
      </c>
    </row>
    <row r="3" spans="1:35">
      <c r="A3" t="s">
        <v>84</v>
      </c>
      <c r="B3" t="s">
        <v>85</v>
      </c>
      <c r="C3" t="s">
        <v>81</v>
      </c>
      <c r="D3" t="s">
        <v>82</v>
      </c>
      <c r="E3" t="s">
        <v>83</v>
      </c>
      <c r="F3" s="22">
        <v>46104</v>
      </c>
      <c r="G3" s="22">
        <v>46110</v>
      </c>
      <c r="H3" s="23">
        <v>99.98</v>
      </c>
      <c r="I3" s="23">
        <v>159.97999999999999</v>
      </c>
      <c r="J3" s="23">
        <v>60</v>
      </c>
      <c r="K3">
        <v>50</v>
      </c>
      <c r="L3" s="23">
        <v>3000</v>
      </c>
      <c r="M3" s="24">
        <f t="shared" ref="M3:M66" si="2" xml:space="preserve"> K3 / L3</f>
        <v>1.6666666666666666E-2</v>
      </c>
      <c r="N3" s="23">
        <f xml:space="preserve"> $AI$6 * L3</f>
        <v>2753.6582132859289</v>
      </c>
      <c r="O3" s="25">
        <f t="shared" ref="O3:O66" si="3" xml:space="preserve"> ROUND((N3 - L3) * M3, 0)</f>
        <v>-4</v>
      </c>
      <c r="P3">
        <f t="shared" si="0"/>
        <v>7</v>
      </c>
      <c r="Q3" s="22">
        <f t="shared" si="1"/>
        <v>46082</v>
      </c>
      <c r="R3" s="22">
        <f t="shared" si="1"/>
        <v>46082</v>
      </c>
      <c r="S3" s="17">
        <v>0</v>
      </c>
      <c r="T3" s="17">
        <v>0</v>
      </c>
      <c r="U3" s="17">
        <v>2753.6582132859289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2753.6582132859289</v>
      </c>
      <c r="AG3" s="26" t="s">
        <v>86</v>
      </c>
    </row>
    <row r="4" spans="1:35">
      <c r="A4" t="s">
        <v>87</v>
      </c>
      <c r="B4" t="s">
        <v>88</v>
      </c>
      <c r="C4" t="s">
        <v>81</v>
      </c>
      <c r="D4" t="s">
        <v>82</v>
      </c>
      <c r="E4" t="s">
        <v>83</v>
      </c>
      <c r="F4" s="22">
        <v>46104</v>
      </c>
      <c r="G4" s="22">
        <v>46110</v>
      </c>
      <c r="H4" s="23">
        <v>55.98</v>
      </c>
      <c r="I4" s="23">
        <v>65.98</v>
      </c>
      <c r="J4" s="23">
        <v>10</v>
      </c>
      <c r="K4">
        <v>20</v>
      </c>
      <c r="L4" s="23">
        <v>200</v>
      </c>
      <c r="M4" s="24">
        <f t="shared" si="2"/>
        <v>0.1</v>
      </c>
      <c r="N4" s="23">
        <f xml:space="preserve"> $AI$6 * L4</f>
        <v>183.57721421906191</v>
      </c>
      <c r="O4" s="25">
        <f t="shared" si="3"/>
        <v>-2</v>
      </c>
      <c r="P4">
        <f t="shared" si="0"/>
        <v>7</v>
      </c>
      <c r="Q4" s="22">
        <f t="shared" si="1"/>
        <v>46082</v>
      </c>
      <c r="R4" s="22">
        <f t="shared" si="1"/>
        <v>46082</v>
      </c>
      <c r="S4" s="17">
        <v>0</v>
      </c>
      <c r="T4" s="17">
        <v>0</v>
      </c>
      <c r="U4" s="17">
        <v>183.57721421906191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183.57721421906191</v>
      </c>
      <c r="AG4" t="s">
        <v>89</v>
      </c>
      <c r="AH4" s="17">
        <v>1586565</v>
      </c>
    </row>
    <row r="5" spans="1:35">
      <c r="A5" t="s">
        <v>90</v>
      </c>
      <c r="B5" t="s">
        <v>28</v>
      </c>
      <c r="C5" t="s">
        <v>81</v>
      </c>
      <c r="D5" t="s">
        <v>82</v>
      </c>
      <c r="E5" t="s">
        <v>83</v>
      </c>
      <c r="F5" s="22">
        <v>46104</v>
      </c>
      <c r="G5" s="22">
        <v>46110</v>
      </c>
      <c r="H5" s="23">
        <v>29.98</v>
      </c>
      <c r="I5" s="23">
        <v>35.979999999999997</v>
      </c>
      <c r="J5" s="23">
        <v>6</v>
      </c>
      <c r="K5">
        <v>100</v>
      </c>
      <c r="L5" s="23">
        <v>600</v>
      </c>
      <c r="M5" s="24">
        <f t="shared" si="2"/>
        <v>0.16666666666666666</v>
      </c>
      <c r="N5" s="23">
        <f xml:space="preserve"> $AI$6 * L5</f>
        <v>550.73164265718572</v>
      </c>
      <c r="O5" s="25">
        <f t="shared" si="3"/>
        <v>-8</v>
      </c>
      <c r="P5">
        <f t="shared" si="0"/>
        <v>7</v>
      </c>
      <c r="Q5" s="22">
        <f t="shared" si="1"/>
        <v>46082</v>
      </c>
      <c r="R5" s="22">
        <f t="shared" si="1"/>
        <v>46082</v>
      </c>
      <c r="S5" s="17">
        <v>0</v>
      </c>
      <c r="T5" s="17">
        <v>0</v>
      </c>
      <c r="U5" s="17">
        <v>550.73164265718572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550.73164265718572</v>
      </c>
      <c r="AG5" t="s">
        <v>91</v>
      </c>
      <c r="AH5" s="17">
        <f xml:space="preserve"> 1456285.91438733 - AH4</f>
        <v>-130279.08561267005</v>
      </c>
      <c r="AI5" s="16">
        <f xml:space="preserve"> AH4 + AH5</f>
        <v>1456285.9143873299</v>
      </c>
    </row>
    <row r="6" spans="1:35">
      <c r="A6" t="s">
        <v>92</v>
      </c>
      <c r="B6" t="s">
        <v>28</v>
      </c>
      <c r="C6" t="s">
        <v>81</v>
      </c>
      <c r="D6" t="s">
        <v>82</v>
      </c>
      <c r="E6" t="s">
        <v>83</v>
      </c>
      <c r="F6" s="22">
        <v>46104</v>
      </c>
      <c r="G6" s="22">
        <v>46110</v>
      </c>
      <c r="H6" s="23">
        <v>29.98</v>
      </c>
      <c r="I6" s="23">
        <v>35.979999999999997</v>
      </c>
      <c r="J6" s="23">
        <v>6</v>
      </c>
      <c r="K6">
        <v>100</v>
      </c>
      <c r="L6" s="23">
        <v>600</v>
      </c>
      <c r="M6" s="24">
        <f t="shared" si="2"/>
        <v>0.16666666666666666</v>
      </c>
      <c r="N6" s="23">
        <f xml:space="preserve"> $AI$6 * L6</f>
        <v>550.73164265718572</v>
      </c>
      <c r="O6" s="25">
        <f t="shared" si="3"/>
        <v>-8</v>
      </c>
      <c r="P6">
        <f t="shared" si="0"/>
        <v>7</v>
      </c>
      <c r="Q6" s="22">
        <f t="shared" si="1"/>
        <v>46082</v>
      </c>
      <c r="R6" s="22">
        <f t="shared" si="1"/>
        <v>46082</v>
      </c>
      <c r="S6" s="17">
        <v>0</v>
      </c>
      <c r="T6" s="17">
        <v>0</v>
      </c>
      <c r="U6" s="17">
        <v>550.73164265718572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550.73164265718572</v>
      </c>
      <c r="AG6" t="s">
        <v>93</v>
      </c>
      <c r="AH6" s="27">
        <f xml:space="preserve"> AH5 / AH4</f>
        <v>-8.2113928904690353E-2</v>
      </c>
      <c r="AI6" s="27">
        <f xml:space="preserve"> 1 + AH6</f>
        <v>0.91788607109530962</v>
      </c>
    </row>
    <row r="7" spans="1:35">
      <c r="A7" t="s">
        <v>27</v>
      </c>
      <c r="B7" t="s">
        <v>28</v>
      </c>
      <c r="C7" t="s">
        <v>81</v>
      </c>
      <c r="D7" t="s">
        <v>82</v>
      </c>
      <c r="E7" t="s">
        <v>83</v>
      </c>
      <c r="F7" s="22">
        <v>46104</v>
      </c>
      <c r="G7" s="22">
        <v>46110</v>
      </c>
      <c r="H7" s="23">
        <v>29.98</v>
      </c>
      <c r="I7" s="23">
        <v>35.979999999999997</v>
      </c>
      <c r="J7" s="23">
        <v>6</v>
      </c>
      <c r="K7">
        <v>100</v>
      </c>
      <c r="L7" s="23">
        <v>600</v>
      </c>
      <c r="M7" s="24">
        <f t="shared" si="2"/>
        <v>0.16666666666666666</v>
      </c>
      <c r="N7" s="23">
        <f xml:space="preserve"> $AI$6 * L7</f>
        <v>550.73164265718572</v>
      </c>
      <c r="O7" s="25">
        <f t="shared" si="3"/>
        <v>-8</v>
      </c>
      <c r="P7">
        <f t="shared" si="0"/>
        <v>7</v>
      </c>
      <c r="Q7" s="22">
        <f t="shared" si="1"/>
        <v>46082</v>
      </c>
      <c r="R7" s="22">
        <f t="shared" si="1"/>
        <v>46082</v>
      </c>
      <c r="S7" s="17">
        <v>0</v>
      </c>
      <c r="T7" s="17">
        <v>0</v>
      </c>
      <c r="U7" s="17">
        <v>550.73164265718572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550.73164265718572</v>
      </c>
    </row>
    <row r="8" spans="1:35">
      <c r="A8" t="s">
        <v>94</v>
      </c>
      <c r="B8" t="s">
        <v>95</v>
      </c>
      <c r="C8" t="s">
        <v>81</v>
      </c>
      <c r="D8" t="s">
        <v>82</v>
      </c>
      <c r="E8" t="s">
        <v>83</v>
      </c>
      <c r="F8" s="22">
        <v>46104</v>
      </c>
      <c r="G8" s="22">
        <v>46110</v>
      </c>
      <c r="H8" s="23">
        <v>89.98</v>
      </c>
      <c r="I8" s="23">
        <v>109.98</v>
      </c>
      <c r="J8" s="23">
        <v>20</v>
      </c>
      <c r="K8">
        <v>20</v>
      </c>
      <c r="L8" s="23">
        <v>400</v>
      </c>
      <c r="M8" s="24">
        <f t="shared" si="2"/>
        <v>0.05</v>
      </c>
      <c r="N8" s="23">
        <f xml:space="preserve"> $AI$6 * L8</f>
        <v>367.15442843812383</v>
      </c>
      <c r="O8" s="25">
        <f t="shared" si="3"/>
        <v>-2</v>
      </c>
      <c r="P8">
        <f t="shared" si="0"/>
        <v>7</v>
      </c>
      <c r="Q8" s="22">
        <f t="shared" si="1"/>
        <v>46082</v>
      </c>
      <c r="R8" s="22">
        <f t="shared" si="1"/>
        <v>46082</v>
      </c>
      <c r="S8" s="17">
        <v>0</v>
      </c>
      <c r="T8" s="17">
        <v>0</v>
      </c>
      <c r="U8" s="17">
        <v>367.15442843812383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367.15442843812383</v>
      </c>
      <c r="AI8" s="27"/>
    </row>
    <row r="9" spans="1:35">
      <c r="A9" t="s">
        <v>35</v>
      </c>
      <c r="B9" t="s">
        <v>96</v>
      </c>
      <c r="C9" t="s">
        <v>81</v>
      </c>
      <c r="D9" t="s">
        <v>82</v>
      </c>
      <c r="E9" t="s">
        <v>83</v>
      </c>
      <c r="F9" s="22">
        <v>46104</v>
      </c>
      <c r="G9" s="22">
        <v>46110</v>
      </c>
      <c r="H9" s="23">
        <v>99.98</v>
      </c>
      <c r="I9" s="23">
        <v>119.98</v>
      </c>
      <c r="J9" s="23">
        <v>20</v>
      </c>
      <c r="K9">
        <v>30</v>
      </c>
      <c r="L9" s="23">
        <v>600</v>
      </c>
      <c r="M9" s="24">
        <f t="shared" si="2"/>
        <v>0.05</v>
      </c>
      <c r="N9" s="23">
        <f xml:space="preserve"> $AI$6 * L9</f>
        <v>550.73164265718572</v>
      </c>
      <c r="O9" s="25">
        <f t="shared" si="3"/>
        <v>-2</v>
      </c>
      <c r="P9">
        <f t="shared" si="0"/>
        <v>7</v>
      </c>
      <c r="Q9" s="22">
        <f t="shared" si="1"/>
        <v>46082</v>
      </c>
      <c r="R9" s="22">
        <f t="shared" si="1"/>
        <v>46082</v>
      </c>
      <c r="S9" s="17">
        <v>0</v>
      </c>
      <c r="T9" s="17">
        <v>0</v>
      </c>
      <c r="U9" s="17">
        <v>550.73164265718572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550.73164265718572</v>
      </c>
    </row>
    <row r="10" spans="1:35">
      <c r="A10" t="s">
        <v>97</v>
      </c>
      <c r="B10" t="s">
        <v>98</v>
      </c>
      <c r="C10" t="s">
        <v>81</v>
      </c>
      <c r="D10" t="s">
        <v>82</v>
      </c>
      <c r="E10" t="s">
        <v>83</v>
      </c>
      <c r="F10" s="22">
        <v>46104</v>
      </c>
      <c r="G10" s="22">
        <v>46110</v>
      </c>
      <c r="H10" s="23">
        <v>124.98</v>
      </c>
      <c r="I10" s="23">
        <v>149.97999999999999</v>
      </c>
      <c r="J10" s="23">
        <v>25</v>
      </c>
      <c r="K10">
        <v>20</v>
      </c>
      <c r="L10" s="23">
        <v>500</v>
      </c>
      <c r="M10" s="24">
        <f t="shared" si="2"/>
        <v>0.04</v>
      </c>
      <c r="N10" s="23">
        <f xml:space="preserve"> $AI$6 * L10</f>
        <v>458.9430355476548</v>
      </c>
      <c r="O10" s="25">
        <f t="shared" si="3"/>
        <v>-2</v>
      </c>
      <c r="P10">
        <f t="shared" si="0"/>
        <v>7</v>
      </c>
      <c r="Q10" s="22">
        <f t="shared" si="1"/>
        <v>46082</v>
      </c>
      <c r="R10" s="22">
        <f t="shared" si="1"/>
        <v>46082</v>
      </c>
      <c r="S10" s="17">
        <v>0</v>
      </c>
      <c r="T10" s="17">
        <v>0</v>
      </c>
      <c r="U10" s="17">
        <v>458.9430355476548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458.9430355476548</v>
      </c>
    </row>
    <row r="11" spans="1:35">
      <c r="A11" t="s">
        <v>45</v>
      </c>
      <c r="B11" t="s">
        <v>99</v>
      </c>
      <c r="C11" t="s">
        <v>81</v>
      </c>
      <c r="D11" t="s">
        <v>82</v>
      </c>
      <c r="E11" t="s">
        <v>83</v>
      </c>
      <c r="F11" s="22">
        <v>46104</v>
      </c>
      <c r="G11" s="22">
        <v>46110</v>
      </c>
      <c r="H11" s="23">
        <v>124.98</v>
      </c>
      <c r="I11" s="23">
        <v>149.97999999999999</v>
      </c>
      <c r="J11" s="23">
        <v>25</v>
      </c>
      <c r="K11">
        <v>100</v>
      </c>
      <c r="L11" s="23">
        <v>2500</v>
      </c>
      <c r="M11" s="24">
        <f t="shared" si="2"/>
        <v>0.04</v>
      </c>
      <c r="N11" s="23">
        <f xml:space="preserve"> $AI$6 * L11</f>
        <v>2294.7151777382742</v>
      </c>
      <c r="O11" s="25">
        <f t="shared" si="3"/>
        <v>-8</v>
      </c>
      <c r="P11">
        <f t="shared" si="0"/>
        <v>7</v>
      </c>
      <c r="Q11" s="22">
        <f t="shared" si="1"/>
        <v>46082</v>
      </c>
      <c r="R11" s="22">
        <f t="shared" si="1"/>
        <v>46082</v>
      </c>
      <c r="S11" s="17">
        <v>0</v>
      </c>
      <c r="T11" s="17">
        <v>0</v>
      </c>
      <c r="U11" s="17">
        <v>2294.7151777382742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2294.7151777382742</v>
      </c>
    </row>
    <row r="12" spans="1:35">
      <c r="A12" t="s">
        <v>100</v>
      </c>
      <c r="B12" t="s">
        <v>44</v>
      </c>
      <c r="C12" t="s">
        <v>81</v>
      </c>
      <c r="D12" t="s">
        <v>82</v>
      </c>
      <c r="E12" t="s">
        <v>83</v>
      </c>
      <c r="F12" s="22">
        <v>46104</v>
      </c>
      <c r="G12" s="22">
        <v>46110</v>
      </c>
      <c r="H12" s="23">
        <v>84.98</v>
      </c>
      <c r="I12" s="23">
        <v>99.98</v>
      </c>
      <c r="J12" s="23">
        <v>15</v>
      </c>
      <c r="K12">
        <v>100</v>
      </c>
      <c r="L12" s="23">
        <v>1500</v>
      </c>
      <c r="M12" s="24">
        <f t="shared" si="2"/>
        <v>6.6666666666666666E-2</v>
      </c>
      <c r="N12" s="23">
        <f xml:space="preserve"> $AI$6 * L12</f>
        <v>1376.8291066429645</v>
      </c>
      <c r="O12" s="25">
        <f t="shared" si="3"/>
        <v>-8</v>
      </c>
      <c r="P12">
        <f t="shared" si="0"/>
        <v>7</v>
      </c>
      <c r="Q12" s="22">
        <f t="shared" si="1"/>
        <v>46082</v>
      </c>
      <c r="R12" s="22">
        <f t="shared" si="1"/>
        <v>46082</v>
      </c>
      <c r="S12" s="17">
        <v>0</v>
      </c>
      <c r="T12" s="17">
        <v>0</v>
      </c>
      <c r="U12" s="17">
        <v>1376.8291066429645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1376.8291066429645</v>
      </c>
    </row>
    <row r="13" spans="1:35">
      <c r="A13" t="s">
        <v>43</v>
      </c>
      <c r="B13" t="s">
        <v>101</v>
      </c>
      <c r="C13" t="s">
        <v>81</v>
      </c>
      <c r="D13" t="s">
        <v>82</v>
      </c>
      <c r="E13" t="s">
        <v>83</v>
      </c>
      <c r="F13" s="22">
        <v>46104</v>
      </c>
      <c r="G13" s="22">
        <v>46110</v>
      </c>
      <c r="H13" s="23">
        <v>84.98</v>
      </c>
      <c r="I13" s="23">
        <v>99.98</v>
      </c>
      <c r="J13" s="23">
        <v>15</v>
      </c>
      <c r="K13">
        <v>50</v>
      </c>
      <c r="L13" s="23">
        <v>750</v>
      </c>
      <c r="M13" s="24">
        <f t="shared" si="2"/>
        <v>6.6666666666666666E-2</v>
      </c>
      <c r="N13" s="23">
        <f xml:space="preserve"> $AI$6 * L13</f>
        <v>688.41455332148223</v>
      </c>
      <c r="O13" s="25">
        <f t="shared" si="3"/>
        <v>-4</v>
      </c>
      <c r="P13">
        <f t="shared" si="0"/>
        <v>7</v>
      </c>
      <c r="Q13" s="22">
        <f t="shared" si="1"/>
        <v>46082</v>
      </c>
      <c r="R13" s="22">
        <f t="shared" si="1"/>
        <v>46082</v>
      </c>
      <c r="S13" s="17">
        <v>0</v>
      </c>
      <c r="T13" s="17">
        <v>0</v>
      </c>
      <c r="U13" s="17">
        <v>688.41455332148223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688.41455332148223</v>
      </c>
    </row>
    <row r="14" spans="1:35">
      <c r="A14" t="s">
        <v>102</v>
      </c>
      <c r="B14" t="s">
        <v>50</v>
      </c>
      <c r="C14" t="s">
        <v>81</v>
      </c>
      <c r="D14" t="s">
        <v>82</v>
      </c>
      <c r="E14" t="s">
        <v>83</v>
      </c>
      <c r="F14" s="22">
        <v>46104</v>
      </c>
      <c r="G14" s="22">
        <v>46110</v>
      </c>
      <c r="H14" s="23">
        <v>49.98</v>
      </c>
      <c r="I14" s="23">
        <v>59.98</v>
      </c>
      <c r="J14" s="23">
        <v>10</v>
      </c>
      <c r="K14">
        <v>40</v>
      </c>
      <c r="L14" s="23">
        <v>400</v>
      </c>
      <c r="M14" s="24">
        <f t="shared" si="2"/>
        <v>0.1</v>
      </c>
      <c r="N14" s="23">
        <f xml:space="preserve"> $AI$6 * L14</f>
        <v>367.15442843812383</v>
      </c>
      <c r="O14" s="25">
        <f t="shared" si="3"/>
        <v>-3</v>
      </c>
      <c r="P14">
        <f t="shared" si="0"/>
        <v>7</v>
      </c>
      <c r="Q14" s="22">
        <f t="shared" si="1"/>
        <v>46082</v>
      </c>
      <c r="R14" s="22">
        <f t="shared" si="1"/>
        <v>46082</v>
      </c>
      <c r="S14" s="17">
        <v>0</v>
      </c>
      <c r="T14" s="17">
        <v>0</v>
      </c>
      <c r="U14" s="17">
        <v>367.15442843812383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367.15442843812383</v>
      </c>
    </row>
    <row r="15" spans="1:35">
      <c r="A15" t="s">
        <v>39</v>
      </c>
      <c r="B15" t="s">
        <v>80</v>
      </c>
      <c r="C15" t="s">
        <v>81</v>
      </c>
      <c r="D15" t="s">
        <v>10</v>
      </c>
      <c r="E15" t="s">
        <v>83</v>
      </c>
      <c r="F15" s="22">
        <v>46104</v>
      </c>
      <c r="G15" s="22">
        <v>46110</v>
      </c>
      <c r="H15" s="23">
        <v>74.98</v>
      </c>
      <c r="I15" s="23">
        <v>89.98</v>
      </c>
      <c r="J15" s="23">
        <v>15</v>
      </c>
      <c r="K15">
        <v>300</v>
      </c>
      <c r="L15" s="23">
        <v>4500</v>
      </c>
      <c r="M15" s="24">
        <f t="shared" si="2"/>
        <v>6.6666666666666666E-2</v>
      </c>
      <c r="N15" s="23">
        <f xml:space="preserve"> $AI$6 * L15</f>
        <v>4130.4873199288932</v>
      </c>
      <c r="O15" s="25">
        <f t="shared" si="3"/>
        <v>-25</v>
      </c>
      <c r="P15">
        <f t="shared" si="0"/>
        <v>7</v>
      </c>
      <c r="Q15" s="22">
        <f t="shared" si="1"/>
        <v>46082</v>
      </c>
      <c r="R15" s="22">
        <f t="shared" si="1"/>
        <v>46082</v>
      </c>
      <c r="S15" s="17">
        <v>0</v>
      </c>
      <c r="T15" s="17">
        <v>0</v>
      </c>
      <c r="U15" s="17">
        <v>4130.4873199288932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4130.4873199288932</v>
      </c>
    </row>
    <row r="16" spans="1:35">
      <c r="A16" t="s">
        <v>84</v>
      </c>
      <c r="B16" t="s">
        <v>85</v>
      </c>
      <c r="C16" t="s">
        <v>81</v>
      </c>
      <c r="D16" t="s">
        <v>10</v>
      </c>
      <c r="E16" t="s">
        <v>83</v>
      </c>
      <c r="F16" s="22">
        <v>46104</v>
      </c>
      <c r="G16" s="22">
        <v>46110</v>
      </c>
      <c r="H16" s="23">
        <v>99.98</v>
      </c>
      <c r="I16" s="23">
        <v>159.97999999999999</v>
      </c>
      <c r="J16" s="23">
        <v>60</v>
      </c>
      <c r="K16">
        <v>350</v>
      </c>
      <c r="L16" s="23">
        <v>21000</v>
      </c>
      <c r="M16" s="24">
        <f t="shared" si="2"/>
        <v>1.6666666666666666E-2</v>
      </c>
      <c r="N16" s="23">
        <f xml:space="preserve"> $AI$6 * L16</f>
        <v>19275.607493001502</v>
      </c>
      <c r="O16" s="25">
        <f t="shared" si="3"/>
        <v>-29</v>
      </c>
      <c r="P16">
        <f t="shared" si="0"/>
        <v>7</v>
      </c>
      <c r="Q16" s="22">
        <f t="shared" si="1"/>
        <v>46082</v>
      </c>
      <c r="R16" s="22">
        <f t="shared" si="1"/>
        <v>46082</v>
      </c>
      <c r="S16" s="17">
        <v>0</v>
      </c>
      <c r="T16" s="17">
        <v>0</v>
      </c>
      <c r="U16" s="17">
        <v>19275.607493001502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19275.607493001502</v>
      </c>
    </row>
    <row r="17" spans="1:31">
      <c r="A17" t="s">
        <v>87</v>
      </c>
      <c r="B17" t="s">
        <v>88</v>
      </c>
      <c r="C17" t="s">
        <v>81</v>
      </c>
      <c r="D17" t="s">
        <v>10</v>
      </c>
      <c r="E17" t="s">
        <v>83</v>
      </c>
      <c r="F17" s="22">
        <v>46104</v>
      </c>
      <c r="G17" s="22">
        <v>46110</v>
      </c>
      <c r="H17" s="23">
        <v>55.98</v>
      </c>
      <c r="I17" s="23">
        <v>65.98</v>
      </c>
      <c r="J17" s="23">
        <v>10</v>
      </c>
      <c r="K17">
        <v>200</v>
      </c>
      <c r="L17" s="23">
        <v>2000</v>
      </c>
      <c r="M17" s="24">
        <f t="shared" si="2"/>
        <v>0.1</v>
      </c>
      <c r="N17" s="23">
        <f xml:space="preserve"> $AI$6 * L17</f>
        <v>1835.7721421906192</v>
      </c>
      <c r="O17" s="25">
        <f t="shared" si="3"/>
        <v>-16</v>
      </c>
      <c r="P17">
        <f t="shared" si="0"/>
        <v>7</v>
      </c>
      <c r="Q17" s="22">
        <f t="shared" si="1"/>
        <v>46082</v>
      </c>
      <c r="R17" s="22">
        <f t="shared" si="1"/>
        <v>46082</v>
      </c>
      <c r="S17" s="17">
        <v>0</v>
      </c>
      <c r="T17" s="17">
        <v>0</v>
      </c>
      <c r="U17" s="17">
        <v>1835.7721421906192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1835.7721421906192</v>
      </c>
    </row>
    <row r="18" spans="1:31">
      <c r="A18" t="s">
        <v>27</v>
      </c>
      <c r="B18" t="s">
        <v>28</v>
      </c>
      <c r="C18" t="s">
        <v>81</v>
      </c>
      <c r="D18" t="s">
        <v>10</v>
      </c>
      <c r="E18" t="s">
        <v>83</v>
      </c>
      <c r="F18" s="22">
        <v>46104</v>
      </c>
      <c r="G18" s="22">
        <v>46110</v>
      </c>
      <c r="H18" s="23">
        <v>29.98</v>
      </c>
      <c r="I18" s="23">
        <v>35.979999999999997</v>
      </c>
      <c r="J18" s="23">
        <v>6</v>
      </c>
      <c r="K18">
        <v>2400</v>
      </c>
      <c r="L18" s="23">
        <v>14400</v>
      </c>
      <c r="M18" s="24">
        <f t="shared" si="2"/>
        <v>0.16666666666666666</v>
      </c>
      <c r="N18" s="23">
        <f xml:space="preserve"> $AI$6 * L18</f>
        <v>13217.559423772458</v>
      </c>
      <c r="O18" s="25">
        <f t="shared" si="3"/>
        <v>-197</v>
      </c>
      <c r="P18">
        <f t="shared" si="0"/>
        <v>7</v>
      </c>
      <c r="Q18" s="22">
        <f t="shared" si="1"/>
        <v>46082</v>
      </c>
      <c r="R18" s="22">
        <f t="shared" si="1"/>
        <v>46082</v>
      </c>
      <c r="S18" s="17">
        <v>0</v>
      </c>
      <c r="T18" s="17">
        <v>0</v>
      </c>
      <c r="U18" s="17">
        <v>13217.559423772458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13217.559423772458</v>
      </c>
    </row>
    <row r="19" spans="1:31">
      <c r="A19" t="s">
        <v>94</v>
      </c>
      <c r="B19" t="s">
        <v>95</v>
      </c>
      <c r="C19" t="s">
        <v>81</v>
      </c>
      <c r="D19" t="s">
        <v>10</v>
      </c>
      <c r="E19" t="s">
        <v>83</v>
      </c>
      <c r="F19" s="22">
        <v>46104</v>
      </c>
      <c r="G19" s="22">
        <v>46110</v>
      </c>
      <c r="H19" s="23">
        <v>89.98</v>
      </c>
      <c r="I19" s="23">
        <v>109.98</v>
      </c>
      <c r="J19" s="23">
        <v>20</v>
      </c>
      <c r="K19">
        <v>350</v>
      </c>
      <c r="L19" s="23">
        <v>7000</v>
      </c>
      <c r="M19" s="24">
        <f t="shared" si="2"/>
        <v>0.05</v>
      </c>
      <c r="N19" s="23">
        <f xml:space="preserve"> $AI$6 * L19</f>
        <v>6425.2024976671673</v>
      </c>
      <c r="O19" s="25">
        <f t="shared" si="3"/>
        <v>-29</v>
      </c>
      <c r="P19">
        <f t="shared" si="0"/>
        <v>7</v>
      </c>
      <c r="Q19" s="22">
        <f t="shared" si="1"/>
        <v>46082</v>
      </c>
      <c r="R19" s="22">
        <f t="shared" si="1"/>
        <v>46082</v>
      </c>
      <c r="S19" s="17">
        <v>0</v>
      </c>
      <c r="T19" s="17">
        <v>0</v>
      </c>
      <c r="U19" s="17">
        <v>6425.2024976671673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6425.2024976671673</v>
      </c>
    </row>
    <row r="20" spans="1:31">
      <c r="A20" t="s">
        <v>100</v>
      </c>
      <c r="B20" t="s">
        <v>44</v>
      </c>
      <c r="C20" t="s">
        <v>81</v>
      </c>
      <c r="D20" t="s">
        <v>10</v>
      </c>
      <c r="E20" t="s">
        <v>83</v>
      </c>
      <c r="F20" s="22">
        <v>46104</v>
      </c>
      <c r="G20" s="22">
        <v>46110</v>
      </c>
      <c r="H20" s="23">
        <v>84.98</v>
      </c>
      <c r="I20" s="23">
        <v>99.98</v>
      </c>
      <c r="J20" s="23">
        <v>15</v>
      </c>
      <c r="K20">
        <v>1000</v>
      </c>
      <c r="L20" s="23">
        <v>15000</v>
      </c>
      <c r="M20" s="24">
        <f t="shared" si="2"/>
        <v>6.6666666666666666E-2</v>
      </c>
      <c r="N20" s="23">
        <f xml:space="preserve"> $AI$6 * L20</f>
        <v>13768.291066429645</v>
      </c>
      <c r="O20" s="25">
        <f t="shared" si="3"/>
        <v>-82</v>
      </c>
      <c r="P20">
        <f t="shared" si="0"/>
        <v>7</v>
      </c>
      <c r="Q20" s="22">
        <f t="shared" si="1"/>
        <v>46082</v>
      </c>
      <c r="R20" s="22">
        <f t="shared" si="1"/>
        <v>46082</v>
      </c>
      <c r="S20" s="17">
        <v>0</v>
      </c>
      <c r="T20" s="17">
        <v>0</v>
      </c>
      <c r="U20" s="17">
        <v>13768.291066429645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13768.291066429645</v>
      </c>
    </row>
    <row r="21" spans="1:31">
      <c r="A21" t="s">
        <v>43</v>
      </c>
      <c r="B21" t="s">
        <v>101</v>
      </c>
      <c r="C21" t="s">
        <v>81</v>
      </c>
      <c r="D21" t="s">
        <v>10</v>
      </c>
      <c r="E21" t="s">
        <v>83</v>
      </c>
      <c r="F21" s="22">
        <v>46104</v>
      </c>
      <c r="G21" s="22">
        <v>46110</v>
      </c>
      <c r="H21" s="23">
        <v>84.98</v>
      </c>
      <c r="I21" s="23">
        <v>99.98</v>
      </c>
      <c r="J21" s="23">
        <v>15</v>
      </c>
      <c r="K21">
        <v>800</v>
      </c>
      <c r="L21" s="23">
        <v>12000</v>
      </c>
      <c r="M21" s="24">
        <f t="shared" si="2"/>
        <v>6.6666666666666666E-2</v>
      </c>
      <c r="N21" s="23">
        <f xml:space="preserve"> $AI$6 * L21</f>
        <v>11014.632853143716</v>
      </c>
      <c r="O21" s="25">
        <f t="shared" si="3"/>
        <v>-66</v>
      </c>
      <c r="P21">
        <f t="shared" si="0"/>
        <v>7</v>
      </c>
      <c r="Q21" s="22">
        <f t="shared" si="1"/>
        <v>46082</v>
      </c>
      <c r="R21" s="22">
        <f t="shared" si="1"/>
        <v>46082</v>
      </c>
      <c r="S21" s="17">
        <v>0</v>
      </c>
      <c r="T21" s="17">
        <v>0</v>
      </c>
      <c r="U21" s="17">
        <v>11014.632853143716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11014.632853143716</v>
      </c>
    </row>
    <row r="22" spans="1:31">
      <c r="A22" t="s">
        <v>102</v>
      </c>
      <c r="B22" t="s">
        <v>50</v>
      </c>
      <c r="C22" t="s">
        <v>81</v>
      </c>
      <c r="D22" t="s">
        <v>10</v>
      </c>
      <c r="E22" t="s">
        <v>83</v>
      </c>
      <c r="F22" s="22">
        <v>46104</v>
      </c>
      <c r="G22" s="22">
        <v>46110</v>
      </c>
      <c r="H22" s="23">
        <v>49.98</v>
      </c>
      <c r="I22" s="23">
        <v>59.98</v>
      </c>
      <c r="J22" s="23">
        <v>10</v>
      </c>
      <c r="K22">
        <v>1500</v>
      </c>
      <c r="L22" s="23">
        <v>15000</v>
      </c>
      <c r="M22" s="24">
        <f t="shared" si="2"/>
        <v>0.1</v>
      </c>
      <c r="N22" s="23">
        <f xml:space="preserve"> $AI$6 * L22</f>
        <v>13768.291066429645</v>
      </c>
      <c r="O22" s="25">
        <f t="shared" si="3"/>
        <v>-123</v>
      </c>
      <c r="P22">
        <f t="shared" si="0"/>
        <v>7</v>
      </c>
      <c r="Q22" s="22">
        <f t="shared" si="1"/>
        <v>46082</v>
      </c>
      <c r="R22" s="22">
        <f t="shared" si="1"/>
        <v>46082</v>
      </c>
      <c r="S22" s="17">
        <v>0</v>
      </c>
      <c r="T22" s="17">
        <v>0</v>
      </c>
      <c r="U22" s="17">
        <v>13768.291066429645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13768.291066429645</v>
      </c>
    </row>
    <row r="23" spans="1:31">
      <c r="A23" t="s">
        <v>84</v>
      </c>
      <c r="B23" t="s">
        <v>85</v>
      </c>
      <c r="C23" t="s">
        <v>81</v>
      </c>
      <c r="D23" t="s">
        <v>82</v>
      </c>
      <c r="E23" t="s">
        <v>103</v>
      </c>
      <c r="F23" s="22">
        <v>46125</v>
      </c>
      <c r="G23" s="22">
        <v>46131</v>
      </c>
      <c r="H23" s="23">
        <v>99.98</v>
      </c>
      <c r="I23" s="23">
        <v>159.97999999999999</v>
      </c>
      <c r="J23" s="23">
        <v>60</v>
      </c>
      <c r="K23">
        <v>50</v>
      </c>
      <c r="L23" s="23">
        <v>3000</v>
      </c>
      <c r="M23" s="24">
        <f t="shared" si="2"/>
        <v>1.6666666666666666E-2</v>
      </c>
      <c r="N23" s="23">
        <f xml:space="preserve"> $AI$6 * L23</f>
        <v>2753.6582132859289</v>
      </c>
      <c r="O23" s="25">
        <f t="shared" si="3"/>
        <v>-4</v>
      </c>
      <c r="P23">
        <f t="shared" si="0"/>
        <v>7</v>
      </c>
      <c r="Q23" s="22">
        <f t="shared" si="1"/>
        <v>46113</v>
      </c>
      <c r="R23" s="22">
        <f t="shared" si="1"/>
        <v>46113</v>
      </c>
      <c r="S23" s="17">
        <v>0</v>
      </c>
      <c r="T23" s="17">
        <v>0</v>
      </c>
      <c r="U23" s="17">
        <v>0</v>
      </c>
      <c r="V23" s="17">
        <v>2753.6582132859289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2753.6582132859289</v>
      </c>
    </row>
    <row r="24" spans="1:31">
      <c r="A24" t="s">
        <v>87</v>
      </c>
      <c r="B24" t="s">
        <v>88</v>
      </c>
      <c r="C24" t="s">
        <v>81</v>
      </c>
      <c r="D24" t="s">
        <v>82</v>
      </c>
      <c r="E24" t="s">
        <v>103</v>
      </c>
      <c r="F24" s="22">
        <v>46125</v>
      </c>
      <c r="G24" s="22">
        <v>46131</v>
      </c>
      <c r="H24" s="23">
        <v>55.98</v>
      </c>
      <c r="I24" s="23">
        <v>65.98</v>
      </c>
      <c r="J24" s="23">
        <v>10</v>
      </c>
      <c r="K24">
        <v>20</v>
      </c>
      <c r="L24" s="23">
        <v>200</v>
      </c>
      <c r="M24" s="24">
        <f t="shared" si="2"/>
        <v>0.1</v>
      </c>
      <c r="N24" s="23">
        <f xml:space="preserve"> $AI$6 * L24</f>
        <v>183.57721421906191</v>
      </c>
      <c r="O24" s="25">
        <f t="shared" si="3"/>
        <v>-2</v>
      </c>
      <c r="P24">
        <f t="shared" si="0"/>
        <v>7</v>
      </c>
      <c r="Q24" s="22">
        <f t="shared" si="1"/>
        <v>46113</v>
      </c>
      <c r="R24" s="22">
        <f t="shared" si="1"/>
        <v>46113</v>
      </c>
      <c r="S24" s="17">
        <v>0</v>
      </c>
      <c r="T24" s="17">
        <v>0</v>
      </c>
      <c r="U24" s="17">
        <v>0</v>
      </c>
      <c r="V24" s="17">
        <v>183.57721421906191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183.57721421906191</v>
      </c>
    </row>
    <row r="25" spans="1:31">
      <c r="A25" t="s">
        <v>90</v>
      </c>
      <c r="B25" t="s">
        <v>28</v>
      </c>
      <c r="C25" t="s">
        <v>81</v>
      </c>
      <c r="D25" t="s">
        <v>82</v>
      </c>
      <c r="E25" t="s">
        <v>103</v>
      </c>
      <c r="F25" s="22">
        <v>46125</v>
      </c>
      <c r="G25" s="22">
        <v>46131</v>
      </c>
      <c r="H25" s="23">
        <v>29.98</v>
      </c>
      <c r="I25" s="23">
        <v>35.979999999999997</v>
      </c>
      <c r="J25" s="23">
        <v>6</v>
      </c>
      <c r="K25">
        <v>100</v>
      </c>
      <c r="L25" s="23">
        <v>600</v>
      </c>
      <c r="M25" s="24">
        <f t="shared" si="2"/>
        <v>0.16666666666666666</v>
      </c>
      <c r="N25" s="23">
        <f xml:space="preserve"> $AI$6 * L25</f>
        <v>550.73164265718572</v>
      </c>
      <c r="O25" s="25">
        <f t="shared" si="3"/>
        <v>-8</v>
      </c>
      <c r="P25">
        <f t="shared" si="0"/>
        <v>7</v>
      </c>
      <c r="Q25" s="22">
        <f t="shared" si="1"/>
        <v>46113</v>
      </c>
      <c r="R25" s="22">
        <f t="shared" si="1"/>
        <v>46113</v>
      </c>
      <c r="S25" s="17">
        <v>0</v>
      </c>
      <c r="T25" s="17">
        <v>0</v>
      </c>
      <c r="U25" s="17">
        <v>0</v>
      </c>
      <c r="V25" s="17">
        <v>550.73164265718572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550.73164265718572</v>
      </c>
    </row>
    <row r="26" spans="1:31">
      <c r="A26" t="s">
        <v>92</v>
      </c>
      <c r="B26" t="s">
        <v>28</v>
      </c>
      <c r="C26" t="s">
        <v>81</v>
      </c>
      <c r="D26" t="s">
        <v>82</v>
      </c>
      <c r="E26" t="s">
        <v>103</v>
      </c>
      <c r="F26" s="22">
        <v>46125</v>
      </c>
      <c r="G26" s="22">
        <v>46131</v>
      </c>
      <c r="H26" s="23">
        <v>29.98</v>
      </c>
      <c r="I26" s="23">
        <v>35.979999999999997</v>
      </c>
      <c r="J26" s="23">
        <v>6</v>
      </c>
      <c r="K26">
        <v>100</v>
      </c>
      <c r="L26" s="23">
        <v>600</v>
      </c>
      <c r="M26" s="24">
        <f t="shared" si="2"/>
        <v>0.16666666666666666</v>
      </c>
      <c r="N26" s="23">
        <f xml:space="preserve"> $AI$6 * L26</f>
        <v>550.73164265718572</v>
      </c>
      <c r="O26" s="25">
        <f t="shared" si="3"/>
        <v>-8</v>
      </c>
      <c r="P26">
        <f t="shared" si="0"/>
        <v>7</v>
      </c>
      <c r="Q26" s="22">
        <f t="shared" si="1"/>
        <v>46113</v>
      </c>
      <c r="R26" s="22">
        <f t="shared" si="1"/>
        <v>46113</v>
      </c>
      <c r="S26" s="17">
        <v>0</v>
      </c>
      <c r="T26" s="17">
        <v>0</v>
      </c>
      <c r="U26" s="17">
        <v>0</v>
      </c>
      <c r="V26" s="17">
        <v>550.73164265718572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550.73164265718572</v>
      </c>
    </row>
    <row r="27" spans="1:31">
      <c r="A27" t="s">
        <v>27</v>
      </c>
      <c r="B27" t="s">
        <v>28</v>
      </c>
      <c r="C27" t="s">
        <v>81</v>
      </c>
      <c r="D27" t="s">
        <v>82</v>
      </c>
      <c r="E27" t="s">
        <v>103</v>
      </c>
      <c r="F27" s="22">
        <v>46125</v>
      </c>
      <c r="G27" s="22">
        <v>46131</v>
      </c>
      <c r="H27" s="23">
        <v>29.98</v>
      </c>
      <c r="I27" s="23">
        <v>35.979999999999997</v>
      </c>
      <c r="J27" s="23">
        <v>6</v>
      </c>
      <c r="K27">
        <v>100</v>
      </c>
      <c r="L27" s="23">
        <v>600</v>
      </c>
      <c r="M27" s="24">
        <f t="shared" si="2"/>
        <v>0.16666666666666666</v>
      </c>
      <c r="N27" s="23">
        <f xml:space="preserve"> $AI$6 * L27</f>
        <v>550.73164265718572</v>
      </c>
      <c r="O27" s="25">
        <f t="shared" si="3"/>
        <v>-8</v>
      </c>
      <c r="P27">
        <f t="shared" si="0"/>
        <v>7</v>
      </c>
      <c r="Q27" s="22">
        <f t="shared" si="1"/>
        <v>46113</v>
      </c>
      <c r="R27" s="22">
        <f t="shared" si="1"/>
        <v>46113</v>
      </c>
      <c r="S27" s="17">
        <v>0</v>
      </c>
      <c r="T27" s="17">
        <v>0</v>
      </c>
      <c r="U27" s="17">
        <v>0</v>
      </c>
      <c r="V27" s="17">
        <v>550.73164265718572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550.73164265718572</v>
      </c>
    </row>
    <row r="28" spans="1:31">
      <c r="A28" t="s">
        <v>94</v>
      </c>
      <c r="B28" t="s">
        <v>95</v>
      </c>
      <c r="C28" t="s">
        <v>81</v>
      </c>
      <c r="D28" t="s">
        <v>82</v>
      </c>
      <c r="E28" t="s">
        <v>103</v>
      </c>
      <c r="F28" s="22">
        <v>46125</v>
      </c>
      <c r="G28" s="22">
        <v>46131</v>
      </c>
      <c r="H28" s="23">
        <v>89.98</v>
      </c>
      <c r="I28" s="23">
        <v>109.98</v>
      </c>
      <c r="J28" s="23">
        <v>20</v>
      </c>
      <c r="K28">
        <v>20</v>
      </c>
      <c r="L28" s="23">
        <v>400</v>
      </c>
      <c r="M28" s="24">
        <f t="shared" si="2"/>
        <v>0.05</v>
      </c>
      <c r="N28" s="23">
        <f xml:space="preserve"> $AI$6 * L28</f>
        <v>367.15442843812383</v>
      </c>
      <c r="O28" s="25">
        <f t="shared" si="3"/>
        <v>-2</v>
      </c>
      <c r="P28">
        <f t="shared" si="0"/>
        <v>7</v>
      </c>
      <c r="Q28" s="22">
        <f t="shared" si="1"/>
        <v>46113</v>
      </c>
      <c r="R28" s="22">
        <f t="shared" si="1"/>
        <v>46113</v>
      </c>
      <c r="S28" s="17">
        <v>0</v>
      </c>
      <c r="T28" s="17">
        <v>0</v>
      </c>
      <c r="U28" s="17">
        <v>0</v>
      </c>
      <c r="V28" s="17">
        <v>367.15442843812383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367.15442843812383</v>
      </c>
    </row>
    <row r="29" spans="1:31">
      <c r="A29" t="s">
        <v>94</v>
      </c>
      <c r="B29" t="s">
        <v>95</v>
      </c>
      <c r="C29" t="s">
        <v>81</v>
      </c>
      <c r="D29" t="s">
        <v>82</v>
      </c>
      <c r="E29" t="s">
        <v>103</v>
      </c>
      <c r="F29" s="22">
        <v>46125</v>
      </c>
      <c r="G29" s="22">
        <v>46131</v>
      </c>
      <c r="H29" s="23">
        <v>94.98</v>
      </c>
      <c r="I29" s="23">
        <v>109.98</v>
      </c>
      <c r="J29" s="23">
        <v>15</v>
      </c>
      <c r="K29">
        <v>20</v>
      </c>
      <c r="L29" s="23">
        <v>300</v>
      </c>
      <c r="M29" s="24">
        <f t="shared" si="2"/>
        <v>6.6666666666666666E-2</v>
      </c>
      <c r="N29" s="23">
        <f xml:space="preserve"> $AI$6 * L29</f>
        <v>275.36582132859286</v>
      </c>
      <c r="O29" s="25">
        <f t="shared" si="3"/>
        <v>-2</v>
      </c>
      <c r="P29">
        <f t="shared" si="0"/>
        <v>7</v>
      </c>
      <c r="Q29" s="22">
        <f t="shared" si="1"/>
        <v>46113</v>
      </c>
      <c r="R29" s="22">
        <f t="shared" si="1"/>
        <v>46113</v>
      </c>
      <c r="S29" s="17">
        <v>0</v>
      </c>
      <c r="T29" s="17">
        <v>0</v>
      </c>
      <c r="U29" s="17">
        <v>0</v>
      </c>
      <c r="V29" s="17">
        <v>275.36582132859286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275.36582132859286</v>
      </c>
    </row>
    <row r="30" spans="1:31">
      <c r="A30" t="s">
        <v>97</v>
      </c>
      <c r="B30" t="s">
        <v>98</v>
      </c>
      <c r="C30" t="s">
        <v>81</v>
      </c>
      <c r="D30" t="s">
        <v>82</v>
      </c>
      <c r="E30" t="s">
        <v>103</v>
      </c>
      <c r="F30" s="22">
        <v>46125</v>
      </c>
      <c r="G30" s="22">
        <v>46131</v>
      </c>
      <c r="H30" s="23">
        <v>124.98</v>
      </c>
      <c r="I30" s="23">
        <v>149.97999999999999</v>
      </c>
      <c r="J30" s="23">
        <v>25</v>
      </c>
      <c r="K30">
        <v>20</v>
      </c>
      <c r="L30" s="23">
        <v>500</v>
      </c>
      <c r="M30" s="24">
        <f t="shared" si="2"/>
        <v>0.04</v>
      </c>
      <c r="N30" s="23">
        <f xml:space="preserve"> $AI$6 * L30</f>
        <v>458.9430355476548</v>
      </c>
      <c r="O30" s="25">
        <f t="shared" si="3"/>
        <v>-2</v>
      </c>
      <c r="P30">
        <f t="shared" si="0"/>
        <v>7</v>
      </c>
      <c r="Q30" s="22">
        <f t="shared" si="1"/>
        <v>46113</v>
      </c>
      <c r="R30" s="22">
        <f t="shared" si="1"/>
        <v>46113</v>
      </c>
      <c r="S30" s="17">
        <v>0</v>
      </c>
      <c r="T30" s="17">
        <v>0</v>
      </c>
      <c r="U30" s="17">
        <v>0</v>
      </c>
      <c r="V30" s="17">
        <v>458.9430355476548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458.9430355476548</v>
      </c>
    </row>
    <row r="31" spans="1:31">
      <c r="A31" t="s">
        <v>45</v>
      </c>
      <c r="B31" t="s">
        <v>99</v>
      </c>
      <c r="C31" t="s">
        <v>81</v>
      </c>
      <c r="D31" t="s">
        <v>82</v>
      </c>
      <c r="E31" t="s">
        <v>103</v>
      </c>
      <c r="F31" s="22">
        <v>46125</v>
      </c>
      <c r="G31" s="22">
        <v>46131</v>
      </c>
      <c r="H31" s="23">
        <v>124.98</v>
      </c>
      <c r="I31" s="23">
        <v>149.97999999999999</v>
      </c>
      <c r="J31" s="23">
        <v>25</v>
      </c>
      <c r="K31">
        <v>25</v>
      </c>
      <c r="L31" s="23">
        <v>625</v>
      </c>
      <c r="M31" s="24">
        <f t="shared" si="2"/>
        <v>0.04</v>
      </c>
      <c r="N31" s="23">
        <f xml:space="preserve"> $AI$6 * L31</f>
        <v>573.67879443456854</v>
      </c>
      <c r="O31" s="25">
        <f t="shared" si="3"/>
        <v>-2</v>
      </c>
      <c r="P31">
        <f t="shared" si="0"/>
        <v>7</v>
      </c>
      <c r="Q31" s="22">
        <f t="shared" si="1"/>
        <v>46113</v>
      </c>
      <c r="R31" s="22">
        <f t="shared" si="1"/>
        <v>46113</v>
      </c>
      <c r="S31" s="17">
        <v>0</v>
      </c>
      <c r="T31" s="17">
        <v>0</v>
      </c>
      <c r="U31" s="17">
        <v>0</v>
      </c>
      <c r="V31" s="17">
        <v>573.67879443456854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573.67879443456854</v>
      </c>
    </row>
    <row r="32" spans="1:31">
      <c r="A32" t="s">
        <v>100</v>
      </c>
      <c r="B32" t="s">
        <v>44</v>
      </c>
      <c r="C32" t="s">
        <v>81</v>
      </c>
      <c r="D32" t="s">
        <v>82</v>
      </c>
      <c r="E32" t="s">
        <v>103</v>
      </c>
      <c r="F32" s="22">
        <v>46125</v>
      </c>
      <c r="G32" s="22">
        <v>46131</v>
      </c>
      <c r="H32" s="23">
        <v>84.98</v>
      </c>
      <c r="I32" s="23">
        <v>99.98</v>
      </c>
      <c r="J32" s="23">
        <v>15</v>
      </c>
      <c r="K32">
        <v>40</v>
      </c>
      <c r="L32" s="23">
        <v>600</v>
      </c>
      <c r="M32" s="24">
        <f t="shared" si="2"/>
        <v>6.6666666666666666E-2</v>
      </c>
      <c r="N32" s="23">
        <f xml:space="preserve"> $AI$6 * L32</f>
        <v>550.73164265718572</v>
      </c>
      <c r="O32" s="25">
        <f t="shared" si="3"/>
        <v>-3</v>
      </c>
      <c r="P32">
        <f t="shared" si="0"/>
        <v>7</v>
      </c>
      <c r="Q32" s="22">
        <f t="shared" si="1"/>
        <v>46113</v>
      </c>
      <c r="R32" s="22">
        <f t="shared" si="1"/>
        <v>46113</v>
      </c>
      <c r="S32" s="17">
        <v>0</v>
      </c>
      <c r="T32" s="17">
        <v>0</v>
      </c>
      <c r="U32" s="17">
        <v>0</v>
      </c>
      <c r="V32" s="17">
        <v>550.73164265718572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550.73164265718572</v>
      </c>
    </row>
    <row r="33" spans="1:31">
      <c r="A33" t="s">
        <v>43</v>
      </c>
      <c r="B33" t="s">
        <v>101</v>
      </c>
      <c r="C33" t="s">
        <v>81</v>
      </c>
      <c r="D33" t="s">
        <v>82</v>
      </c>
      <c r="E33" t="s">
        <v>103</v>
      </c>
      <c r="F33" s="22">
        <v>46125</v>
      </c>
      <c r="G33" s="22">
        <v>46131</v>
      </c>
      <c r="H33" s="23">
        <v>84.98</v>
      </c>
      <c r="I33" s="23">
        <v>99.98</v>
      </c>
      <c r="J33" s="23">
        <v>15</v>
      </c>
      <c r="K33">
        <v>35</v>
      </c>
      <c r="L33" s="23">
        <v>525</v>
      </c>
      <c r="M33" s="24">
        <f t="shared" si="2"/>
        <v>6.6666666666666666E-2</v>
      </c>
      <c r="N33" s="23">
        <f xml:space="preserve"> $AI$6 * L33</f>
        <v>481.89018732503757</v>
      </c>
      <c r="O33" s="25">
        <f t="shared" si="3"/>
        <v>-3</v>
      </c>
      <c r="P33">
        <f t="shared" si="0"/>
        <v>7</v>
      </c>
      <c r="Q33" s="22">
        <f t="shared" si="1"/>
        <v>46113</v>
      </c>
      <c r="R33" s="22">
        <f t="shared" si="1"/>
        <v>46113</v>
      </c>
      <c r="S33" s="17">
        <v>0</v>
      </c>
      <c r="T33" s="17">
        <v>0</v>
      </c>
      <c r="U33" s="17">
        <v>0</v>
      </c>
      <c r="V33" s="17">
        <v>481.89018732503757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481.89018732503757</v>
      </c>
    </row>
    <row r="34" spans="1:31">
      <c r="A34" t="s">
        <v>104</v>
      </c>
      <c r="B34" t="s">
        <v>32</v>
      </c>
      <c r="C34" t="s">
        <v>81</v>
      </c>
      <c r="D34" t="s">
        <v>82</v>
      </c>
      <c r="E34" t="s">
        <v>103</v>
      </c>
      <c r="F34" s="22">
        <v>46125</v>
      </c>
      <c r="G34" s="22">
        <v>46131</v>
      </c>
      <c r="H34" s="23">
        <v>59.98</v>
      </c>
      <c r="I34" s="23">
        <v>69.98</v>
      </c>
      <c r="J34" s="23">
        <v>10</v>
      </c>
      <c r="K34">
        <v>40</v>
      </c>
      <c r="L34" s="23">
        <v>400</v>
      </c>
      <c r="M34" s="24">
        <f t="shared" si="2"/>
        <v>0.1</v>
      </c>
      <c r="N34" s="23">
        <f xml:space="preserve"> $AI$6 * L34</f>
        <v>367.15442843812383</v>
      </c>
      <c r="O34" s="25">
        <f t="shared" si="3"/>
        <v>-3</v>
      </c>
      <c r="P34">
        <f t="shared" si="0"/>
        <v>7</v>
      </c>
      <c r="Q34" s="22">
        <f t="shared" si="1"/>
        <v>46113</v>
      </c>
      <c r="R34" s="22">
        <f t="shared" si="1"/>
        <v>46113</v>
      </c>
      <c r="S34" s="17">
        <v>0</v>
      </c>
      <c r="T34" s="17">
        <v>0</v>
      </c>
      <c r="U34" s="17">
        <v>0</v>
      </c>
      <c r="V34" s="17">
        <v>367.15442843812383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367.15442843812383</v>
      </c>
    </row>
    <row r="35" spans="1:31">
      <c r="A35" t="s">
        <v>102</v>
      </c>
      <c r="B35" t="s">
        <v>50</v>
      </c>
      <c r="C35" t="s">
        <v>81</v>
      </c>
      <c r="D35" t="s">
        <v>82</v>
      </c>
      <c r="E35" t="s">
        <v>103</v>
      </c>
      <c r="F35" s="22">
        <v>46125</v>
      </c>
      <c r="G35" s="22">
        <v>46131</v>
      </c>
      <c r="H35" s="23">
        <v>49.98</v>
      </c>
      <c r="I35" s="23">
        <v>59.98</v>
      </c>
      <c r="J35" s="23">
        <v>10</v>
      </c>
      <c r="K35">
        <v>50</v>
      </c>
      <c r="L35" s="23">
        <v>500</v>
      </c>
      <c r="M35" s="24">
        <f t="shared" si="2"/>
        <v>0.1</v>
      </c>
      <c r="N35" s="23">
        <f xml:space="preserve"> $AI$6 * L35</f>
        <v>458.9430355476548</v>
      </c>
      <c r="O35" s="25">
        <f t="shared" si="3"/>
        <v>-4</v>
      </c>
      <c r="P35">
        <f t="shared" si="0"/>
        <v>7</v>
      </c>
      <c r="Q35" s="22">
        <f t="shared" si="1"/>
        <v>46113</v>
      </c>
      <c r="R35" s="22">
        <f t="shared" si="1"/>
        <v>46113</v>
      </c>
      <c r="S35" s="17">
        <v>0</v>
      </c>
      <c r="T35" s="17">
        <v>0</v>
      </c>
      <c r="U35" s="17">
        <v>0</v>
      </c>
      <c r="V35" s="17">
        <v>458.9430355476548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458.9430355476548</v>
      </c>
    </row>
    <row r="36" spans="1:31">
      <c r="A36" t="s">
        <v>105</v>
      </c>
      <c r="B36" t="s">
        <v>106</v>
      </c>
      <c r="C36" t="s">
        <v>81</v>
      </c>
      <c r="D36" t="s">
        <v>82</v>
      </c>
      <c r="E36" t="s">
        <v>103</v>
      </c>
      <c r="F36" s="22">
        <v>46125</v>
      </c>
      <c r="G36" s="22">
        <v>46131</v>
      </c>
      <c r="H36" s="23">
        <v>69.98</v>
      </c>
      <c r="I36" s="23">
        <v>79.98</v>
      </c>
      <c r="J36" s="23">
        <v>10</v>
      </c>
      <c r="K36">
        <v>100</v>
      </c>
      <c r="L36" s="23">
        <v>1000</v>
      </c>
      <c r="M36" s="24">
        <f t="shared" si="2"/>
        <v>0.1</v>
      </c>
      <c r="N36" s="23">
        <f xml:space="preserve"> $AI$6 * L36</f>
        <v>917.8860710953096</v>
      </c>
      <c r="O36" s="25">
        <f t="shared" si="3"/>
        <v>-8</v>
      </c>
      <c r="P36">
        <f t="shared" si="0"/>
        <v>7</v>
      </c>
      <c r="Q36" s="22">
        <f t="shared" si="1"/>
        <v>46113</v>
      </c>
      <c r="R36" s="22">
        <f t="shared" si="1"/>
        <v>46113</v>
      </c>
      <c r="S36" s="17">
        <v>0</v>
      </c>
      <c r="T36" s="17">
        <v>0</v>
      </c>
      <c r="U36" s="17">
        <v>0</v>
      </c>
      <c r="V36" s="17">
        <v>917.8860710953096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917.8860710953096</v>
      </c>
    </row>
    <row r="37" spans="1:31">
      <c r="A37" t="s">
        <v>107</v>
      </c>
      <c r="B37" t="s">
        <v>108</v>
      </c>
      <c r="C37" t="s">
        <v>81</v>
      </c>
      <c r="D37" t="s">
        <v>82</v>
      </c>
      <c r="E37" t="s">
        <v>103</v>
      </c>
      <c r="F37" s="22">
        <v>46125</v>
      </c>
      <c r="G37" s="22">
        <v>46131</v>
      </c>
      <c r="H37" s="23">
        <v>119.98</v>
      </c>
      <c r="I37" s="23">
        <v>149.97999999999999</v>
      </c>
      <c r="J37" s="23">
        <v>30</v>
      </c>
      <c r="K37">
        <v>50</v>
      </c>
      <c r="L37" s="23">
        <v>1500</v>
      </c>
      <c r="M37" s="24">
        <f t="shared" si="2"/>
        <v>3.3333333333333333E-2</v>
      </c>
      <c r="N37" s="23">
        <f xml:space="preserve"> $AI$6 * L37</f>
        <v>1376.8291066429645</v>
      </c>
      <c r="O37" s="25">
        <f t="shared" si="3"/>
        <v>-4</v>
      </c>
      <c r="P37">
        <f t="shared" si="0"/>
        <v>7</v>
      </c>
      <c r="Q37" s="22">
        <f t="shared" si="1"/>
        <v>46113</v>
      </c>
      <c r="R37" s="22">
        <f t="shared" si="1"/>
        <v>46113</v>
      </c>
      <c r="S37" s="17">
        <v>0</v>
      </c>
      <c r="T37" s="17">
        <v>0</v>
      </c>
      <c r="U37" s="17">
        <v>0</v>
      </c>
      <c r="V37" s="17">
        <v>1376.8291066429645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1376.8291066429645</v>
      </c>
    </row>
    <row r="38" spans="1:31">
      <c r="A38" t="s">
        <v>109</v>
      </c>
      <c r="B38" t="s">
        <v>110</v>
      </c>
      <c r="C38" t="s">
        <v>81</v>
      </c>
      <c r="D38" t="s">
        <v>82</v>
      </c>
      <c r="E38" t="s">
        <v>103</v>
      </c>
      <c r="F38" s="22">
        <v>46125</v>
      </c>
      <c r="G38" s="22">
        <v>46131</v>
      </c>
      <c r="H38" s="23">
        <v>24.98</v>
      </c>
      <c r="I38" s="23">
        <v>29.98</v>
      </c>
      <c r="J38" s="23">
        <v>5</v>
      </c>
      <c r="K38">
        <v>150</v>
      </c>
      <c r="L38" s="23">
        <v>750</v>
      </c>
      <c r="M38" s="24">
        <f t="shared" si="2"/>
        <v>0.2</v>
      </c>
      <c r="N38" s="23">
        <f xml:space="preserve"> $AI$6 * L38</f>
        <v>688.41455332148223</v>
      </c>
      <c r="O38" s="25">
        <f t="shared" si="3"/>
        <v>-12</v>
      </c>
      <c r="P38">
        <f t="shared" si="0"/>
        <v>7</v>
      </c>
      <c r="Q38" s="22">
        <f t="shared" si="1"/>
        <v>46113</v>
      </c>
      <c r="R38" s="22">
        <f t="shared" si="1"/>
        <v>46113</v>
      </c>
      <c r="S38" s="17">
        <v>0</v>
      </c>
      <c r="T38" s="17">
        <v>0</v>
      </c>
      <c r="U38" s="17">
        <v>0</v>
      </c>
      <c r="V38" s="17">
        <v>688.41455332148223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688.41455332148223</v>
      </c>
    </row>
    <row r="39" spans="1:31">
      <c r="A39" t="s">
        <v>84</v>
      </c>
      <c r="B39" t="s">
        <v>85</v>
      </c>
      <c r="C39" t="s">
        <v>81</v>
      </c>
      <c r="D39" t="s">
        <v>10</v>
      </c>
      <c r="E39" t="s">
        <v>103</v>
      </c>
      <c r="F39" s="22">
        <v>46125</v>
      </c>
      <c r="G39" s="22">
        <v>46131</v>
      </c>
      <c r="H39" s="23">
        <v>99.98</v>
      </c>
      <c r="I39" s="23">
        <v>159.97999999999999</v>
      </c>
      <c r="J39" s="23">
        <v>60</v>
      </c>
      <c r="K39">
        <v>350</v>
      </c>
      <c r="L39" s="23">
        <v>21000</v>
      </c>
      <c r="M39" s="24">
        <f t="shared" si="2"/>
        <v>1.6666666666666666E-2</v>
      </c>
      <c r="N39" s="23">
        <f xml:space="preserve"> $AI$6 * L39</f>
        <v>19275.607493001502</v>
      </c>
      <c r="O39" s="25">
        <f t="shared" si="3"/>
        <v>-29</v>
      </c>
      <c r="P39">
        <f t="shared" si="0"/>
        <v>7</v>
      </c>
      <c r="Q39" s="22">
        <f t="shared" si="1"/>
        <v>46113</v>
      </c>
      <c r="R39" s="22">
        <f t="shared" si="1"/>
        <v>46113</v>
      </c>
      <c r="S39" s="17">
        <v>0</v>
      </c>
      <c r="T39" s="17">
        <v>0</v>
      </c>
      <c r="U39" s="17">
        <v>0</v>
      </c>
      <c r="V39" s="17">
        <v>19275.607493001502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19275.607493001502</v>
      </c>
    </row>
    <row r="40" spans="1:31">
      <c r="A40" t="s">
        <v>87</v>
      </c>
      <c r="B40" t="s">
        <v>88</v>
      </c>
      <c r="C40" t="s">
        <v>81</v>
      </c>
      <c r="D40" t="s">
        <v>10</v>
      </c>
      <c r="E40" t="s">
        <v>103</v>
      </c>
      <c r="F40" s="22">
        <v>46125</v>
      </c>
      <c r="G40" s="22">
        <v>46131</v>
      </c>
      <c r="H40" s="23">
        <v>55.98</v>
      </c>
      <c r="I40" s="23">
        <v>65.98</v>
      </c>
      <c r="J40" s="23">
        <v>10</v>
      </c>
      <c r="K40">
        <v>200</v>
      </c>
      <c r="L40" s="23">
        <v>2000</v>
      </c>
      <c r="M40" s="24">
        <f t="shared" si="2"/>
        <v>0.1</v>
      </c>
      <c r="N40" s="23">
        <f xml:space="preserve"> $AI$6 * L40</f>
        <v>1835.7721421906192</v>
      </c>
      <c r="O40" s="25">
        <f t="shared" si="3"/>
        <v>-16</v>
      </c>
      <c r="P40">
        <f t="shared" si="0"/>
        <v>7</v>
      </c>
      <c r="Q40" s="22">
        <f t="shared" si="1"/>
        <v>46113</v>
      </c>
      <c r="R40" s="22">
        <f t="shared" si="1"/>
        <v>46113</v>
      </c>
      <c r="S40" s="17">
        <v>0</v>
      </c>
      <c r="T40" s="17">
        <v>0</v>
      </c>
      <c r="U40" s="17">
        <v>0</v>
      </c>
      <c r="V40" s="17">
        <v>1835.7721421906192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1835.7721421906192</v>
      </c>
    </row>
    <row r="41" spans="1:31">
      <c r="A41" t="s">
        <v>27</v>
      </c>
      <c r="B41" t="s">
        <v>28</v>
      </c>
      <c r="C41" t="s">
        <v>81</v>
      </c>
      <c r="D41" t="s">
        <v>10</v>
      </c>
      <c r="E41" t="s">
        <v>103</v>
      </c>
      <c r="F41" s="22">
        <v>46125</v>
      </c>
      <c r="G41" s="22">
        <v>46131</v>
      </c>
      <c r="H41" s="23">
        <v>29.98</v>
      </c>
      <c r="I41" s="23">
        <v>35.979999999999997</v>
      </c>
      <c r="J41" s="23">
        <v>6</v>
      </c>
      <c r="K41">
        <v>2400</v>
      </c>
      <c r="L41" s="23">
        <v>14400</v>
      </c>
      <c r="M41" s="24">
        <f t="shared" si="2"/>
        <v>0.16666666666666666</v>
      </c>
      <c r="N41" s="23">
        <f xml:space="preserve"> $AI$6 * L41</f>
        <v>13217.559423772458</v>
      </c>
      <c r="O41" s="25">
        <f t="shared" si="3"/>
        <v>-197</v>
      </c>
      <c r="P41">
        <f t="shared" si="0"/>
        <v>7</v>
      </c>
      <c r="Q41" s="22">
        <f t="shared" si="1"/>
        <v>46113</v>
      </c>
      <c r="R41" s="22">
        <f t="shared" si="1"/>
        <v>46113</v>
      </c>
      <c r="S41" s="17">
        <v>0</v>
      </c>
      <c r="T41" s="17">
        <v>0</v>
      </c>
      <c r="U41" s="17">
        <v>0</v>
      </c>
      <c r="V41" s="17">
        <v>13217.559423772458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13217.559423772458</v>
      </c>
    </row>
    <row r="42" spans="1:31">
      <c r="A42" t="s">
        <v>94</v>
      </c>
      <c r="B42" t="s">
        <v>95</v>
      </c>
      <c r="C42" t="s">
        <v>81</v>
      </c>
      <c r="D42" t="s">
        <v>10</v>
      </c>
      <c r="E42" t="s">
        <v>103</v>
      </c>
      <c r="F42" s="22">
        <v>46125</v>
      </c>
      <c r="G42" s="22">
        <v>46131</v>
      </c>
      <c r="H42" s="23">
        <v>89.98</v>
      </c>
      <c r="I42" s="23">
        <v>109.98</v>
      </c>
      <c r="J42" s="23">
        <v>20</v>
      </c>
      <c r="K42">
        <v>300</v>
      </c>
      <c r="L42" s="23">
        <v>6000</v>
      </c>
      <c r="M42" s="24">
        <f t="shared" si="2"/>
        <v>0.05</v>
      </c>
      <c r="N42" s="23">
        <f xml:space="preserve"> $AI$6 * L42</f>
        <v>5507.3164265718578</v>
      </c>
      <c r="O42" s="25">
        <f t="shared" si="3"/>
        <v>-25</v>
      </c>
      <c r="P42">
        <f t="shared" si="0"/>
        <v>7</v>
      </c>
      <c r="Q42" s="22">
        <f t="shared" si="1"/>
        <v>46113</v>
      </c>
      <c r="R42" s="22">
        <f t="shared" si="1"/>
        <v>46113</v>
      </c>
      <c r="S42" s="17">
        <v>0</v>
      </c>
      <c r="T42" s="17">
        <v>0</v>
      </c>
      <c r="U42" s="17">
        <v>0</v>
      </c>
      <c r="V42" s="17">
        <v>5507.3164265718578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5507.3164265718578</v>
      </c>
    </row>
    <row r="43" spans="1:31">
      <c r="A43" t="s">
        <v>94</v>
      </c>
      <c r="B43" t="s">
        <v>95</v>
      </c>
      <c r="C43" t="s">
        <v>81</v>
      </c>
      <c r="D43" t="s">
        <v>10</v>
      </c>
      <c r="E43" t="s">
        <v>103</v>
      </c>
      <c r="F43" s="22">
        <v>46125</v>
      </c>
      <c r="G43" s="22">
        <v>46131</v>
      </c>
      <c r="H43" s="23">
        <v>94.98</v>
      </c>
      <c r="I43" s="23">
        <v>109.98</v>
      </c>
      <c r="J43" s="23">
        <v>15</v>
      </c>
      <c r="K43">
        <v>350</v>
      </c>
      <c r="L43" s="23">
        <v>5250</v>
      </c>
      <c r="M43" s="24">
        <f t="shared" si="2"/>
        <v>6.6666666666666666E-2</v>
      </c>
      <c r="N43" s="23">
        <f xml:space="preserve"> $AI$6 * L43</f>
        <v>4818.9018732503755</v>
      </c>
      <c r="O43" s="25">
        <f t="shared" si="3"/>
        <v>-29</v>
      </c>
      <c r="P43">
        <f t="shared" si="0"/>
        <v>7</v>
      </c>
      <c r="Q43" s="22">
        <f t="shared" si="1"/>
        <v>46113</v>
      </c>
      <c r="R43" s="22">
        <f t="shared" si="1"/>
        <v>46113</v>
      </c>
      <c r="S43" s="17">
        <v>0</v>
      </c>
      <c r="T43" s="17">
        <v>0</v>
      </c>
      <c r="U43" s="17">
        <v>0</v>
      </c>
      <c r="V43" s="17">
        <v>4818.9018732503755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4818.9018732503755</v>
      </c>
    </row>
    <row r="44" spans="1:31">
      <c r="A44" t="s">
        <v>100</v>
      </c>
      <c r="B44" t="s">
        <v>44</v>
      </c>
      <c r="C44" t="s">
        <v>81</v>
      </c>
      <c r="D44" t="s">
        <v>10</v>
      </c>
      <c r="E44" t="s">
        <v>103</v>
      </c>
      <c r="F44" s="22">
        <v>46125</v>
      </c>
      <c r="G44" s="22">
        <v>46131</v>
      </c>
      <c r="H44" s="23">
        <v>89.98</v>
      </c>
      <c r="I44" s="23">
        <v>99.98</v>
      </c>
      <c r="J44" s="23">
        <v>10</v>
      </c>
      <c r="K44">
        <v>1000</v>
      </c>
      <c r="L44" s="23">
        <v>10000</v>
      </c>
      <c r="M44" s="24">
        <f t="shared" si="2"/>
        <v>0.1</v>
      </c>
      <c r="N44" s="23">
        <f xml:space="preserve"> $AI$6 * L44</f>
        <v>9178.8607109530967</v>
      </c>
      <c r="O44" s="25">
        <f t="shared" si="3"/>
        <v>-82</v>
      </c>
      <c r="P44">
        <f t="shared" si="0"/>
        <v>7</v>
      </c>
      <c r="Q44" s="22">
        <f t="shared" si="1"/>
        <v>46113</v>
      </c>
      <c r="R44" s="22">
        <f t="shared" si="1"/>
        <v>46113</v>
      </c>
      <c r="S44" s="17">
        <v>0</v>
      </c>
      <c r="T44" s="17">
        <v>0</v>
      </c>
      <c r="U44" s="17">
        <v>0</v>
      </c>
      <c r="V44" s="17">
        <v>9178.8607109530967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9178.8607109530967</v>
      </c>
    </row>
    <row r="45" spans="1:31">
      <c r="A45" t="s">
        <v>43</v>
      </c>
      <c r="B45" t="s">
        <v>101</v>
      </c>
      <c r="C45" t="s">
        <v>81</v>
      </c>
      <c r="D45" t="s">
        <v>10</v>
      </c>
      <c r="E45" t="s">
        <v>103</v>
      </c>
      <c r="F45" s="22">
        <v>46125</v>
      </c>
      <c r="G45" s="22">
        <v>46131</v>
      </c>
      <c r="H45" s="23">
        <v>89.98</v>
      </c>
      <c r="I45" s="23">
        <v>99.98</v>
      </c>
      <c r="J45" s="23">
        <v>10</v>
      </c>
      <c r="K45">
        <v>900</v>
      </c>
      <c r="L45" s="23">
        <v>9000</v>
      </c>
      <c r="M45" s="24">
        <f t="shared" si="2"/>
        <v>0.1</v>
      </c>
      <c r="N45" s="23">
        <f xml:space="preserve"> $AI$6 * L45</f>
        <v>8260.9746398577863</v>
      </c>
      <c r="O45" s="25">
        <f t="shared" si="3"/>
        <v>-74</v>
      </c>
      <c r="P45">
        <f t="shared" si="0"/>
        <v>7</v>
      </c>
      <c r="Q45" s="22">
        <f t="shared" si="1"/>
        <v>46113</v>
      </c>
      <c r="R45" s="22">
        <f t="shared" si="1"/>
        <v>46113</v>
      </c>
      <c r="S45" s="17">
        <v>0</v>
      </c>
      <c r="T45" s="17">
        <v>0</v>
      </c>
      <c r="U45" s="17">
        <v>0</v>
      </c>
      <c r="V45" s="17">
        <v>8260.9746398577863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8260.9746398577863</v>
      </c>
    </row>
    <row r="46" spans="1:31">
      <c r="A46" t="s">
        <v>104</v>
      </c>
      <c r="B46" t="s">
        <v>32</v>
      </c>
      <c r="C46" t="s">
        <v>81</v>
      </c>
      <c r="D46" t="s">
        <v>10</v>
      </c>
      <c r="E46" t="s">
        <v>103</v>
      </c>
      <c r="F46" s="22">
        <v>46125</v>
      </c>
      <c r="G46" s="22">
        <v>46131</v>
      </c>
      <c r="H46" s="23">
        <v>59.98</v>
      </c>
      <c r="I46" s="23">
        <v>69.98</v>
      </c>
      <c r="J46" s="23">
        <v>10</v>
      </c>
      <c r="K46">
        <v>1000</v>
      </c>
      <c r="L46" s="23">
        <v>10000</v>
      </c>
      <c r="M46" s="24">
        <f t="shared" si="2"/>
        <v>0.1</v>
      </c>
      <c r="N46" s="23">
        <f xml:space="preserve"> $AI$6 * L46</f>
        <v>9178.8607109530967</v>
      </c>
      <c r="O46" s="25">
        <f t="shared" si="3"/>
        <v>-82</v>
      </c>
      <c r="P46">
        <f t="shared" si="0"/>
        <v>7</v>
      </c>
      <c r="Q46" s="22">
        <f t="shared" si="1"/>
        <v>46113</v>
      </c>
      <c r="R46" s="22">
        <f t="shared" si="1"/>
        <v>46113</v>
      </c>
      <c r="S46" s="17">
        <v>0</v>
      </c>
      <c r="T46" s="17">
        <v>0</v>
      </c>
      <c r="U46" s="17">
        <v>0</v>
      </c>
      <c r="V46" s="17">
        <v>9178.8607109530967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9178.8607109530967</v>
      </c>
    </row>
    <row r="47" spans="1:31">
      <c r="A47" t="s">
        <v>102</v>
      </c>
      <c r="B47" t="s">
        <v>50</v>
      </c>
      <c r="C47" t="s">
        <v>81</v>
      </c>
      <c r="D47" t="s">
        <v>10</v>
      </c>
      <c r="E47" t="s">
        <v>103</v>
      </c>
      <c r="F47" s="22">
        <v>46125</v>
      </c>
      <c r="G47" s="22">
        <v>46131</v>
      </c>
      <c r="H47" s="23">
        <v>49.98</v>
      </c>
      <c r="I47" s="23">
        <v>59.98</v>
      </c>
      <c r="J47" s="23">
        <v>10</v>
      </c>
      <c r="K47">
        <v>1500</v>
      </c>
      <c r="L47" s="23">
        <v>15000</v>
      </c>
      <c r="M47" s="24">
        <f t="shared" si="2"/>
        <v>0.1</v>
      </c>
      <c r="N47" s="23">
        <f xml:space="preserve"> $AI$6 * L47</f>
        <v>13768.291066429645</v>
      </c>
      <c r="O47" s="25">
        <f t="shared" si="3"/>
        <v>-123</v>
      </c>
      <c r="P47">
        <f t="shared" si="0"/>
        <v>7</v>
      </c>
      <c r="Q47" s="22">
        <f t="shared" si="1"/>
        <v>46113</v>
      </c>
      <c r="R47" s="22">
        <f t="shared" si="1"/>
        <v>46113</v>
      </c>
      <c r="S47" s="17">
        <v>0</v>
      </c>
      <c r="T47" s="17">
        <v>0</v>
      </c>
      <c r="U47" s="17">
        <v>0</v>
      </c>
      <c r="V47" s="17">
        <v>13768.291066429645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13768.291066429645</v>
      </c>
    </row>
    <row r="48" spans="1:31">
      <c r="A48" t="s">
        <v>105</v>
      </c>
      <c r="B48" t="s">
        <v>106</v>
      </c>
      <c r="C48" t="s">
        <v>81</v>
      </c>
      <c r="D48" t="s">
        <v>10</v>
      </c>
      <c r="E48" t="s">
        <v>103</v>
      </c>
      <c r="F48" s="22">
        <v>46125</v>
      </c>
      <c r="G48" s="22">
        <v>46131</v>
      </c>
      <c r="H48" s="23">
        <v>69.98</v>
      </c>
      <c r="I48" s="23">
        <v>79.98</v>
      </c>
      <c r="J48" s="23">
        <v>10</v>
      </c>
      <c r="K48">
        <v>500</v>
      </c>
      <c r="L48" s="23">
        <v>5000</v>
      </c>
      <c r="M48" s="24">
        <f t="shared" si="2"/>
        <v>0.1</v>
      </c>
      <c r="N48" s="23">
        <f xml:space="preserve"> $AI$6 * L48</f>
        <v>4589.4303554765484</v>
      </c>
      <c r="O48" s="25">
        <f t="shared" si="3"/>
        <v>-41</v>
      </c>
      <c r="P48">
        <f t="shared" si="0"/>
        <v>7</v>
      </c>
      <c r="Q48" s="22">
        <f t="shared" si="1"/>
        <v>46113</v>
      </c>
      <c r="R48" s="22">
        <f t="shared" si="1"/>
        <v>46113</v>
      </c>
      <c r="S48" s="17">
        <v>0</v>
      </c>
      <c r="T48" s="17">
        <v>0</v>
      </c>
      <c r="U48" s="17">
        <v>0</v>
      </c>
      <c r="V48" s="17">
        <v>4589.4303554765484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4589.4303554765484</v>
      </c>
    </row>
    <row r="49" spans="1:31">
      <c r="A49" t="s">
        <v>107</v>
      </c>
      <c r="B49" t="s">
        <v>108</v>
      </c>
      <c r="C49" t="s">
        <v>81</v>
      </c>
      <c r="D49" t="s">
        <v>10</v>
      </c>
      <c r="E49" t="s">
        <v>103</v>
      </c>
      <c r="F49" s="22">
        <v>46125</v>
      </c>
      <c r="G49" s="22">
        <v>46131</v>
      </c>
      <c r="H49" s="23">
        <v>119.98</v>
      </c>
      <c r="I49" s="23">
        <v>149.97999999999999</v>
      </c>
      <c r="J49" s="23">
        <v>30</v>
      </c>
      <c r="K49">
        <v>900</v>
      </c>
      <c r="L49" s="23">
        <v>27000</v>
      </c>
      <c r="M49" s="24">
        <f t="shared" si="2"/>
        <v>3.3333333333333333E-2</v>
      </c>
      <c r="N49" s="23">
        <f xml:space="preserve"> $AI$6 * L49</f>
        <v>24782.923919573361</v>
      </c>
      <c r="O49" s="25">
        <f t="shared" si="3"/>
        <v>-74</v>
      </c>
      <c r="P49">
        <f t="shared" si="0"/>
        <v>7</v>
      </c>
      <c r="Q49" s="22">
        <f t="shared" si="1"/>
        <v>46113</v>
      </c>
      <c r="R49" s="22">
        <f t="shared" si="1"/>
        <v>46113</v>
      </c>
      <c r="S49" s="17">
        <v>0</v>
      </c>
      <c r="T49" s="17">
        <v>0</v>
      </c>
      <c r="U49" s="17">
        <v>0</v>
      </c>
      <c r="V49" s="17">
        <v>24782.923919573361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24782.923919573361</v>
      </c>
    </row>
    <row r="50" spans="1:31">
      <c r="A50" t="s">
        <v>109</v>
      </c>
      <c r="B50" t="s">
        <v>110</v>
      </c>
      <c r="C50" t="s">
        <v>81</v>
      </c>
      <c r="D50" t="s">
        <v>10</v>
      </c>
      <c r="E50" t="s">
        <v>103</v>
      </c>
      <c r="F50" s="22">
        <v>46125</v>
      </c>
      <c r="G50" s="22">
        <v>46131</v>
      </c>
      <c r="H50" s="23">
        <v>24.98</v>
      </c>
      <c r="I50" s="23">
        <v>29.98</v>
      </c>
      <c r="J50" s="23">
        <v>5</v>
      </c>
      <c r="K50">
        <v>1500</v>
      </c>
      <c r="L50" s="23">
        <v>7500</v>
      </c>
      <c r="M50" s="24">
        <f t="shared" si="2"/>
        <v>0.2</v>
      </c>
      <c r="N50" s="23">
        <f xml:space="preserve"> $AI$6 * L50</f>
        <v>6884.1455332148225</v>
      </c>
      <c r="O50" s="25">
        <f t="shared" si="3"/>
        <v>-123</v>
      </c>
      <c r="P50">
        <f t="shared" si="0"/>
        <v>7</v>
      </c>
      <c r="Q50" s="22">
        <f t="shared" si="1"/>
        <v>46113</v>
      </c>
      <c r="R50" s="22">
        <f t="shared" si="1"/>
        <v>46113</v>
      </c>
      <c r="S50" s="17">
        <v>0</v>
      </c>
      <c r="T50" s="17">
        <v>0</v>
      </c>
      <c r="U50" s="17">
        <v>0</v>
      </c>
      <c r="V50" s="17">
        <v>6884.1455332148225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6884.1455332148225</v>
      </c>
    </row>
    <row r="51" spans="1:31">
      <c r="A51" t="s">
        <v>87</v>
      </c>
      <c r="B51" t="s">
        <v>88</v>
      </c>
      <c r="C51" t="s">
        <v>81</v>
      </c>
      <c r="D51" t="s">
        <v>82</v>
      </c>
      <c r="E51" t="s">
        <v>111</v>
      </c>
      <c r="F51" s="22">
        <v>46160</v>
      </c>
      <c r="G51" s="22">
        <v>46167</v>
      </c>
      <c r="H51" s="23">
        <v>55.98</v>
      </c>
      <c r="I51" s="23">
        <v>65.98</v>
      </c>
      <c r="J51" s="23">
        <v>10</v>
      </c>
      <c r="K51">
        <v>20</v>
      </c>
      <c r="L51" s="23">
        <v>200</v>
      </c>
      <c r="M51" s="24">
        <f t="shared" si="2"/>
        <v>0.1</v>
      </c>
      <c r="N51" s="23">
        <f xml:space="preserve"> $AI$6 * L51</f>
        <v>183.57721421906191</v>
      </c>
      <c r="O51" s="25">
        <f t="shared" si="3"/>
        <v>-2</v>
      </c>
      <c r="P51">
        <f t="shared" si="0"/>
        <v>8</v>
      </c>
      <c r="Q51" s="22">
        <f t="shared" si="1"/>
        <v>46143</v>
      </c>
      <c r="R51" s="22">
        <f t="shared" si="1"/>
        <v>46143</v>
      </c>
      <c r="S51" s="17">
        <v>0</v>
      </c>
      <c r="T51" s="17">
        <v>0</v>
      </c>
      <c r="U51" s="17">
        <v>0</v>
      </c>
      <c r="V51" s="17">
        <v>0</v>
      </c>
      <c r="W51" s="17">
        <v>183.57721421906191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183.57721421906191</v>
      </c>
    </row>
    <row r="52" spans="1:31">
      <c r="A52" t="s">
        <v>47</v>
      </c>
      <c r="B52" t="s">
        <v>48</v>
      </c>
      <c r="C52" t="s">
        <v>81</v>
      </c>
      <c r="D52" t="s">
        <v>82</v>
      </c>
      <c r="E52" t="s">
        <v>111</v>
      </c>
      <c r="F52" s="22">
        <v>46160</v>
      </c>
      <c r="G52" s="22">
        <v>46167</v>
      </c>
      <c r="H52" s="23">
        <v>43.98</v>
      </c>
      <c r="I52" s="23">
        <v>49.98</v>
      </c>
      <c r="J52" s="23">
        <v>6</v>
      </c>
      <c r="K52">
        <v>100</v>
      </c>
      <c r="L52" s="23">
        <v>600</v>
      </c>
      <c r="M52" s="24">
        <f t="shared" si="2"/>
        <v>0.16666666666666666</v>
      </c>
      <c r="N52" s="23">
        <f xml:space="preserve"> $AI$6 * L52</f>
        <v>550.73164265718572</v>
      </c>
      <c r="O52" s="25">
        <f t="shared" si="3"/>
        <v>-8</v>
      </c>
      <c r="P52">
        <f t="shared" si="0"/>
        <v>8</v>
      </c>
      <c r="Q52" s="22">
        <f t="shared" si="1"/>
        <v>46143</v>
      </c>
      <c r="R52" s="22">
        <f t="shared" si="1"/>
        <v>46143</v>
      </c>
      <c r="S52" s="17">
        <v>0</v>
      </c>
      <c r="T52" s="17">
        <v>0</v>
      </c>
      <c r="U52" s="17">
        <v>0</v>
      </c>
      <c r="V52" s="17">
        <v>0</v>
      </c>
      <c r="W52" s="17">
        <v>550.73164265718572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550.73164265718572</v>
      </c>
    </row>
    <row r="53" spans="1:31">
      <c r="A53" t="s">
        <v>33</v>
      </c>
      <c r="B53" t="s">
        <v>34</v>
      </c>
      <c r="C53" t="s">
        <v>81</v>
      </c>
      <c r="D53" t="s">
        <v>82</v>
      </c>
      <c r="E53" t="s">
        <v>111</v>
      </c>
      <c r="F53" s="22">
        <v>46160</v>
      </c>
      <c r="G53" s="22">
        <v>46167</v>
      </c>
      <c r="H53" s="23">
        <v>50.98</v>
      </c>
      <c r="I53" s="23">
        <v>59.98</v>
      </c>
      <c r="J53" s="23">
        <v>9</v>
      </c>
      <c r="K53">
        <v>15</v>
      </c>
      <c r="L53" s="23">
        <v>135</v>
      </c>
      <c r="M53" s="24">
        <f t="shared" si="2"/>
        <v>0.1111111111111111</v>
      </c>
      <c r="N53" s="23">
        <f xml:space="preserve"> $AI$6 * L53</f>
        <v>123.9146195978668</v>
      </c>
      <c r="O53" s="25">
        <f t="shared" si="3"/>
        <v>-1</v>
      </c>
      <c r="P53">
        <f t="shared" si="0"/>
        <v>8</v>
      </c>
      <c r="Q53" s="22">
        <f t="shared" si="1"/>
        <v>46143</v>
      </c>
      <c r="R53" s="22">
        <f t="shared" si="1"/>
        <v>46143</v>
      </c>
      <c r="S53" s="17">
        <v>0</v>
      </c>
      <c r="T53" s="17">
        <v>0</v>
      </c>
      <c r="U53" s="17">
        <v>0</v>
      </c>
      <c r="V53" s="17">
        <v>0</v>
      </c>
      <c r="W53" s="17">
        <v>123.9146195978668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123.9146195978668</v>
      </c>
    </row>
    <row r="54" spans="1:31">
      <c r="A54" t="s">
        <v>97</v>
      </c>
      <c r="B54" t="s">
        <v>98</v>
      </c>
      <c r="C54" t="s">
        <v>81</v>
      </c>
      <c r="D54" t="s">
        <v>82</v>
      </c>
      <c r="E54" t="s">
        <v>111</v>
      </c>
      <c r="F54" s="22">
        <v>46160</v>
      </c>
      <c r="G54" s="22">
        <v>46167</v>
      </c>
      <c r="H54" s="23">
        <v>124.98</v>
      </c>
      <c r="I54" s="23">
        <v>149.97999999999999</v>
      </c>
      <c r="J54" s="23">
        <v>25</v>
      </c>
      <c r="K54">
        <v>20</v>
      </c>
      <c r="L54" s="23">
        <v>500</v>
      </c>
      <c r="M54" s="24">
        <f t="shared" si="2"/>
        <v>0.04</v>
      </c>
      <c r="N54" s="23">
        <f xml:space="preserve"> $AI$6 * L54</f>
        <v>458.9430355476548</v>
      </c>
      <c r="O54" s="25">
        <f t="shared" si="3"/>
        <v>-2</v>
      </c>
      <c r="P54">
        <f t="shared" si="0"/>
        <v>8</v>
      </c>
      <c r="Q54" s="22">
        <f t="shared" si="1"/>
        <v>46143</v>
      </c>
      <c r="R54" s="22">
        <f t="shared" si="1"/>
        <v>46143</v>
      </c>
      <c r="S54" s="17">
        <v>0</v>
      </c>
      <c r="T54" s="17">
        <v>0</v>
      </c>
      <c r="U54" s="17">
        <v>0</v>
      </c>
      <c r="V54" s="17">
        <v>0</v>
      </c>
      <c r="W54" s="17">
        <v>458.9430355476548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458.9430355476548</v>
      </c>
    </row>
    <row r="55" spans="1:31">
      <c r="A55" t="s">
        <v>45</v>
      </c>
      <c r="B55" t="s">
        <v>99</v>
      </c>
      <c r="C55" t="s">
        <v>81</v>
      </c>
      <c r="D55" t="s">
        <v>82</v>
      </c>
      <c r="E55" t="s">
        <v>111</v>
      </c>
      <c r="F55" s="22">
        <v>46160</v>
      </c>
      <c r="G55" s="22">
        <v>46167</v>
      </c>
      <c r="H55" s="23">
        <v>124.98</v>
      </c>
      <c r="I55" s="23">
        <v>149.97999999999999</v>
      </c>
      <c r="J55" s="23">
        <v>25</v>
      </c>
      <c r="K55">
        <v>25</v>
      </c>
      <c r="L55" s="23">
        <v>625</v>
      </c>
      <c r="M55" s="24">
        <f t="shared" si="2"/>
        <v>0.04</v>
      </c>
      <c r="N55" s="23">
        <f xml:space="preserve"> $AI$6 * L55</f>
        <v>573.67879443456854</v>
      </c>
      <c r="O55" s="25">
        <f t="shared" si="3"/>
        <v>-2</v>
      </c>
      <c r="P55">
        <f t="shared" si="0"/>
        <v>8</v>
      </c>
      <c r="Q55" s="22">
        <f t="shared" si="1"/>
        <v>46143</v>
      </c>
      <c r="R55" s="22">
        <f t="shared" si="1"/>
        <v>46143</v>
      </c>
      <c r="S55" s="17">
        <v>0</v>
      </c>
      <c r="T55" s="17">
        <v>0</v>
      </c>
      <c r="U55" s="17">
        <v>0</v>
      </c>
      <c r="V55" s="17">
        <v>0</v>
      </c>
      <c r="W55" s="17">
        <v>573.67879443456854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573.67879443456854</v>
      </c>
    </row>
    <row r="56" spans="1:31">
      <c r="A56" t="s">
        <v>100</v>
      </c>
      <c r="B56" t="s">
        <v>44</v>
      </c>
      <c r="C56" t="s">
        <v>81</v>
      </c>
      <c r="D56" t="s">
        <v>82</v>
      </c>
      <c r="E56" t="s">
        <v>111</v>
      </c>
      <c r="F56" s="22">
        <v>46160</v>
      </c>
      <c r="G56" s="22">
        <v>46167</v>
      </c>
      <c r="H56" s="23">
        <v>84.98</v>
      </c>
      <c r="I56" s="23">
        <v>99.98</v>
      </c>
      <c r="J56" s="23">
        <v>15</v>
      </c>
      <c r="K56">
        <v>100</v>
      </c>
      <c r="L56" s="23">
        <v>1500</v>
      </c>
      <c r="M56" s="24">
        <f t="shared" si="2"/>
        <v>6.6666666666666666E-2</v>
      </c>
      <c r="N56" s="23">
        <f xml:space="preserve"> $AI$6 * L56</f>
        <v>1376.8291066429645</v>
      </c>
      <c r="O56" s="25">
        <f t="shared" si="3"/>
        <v>-8</v>
      </c>
      <c r="P56">
        <f t="shared" si="0"/>
        <v>8</v>
      </c>
      <c r="Q56" s="22">
        <f t="shared" si="1"/>
        <v>46143</v>
      </c>
      <c r="R56" s="22">
        <f t="shared" si="1"/>
        <v>46143</v>
      </c>
      <c r="S56" s="17">
        <v>0</v>
      </c>
      <c r="T56" s="17">
        <v>0</v>
      </c>
      <c r="U56" s="17">
        <v>0</v>
      </c>
      <c r="V56" s="17">
        <v>0</v>
      </c>
      <c r="W56" s="17">
        <v>1376.8291066429645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1376.8291066429645</v>
      </c>
    </row>
    <row r="57" spans="1:31">
      <c r="A57" t="s">
        <v>43</v>
      </c>
      <c r="B57" t="s">
        <v>101</v>
      </c>
      <c r="C57" t="s">
        <v>81</v>
      </c>
      <c r="D57" t="s">
        <v>82</v>
      </c>
      <c r="E57" t="s">
        <v>111</v>
      </c>
      <c r="F57" s="22">
        <v>46160</v>
      </c>
      <c r="G57" s="22">
        <v>46167</v>
      </c>
      <c r="H57" s="23">
        <v>84.98</v>
      </c>
      <c r="I57" s="23">
        <v>99.98</v>
      </c>
      <c r="J57" s="23">
        <v>15</v>
      </c>
      <c r="K57">
        <v>85</v>
      </c>
      <c r="L57" s="23">
        <v>1275</v>
      </c>
      <c r="M57" s="24">
        <f t="shared" si="2"/>
        <v>6.6666666666666666E-2</v>
      </c>
      <c r="N57" s="23">
        <f xml:space="preserve"> $AI$6 * L57</f>
        <v>1170.3047406465198</v>
      </c>
      <c r="O57" s="25">
        <f t="shared" si="3"/>
        <v>-7</v>
      </c>
      <c r="P57">
        <f t="shared" si="0"/>
        <v>8</v>
      </c>
      <c r="Q57" s="22">
        <f t="shared" si="1"/>
        <v>46143</v>
      </c>
      <c r="R57" s="22">
        <f t="shared" si="1"/>
        <v>46143</v>
      </c>
      <c r="S57" s="17">
        <v>0</v>
      </c>
      <c r="T57" s="17">
        <v>0</v>
      </c>
      <c r="U57" s="17">
        <v>0</v>
      </c>
      <c r="V57" s="17">
        <v>0</v>
      </c>
      <c r="W57" s="17">
        <v>1170.3047406465198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1170.3047406465198</v>
      </c>
    </row>
    <row r="58" spans="1:31">
      <c r="A58" t="s">
        <v>104</v>
      </c>
      <c r="B58" t="s">
        <v>32</v>
      </c>
      <c r="C58" t="s">
        <v>81</v>
      </c>
      <c r="D58" t="s">
        <v>82</v>
      </c>
      <c r="E58" t="s">
        <v>111</v>
      </c>
      <c r="F58" s="22">
        <v>46160</v>
      </c>
      <c r="G58" s="22">
        <v>46167</v>
      </c>
      <c r="H58" s="23">
        <v>58.98</v>
      </c>
      <c r="I58" s="23">
        <v>69.98</v>
      </c>
      <c r="J58" s="23">
        <v>11</v>
      </c>
      <c r="K58">
        <v>50</v>
      </c>
      <c r="L58" s="23">
        <v>550</v>
      </c>
      <c r="M58" s="24">
        <f t="shared" si="2"/>
        <v>9.0909090909090912E-2</v>
      </c>
      <c r="N58" s="23">
        <f xml:space="preserve"> $AI$6 * L58</f>
        <v>504.83733910242029</v>
      </c>
      <c r="O58" s="25">
        <f t="shared" si="3"/>
        <v>-4</v>
      </c>
      <c r="P58">
        <f t="shared" si="0"/>
        <v>8</v>
      </c>
      <c r="Q58" s="22">
        <f t="shared" si="1"/>
        <v>46143</v>
      </c>
      <c r="R58" s="22">
        <f t="shared" si="1"/>
        <v>46143</v>
      </c>
      <c r="S58" s="17">
        <v>0</v>
      </c>
      <c r="T58" s="17">
        <v>0</v>
      </c>
      <c r="U58" s="17">
        <v>0</v>
      </c>
      <c r="V58" s="17">
        <v>0</v>
      </c>
      <c r="W58" s="17">
        <v>504.83733910242029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504.83733910242029</v>
      </c>
    </row>
    <row r="59" spans="1:31">
      <c r="A59" t="s">
        <v>105</v>
      </c>
      <c r="B59" t="s">
        <v>106</v>
      </c>
      <c r="C59" t="s">
        <v>81</v>
      </c>
      <c r="D59" t="s">
        <v>82</v>
      </c>
      <c r="E59" t="s">
        <v>111</v>
      </c>
      <c r="F59" s="22">
        <v>46160</v>
      </c>
      <c r="G59" s="22">
        <v>46167</v>
      </c>
      <c r="H59" s="23">
        <v>67.98</v>
      </c>
      <c r="I59" s="23">
        <v>79.98</v>
      </c>
      <c r="J59" s="23">
        <v>12</v>
      </c>
      <c r="K59">
        <v>100</v>
      </c>
      <c r="L59" s="23">
        <v>1200</v>
      </c>
      <c r="M59" s="24">
        <f t="shared" si="2"/>
        <v>8.3333333333333329E-2</v>
      </c>
      <c r="N59" s="23">
        <f xml:space="preserve"> $AI$6 * L59</f>
        <v>1101.4632853143714</v>
      </c>
      <c r="O59" s="25">
        <f t="shared" si="3"/>
        <v>-8</v>
      </c>
      <c r="P59">
        <f t="shared" si="0"/>
        <v>8</v>
      </c>
      <c r="Q59" s="22">
        <f t="shared" si="1"/>
        <v>46143</v>
      </c>
      <c r="R59" s="22">
        <f t="shared" si="1"/>
        <v>46143</v>
      </c>
      <c r="S59" s="17">
        <v>0</v>
      </c>
      <c r="T59" s="17">
        <v>0</v>
      </c>
      <c r="U59" s="17">
        <v>0</v>
      </c>
      <c r="V59" s="17">
        <v>0</v>
      </c>
      <c r="W59" s="17">
        <v>1101.4632853143714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1101.4632853143714</v>
      </c>
    </row>
    <row r="60" spans="1:31">
      <c r="A60" t="s">
        <v>107</v>
      </c>
      <c r="B60" t="s">
        <v>108</v>
      </c>
      <c r="C60" t="s">
        <v>81</v>
      </c>
      <c r="D60" t="s">
        <v>82</v>
      </c>
      <c r="E60" t="s">
        <v>111</v>
      </c>
      <c r="F60" s="22">
        <v>46160</v>
      </c>
      <c r="G60" s="22">
        <v>46167</v>
      </c>
      <c r="H60" s="23">
        <v>119.98</v>
      </c>
      <c r="I60" s="23">
        <v>149.97999999999999</v>
      </c>
      <c r="J60" s="23">
        <v>30</v>
      </c>
      <c r="K60">
        <v>95</v>
      </c>
      <c r="L60" s="23">
        <v>2850</v>
      </c>
      <c r="M60" s="24">
        <f t="shared" si="2"/>
        <v>3.3333333333333333E-2</v>
      </c>
      <c r="N60" s="23">
        <f xml:space="preserve"> $AI$6 * L60</f>
        <v>2615.9753026216326</v>
      </c>
      <c r="O60" s="25">
        <f t="shared" si="3"/>
        <v>-8</v>
      </c>
      <c r="P60">
        <f t="shared" si="0"/>
        <v>8</v>
      </c>
      <c r="Q60" s="22">
        <f t="shared" si="1"/>
        <v>46143</v>
      </c>
      <c r="R60" s="22">
        <f t="shared" si="1"/>
        <v>46143</v>
      </c>
      <c r="S60" s="17">
        <v>0</v>
      </c>
      <c r="T60" s="17">
        <v>0</v>
      </c>
      <c r="U60" s="17">
        <v>0</v>
      </c>
      <c r="V60" s="17">
        <v>0</v>
      </c>
      <c r="W60" s="17">
        <v>2615.9753026216326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2615.9753026216326</v>
      </c>
    </row>
    <row r="61" spans="1:31">
      <c r="A61" t="s">
        <v>112</v>
      </c>
      <c r="B61" t="s">
        <v>113</v>
      </c>
      <c r="C61" t="s">
        <v>81</v>
      </c>
      <c r="D61" t="s">
        <v>82</v>
      </c>
      <c r="E61" t="s">
        <v>111</v>
      </c>
      <c r="F61" s="22">
        <v>46160</v>
      </c>
      <c r="G61" s="22">
        <v>46167</v>
      </c>
      <c r="H61" s="23">
        <v>24.98</v>
      </c>
      <c r="I61" s="23">
        <v>29.98</v>
      </c>
      <c r="J61" s="23">
        <v>5</v>
      </c>
      <c r="K61">
        <v>90</v>
      </c>
      <c r="L61" s="23">
        <v>450</v>
      </c>
      <c r="M61" s="24">
        <f t="shared" si="2"/>
        <v>0.2</v>
      </c>
      <c r="N61" s="23">
        <f xml:space="preserve"> $AI$6 * L61</f>
        <v>413.04873199288932</v>
      </c>
      <c r="O61" s="25">
        <f t="shared" si="3"/>
        <v>-7</v>
      </c>
      <c r="P61">
        <f t="shared" si="0"/>
        <v>8</v>
      </c>
      <c r="Q61" s="22">
        <f t="shared" si="1"/>
        <v>46143</v>
      </c>
      <c r="R61" s="22">
        <f t="shared" si="1"/>
        <v>46143</v>
      </c>
      <c r="S61" s="17">
        <v>0</v>
      </c>
      <c r="T61" s="17">
        <v>0</v>
      </c>
      <c r="U61" s="17">
        <v>0</v>
      </c>
      <c r="V61" s="17">
        <v>0</v>
      </c>
      <c r="W61" s="17">
        <v>413.04873199288932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413.04873199288932</v>
      </c>
    </row>
    <row r="62" spans="1:31">
      <c r="A62" t="s">
        <v>109</v>
      </c>
      <c r="B62" t="s">
        <v>110</v>
      </c>
      <c r="C62" t="s">
        <v>81</v>
      </c>
      <c r="D62" t="s">
        <v>82</v>
      </c>
      <c r="E62" t="s">
        <v>111</v>
      </c>
      <c r="F62" s="22">
        <v>46160</v>
      </c>
      <c r="G62" s="22">
        <v>46167</v>
      </c>
      <c r="H62" s="23">
        <v>24.98</v>
      </c>
      <c r="I62" s="23">
        <v>29.98</v>
      </c>
      <c r="J62" s="23">
        <v>5</v>
      </c>
      <c r="K62">
        <v>150</v>
      </c>
      <c r="L62" s="23">
        <v>750</v>
      </c>
      <c r="M62" s="24">
        <f t="shared" si="2"/>
        <v>0.2</v>
      </c>
      <c r="N62" s="23">
        <f xml:space="preserve"> $AI$6 * L62</f>
        <v>688.41455332148223</v>
      </c>
      <c r="O62" s="25">
        <f t="shared" si="3"/>
        <v>-12</v>
      </c>
      <c r="P62">
        <f t="shared" si="0"/>
        <v>8</v>
      </c>
      <c r="Q62" s="22">
        <f t="shared" si="1"/>
        <v>46143</v>
      </c>
      <c r="R62" s="22">
        <f t="shared" si="1"/>
        <v>46143</v>
      </c>
      <c r="S62" s="17">
        <v>0</v>
      </c>
      <c r="T62" s="17">
        <v>0</v>
      </c>
      <c r="U62" s="17">
        <v>0</v>
      </c>
      <c r="V62" s="17">
        <v>0</v>
      </c>
      <c r="W62" s="17">
        <v>688.41455332148223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688.41455332148223</v>
      </c>
    </row>
    <row r="63" spans="1:31">
      <c r="A63" t="s">
        <v>87</v>
      </c>
      <c r="B63" t="s">
        <v>88</v>
      </c>
      <c r="C63" t="s">
        <v>81</v>
      </c>
      <c r="D63" t="s">
        <v>10</v>
      </c>
      <c r="E63" t="s">
        <v>111</v>
      </c>
      <c r="F63" s="22">
        <v>46160</v>
      </c>
      <c r="G63" s="22">
        <v>46167</v>
      </c>
      <c r="H63" s="23">
        <v>55.98</v>
      </c>
      <c r="I63" s="23">
        <v>65.98</v>
      </c>
      <c r="J63" s="23">
        <v>10</v>
      </c>
      <c r="K63">
        <v>200</v>
      </c>
      <c r="L63" s="23">
        <v>2000</v>
      </c>
      <c r="M63" s="24">
        <f t="shared" si="2"/>
        <v>0.1</v>
      </c>
      <c r="N63" s="23">
        <f xml:space="preserve"> $AI$6 * L63</f>
        <v>1835.7721421906192</v>
      </c>
      <c r="O63" s="25">
        <f t="shared" si="3"/>
        <v>-16</v>
      </c>
      <c r="P63">
        <f t="shared" si="0"/>
        <v>8</v>
      </c>
      <c r="Q63" s="22">
        <f t="shared" si="1"/>
        <v>46143</v>
      </c>
      <c r="R63" s="22">
        <f t="shared" si="1"/>
        <v>46143</v>
      </c>
      <c r="S63" s="17">
        <v>0</v>
      </c>
      <c r="T63" s="17">
        <v>0</v>
      </c>
      <c r="U63" s="17">
        <v>0</v>
      </c>
      <c r="V63" s="17">
        <v>0</v>
      </c>
      <c r="W63" s="17">
        <v>1835.7721421906192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1835.7721421906192</v>
      </c>
    </row>
    <row r="64" spans="1:31">
      <c r="A64" t="s">
        <v>47</v>
      </c>
      <c r="B64" t="s">
        <v>48</v>
      </c>
      <c r="C64" t="s">
        <v>81</v>
      </c>
      <c r="D64" t="s">
        <v>10</v>
      </c>
      <c r="E64" t="s">
        <v>111</v>
      </c>
      <c r="F64" s="22">
        <v>46160</v>
      </c>
      <c r="G64" s="22">
        <v>46167</v>
      </c>
      <c r="H64" s="23">
        <v>43.98</v>
      </c>
      <c r="I64" s="23">
        <v>49.98</v>
      </c>
      <c r="J64" s="23">
        <v>6</v>
      </c>
      <c r="K64">
        <v>300</v>
      </c>
      <c r="L64" s="23">
        <v>1800</v>
      </c>
      <c r="M64" s="24">
        <f t="shared" si="2"/>
        <v>0.16666666666666666</v>
      </c>
      <c r="N64" s="23">
        <f xml:space="preserve"> $AI$6 * L64</f>
        <v>1652.1949279715573</v>
      </c>
      <c r="O64" s="25">
        <f t="shared" si="3"/>
        <v>-25</v>
      </c>
      <c r="P64">
        <f t="shared" si="0"/>
        <v>8</v>
      </c>
      <c r="Q64" s="22">
        <f t="shared" si="1"/>
        <v>46143</v>
      </c>
      <c r="R64" s="22">
        <f t="shared" si="1"/>
        <v>46143</v>
      </c>
      <c r="S64" s="17">
        <v>0</v>
      </c>
      <c r="T64" s="17">
        <v>0</v>
      </c>
      <c r="U64" s="17">
        <v>0</v>
      </c>
      <c r="V64" s="17">
        <v>0</v>
      </c>
      <c r="W64" s="17">
        <v>1652.1949279715573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1652.1949279715573</v>
      </c>
    </row>
    <row r="65" spans="1:31">
      <c r="A65" t="s">
        <v>33</v>
      </c>
      <c r="B65" t="s">
        <v>34</v>
      </c>
      <c r="C65" t="s">
        <v>81</v>
      </c>
      <c r="D65" t="s">
        <v>10</v>
      </c>
      <c r="E65" t="s">
        <v>111</v>
      </c>
      <c r="F65" s="22">
        <v>46160</v>
      </c>
      <c r="G65" s="22">
        <v>46167</v>
      </c>
      <c r="H65" s="23">
        <v>50.98</v>
      </c>
      <c r="I65" s="23">
        <v>59.98</v>
      </c>
      <c r="J65" s="23">
        <v>9</v>
      </c>
      <c r="K65">
        <v>260</v>
      </c>
      <c r="L65" s="23">
        <v>2340</v>
      </c>
      <c r="M65" s="24">
        <f t="shared" si="2"/>
        <v>0.1111111111111111</v>
      </c>
      <c r="N65" s="23">
        <f xml:space="preserve"> $AI$6 * L65</f>
        <v>2147.8534063630245</v>
      </c>
      <c r="O65" s="25">
        <f t="shared" si="3"/>
        <v>-21</v>
      </c>
      <c r="P65">
        <f t="shared" si="0"/>
        <v>8</v>
      </c>
      <c r="Q65" s="22">
        <f t="shared" si="1"/>
        <v>46143</v>
      </c>
      <c r="R65" s="22">
        <f t="shared" si="1"/>
        <v>46143</v>
      </c>
      <c r="S65" s="17">
        <v>0</v>
      </c>
      <c r="T65" s="17">
        <v>0</v>
      </c>
      <c r="U65" s="17">
        <v>0</v>
      </c>
      <c r="V65" s="17">
        <v>0</v>
      </c>
      <c r="W65" s="17">
        <v>2147.8534063630245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2147.8534063630245</v>
      </c>
    </row>
    <row r="66" spans="1:31">
      <c r="A66" t="s">
        <v>100</v>
      </c>
      <c r="B66" t="s">
        <v>44</v>
      </c>
      <c r="C66" t="s">
        <v>81</v>
      </c>
      <c r="D66" t="s">
        <v>10</v>
      </c>
      <c r="E66" t="s">
        <v>111</v>
      </c>
      <c r="F66" s="22">
        <v>46160</v>
      </c>
      <c r="G66" s="22">
        <v>46167</v>
      </c>
      <c r="H66" s="23">
        <v>84.98</v>
      </c>
      <c r="I66" s="23">
        <v>99.98</v>
      </c>
      <c r="J66" s="23">
        <v>15</v>
      </c>
      <c r="K66">
        <v>1000</v>
      </c>
      <c r="L66" s="23">
        <v>15000</v>
      </c>
      <c r="M66" s="24">
        <f t="shared" si="2"/>
        <v>6.6666666666666666E-2</v>
      </c>
      <c r="N66" s="23">
        <f xml:space="preserve"> $AI$6 * L66</f>
        <v>13768.291066429645</v>
      </c>
      <c r="O66" s="25">
        <f t="shared" si="3"/>
        <v>-82</v>
      </c>
      <c r="P66">
        <f t="shared" ref="P66:P129" si="4" xml:space="preserve"> G66 - F66 + 1</f>
        <v>8</v>
      </c>
      <c r="Q66" s="22">
        <f t="shared" ref="Q66:R129" si="5" xml:space="preserve"> EOMONTH(F66, -1) + 1</f>
        <v>46143</v>
      </c>
      <c r="R66" s="22">
        <f t="shared" si="5"/>
        <v>46143</v>
      </c>
      <c r="S66" s="17">
        <v>0</v>
      </c>
      <c r="T66" s="17">
        <v>0</v>
      </c>
      <c r="U66" s="17">
        <v>0</v>
      </c>
      <c r="V66" s="17">
        <v>0</v>
      </c>
      <c r="W66" s="17">
        <v>13768.291066429645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13768.291066429645</v>
      </c>
    </row>
    <row r="67" spans="1:31">
      <c r="A67" t="s">
        <v>43</v>
      </c>
      <c r="B67" t="s">
        <v>101</v>
      </c>
      <c r="C67" t="s">
        <v>81</v>
      </c>
      <c r="D67" t="s">
        <v>10</v>
      </c>
      <c r="E67" t="s">
        <v>111</v>
      </c>
      <c r="F67" s="22">
        <v>46160</v>
      </c>
      <c r="G67" s="22">
        <v>46167</v>
      </c>
      <c r="H67" s="23">
        <v>84.98</v>
      </c>
      <c r="I67" s="23">
        <v>99.98</v>
      </c>
      <c r="J67" s="23">
        <v>15</v>
      </c>
      <c r="K67">
        <v>700</v>
      </c>
      <c r="L67" s="23">
        <v>10500</v>
      </c>
      <c r="M67" s="24">
        <f t="shared" ref="M67:M130" si="6" xml:space="preserve"> K67 / L67</f>
        <v>6.6666666666666666E-2</v>
      </c>
      <c r="N67" s="23">
        <f xml:space="preserve"> $AI$6 * L67</f>
        <v>9637.803746500751</v>
      </c>
      <c r="O67" s="25">
        <f t="shared" ref="O67:O130" si="7" xml:space="preserve"> ROUND((N67 - L67) * M67, 0)</f>
        <v>-57</v>
      </c>
      <c r="P67">
        <f t="shared" si="4"/>
        <v>8</v>
      </c>
      <c r="Q67" s="22">
        <f t="shared" si="5"/>
        <v>46143</v>
      </c>
      <c r="R67" s="22">
        <f t="shared" si="5"/>
        <v>46143</v>
      </c>
      <c r="S67" s="17">
        <v>0</v>
      </c>
      <c r="T67" s="17">
        <v>0</v>
      </c>
      <c r="U67" s="17">
        <v>0</v>
      </c>
      <c r="V67" s="17">
        <v>0</v>
      </c>
      <c r="W67" s="17">
        <v>9637.803746500751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9637.803746500751</v>
      </c>
    </row>
    <row r="68" spans="1:31">
      <c r="A68" t="s">
        <v>104</v>
      </c>
      <c r="B68" t="s">
        <v>32</v>
      </c>
      <c r="C68" t="s">
        <v>81</v>
      </c>
      <c r="D68" t="s">
        <v>10</v>
      </c>
      <c r="E68" t="s">
        <v>111</v>
      </c>
      <c r="F68" s="22">
        <v>46160</v>
      </c>
      <c r="G68" s="22">
        <v>46167</v>
      </c>
      <c r="H68" s="23">
        <v>58.98</v>
      </c>
      <c r="I68" s="23">
        <v>69.98</v>
      </c>
      <c r="J68" s="23">
        <v>11</v>
      </c>
      <c r="K68">
        <v>900</v>
      </c>
      <c r="L68" s="23">
        <v>9900</v>
      </c>
      <c r="M68" s="24">
        <f t="shared" si="6"/>
        <v>9.0909090909090912E-2</v>
      </c>
      <c r="N68" s="23">
        <f xml:space="preserve"> $AI$6 * L68</f>
        <v>9087.0721038435659</v>
      </c>
      <c r="O68" s="25">
        <f t="shared" si="7"/>
        <v>-74</v>
      </c>
      <c r="P68">
        <f t="shared" si="4"/>
        <v>8</v>
      </c>
      <c r="Q68" s="22">
        <f t="shared" si="5"/>
        <v>46143</v>
      </c>
      <c r="R68" s="22">
        <f t="shared" si="5"/>
        <v>46143</v>
      </c>
      <c r="S68" s="17">
        <v>0</v>
      </c>
      <c r="T68" s="17">
        <v>0</v>
      </c>
      <c r="U68" s="17">
        <v>0</v>
      </c>
      <c r="V68" s="17">
        <v>0</v>
      </c>
      <c r="W68" s="17">
        <v>9087.0721038435659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9087.0721038435659</v>
      </c>
    </row>
    <row r="69" spans="1:31">
      <c r="A69" t="s">
        <v>105</v>
      </c>
      <c r="B69" t="s">
        <v>106</v>
      </c>
      <c r="C69" t="s">
        <v>81</v>
      </c>
      <c r="D69" t="s">
        <v>10</v>
      </c>
      <c r="E69" t="s">
        <v>111</v>
      </c>
      <c r="F69" s="22">
        <v>46160</v>
      </c>
      <c r="G69" s="22">
        <v>46167</v>
      </c>
      <c r="H69" s="23">
        <v>67.98</v>
      </c>
      <c r="I69" s="23">
        <v>79.98</v>
      </c>
      <c r="J69" s="23">
        <v>12</v>
      </c>
      <c r="K69">
        <v>500</v>
      </c>
      <c r="L69" s="23">
        <v>6000</v>
      </c>
      <c r="M69" s="24">
        <f t="shared" si="6"/>
        <v>8.3333333333333329E-2</v>
      </c>
      <c r="N69" s="23">
        <f xml:space="preserve"> $AI$6 * L69</f>
        <v>5507.3164265718578</v>
      </c>
      <c r="O69" s="25">
        <f t="shared" si="7"/>
        <v>-41</v>
      </c>
      <c r="P69">
        <f t="shared" si="4"/>
        <v>8</v>
      </c>
      <c r="Q69" s="22">
        <f t="shared" si="5"/>
        <v>46143</v>
      </c>
      <c r="R69" s="22">
        <f t="shared" si="5"/>
        <v>46143</v>
      </c>
      <c r="S69" s="17">
        <v>0</v>
      </c>
      <c r="T69" s="17">
        <v>0</v>
      </c>
      <c r="U69" s="17">
        <v>0</v>
      </c>
      <c r="V69" s="17">
        <v>0</v>
      </c>
      <c r="W69" s="17">
        <v>5507.3164265718578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5507.3164265718578</v>
      </c>
    </row>
    <row r="70" spans="1:31">
      <c r="A70" t="s">
        <v>107</v>
      </c>
      <c r="B70" t="s">
        <v>108</v>
      </c>
      <c r="C70" t="s">
        <v>81</v>
      </c>
      <c r="D70" t="s">
        <v>10</v>
      </c>
      <c r="E70" t="s">
        <v>111</v>
      </c>
      <c r="F70" s="22">
        <v>46160</v>
      </c>
      <c r="G70" s="22">
        <v>46167</v>
      </c>
      <c r="H70" s="23">
        <v>119.98</v>
      </c>
      <c r="I70" s="23">
        <v>149.97999999999999</v>
      </c>
      <c r="J70" s="23">
        <v>30</v>
      </c>
      <c r="K70">
        <v>450</v>
      </c>
      <c r="L70" s="23">
        <v>13500</v>
      </c>
      <c r="M70" s="24">
        <f t="shared" si="6"/>
        <v>3.3333333333333333E-2</v>
      </c>
      <c r="N70" s="23">
        <f xml:space="preserve"> $AI$6 * L70</f>
        <v>12391.46195978668</v>
      </c>
      <c r="O70" s="25">
        <f t="shared" si="7"/>
        <v>-37</v>
      </c>
      <c r="P70">
        <f t="shared" si="4"/>
        <v>8</v>
      </c>
      <c r="Q70" s="22">
        <f t="shared" si="5"/>
        <v>46143</v>
      </c>
      <c r="R70" s="22">
        <f t="shared" si="5"/>
        <v>46143</v>
      </c>
      <c r="S70" s="17">
        <v>0</v>
      </c>
      <c r="T70" s="17">
        <v>0</v>
      </c>
      <c r="U70" s="17">
        <v>0</v>
      </c>
      <c r="V70" s="17">
        <v>0</v>
      </c>
      <c r="W70" s="17">
        <v>12391.46195978668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12391.46195978668</v>
      </c>
    </row>
    <row r="71" spans="1:31">
      <c r="A71" t="s">
        <v>109</v>
      </c>
      <c r="B71" t="s">
        <v>110</v>
      </c>
      <c r="C71" t="s">
        <v>81</v>
      </c>
      <c r="D71" t="s">
        <v>10</v>
      </c>
      <c r="E71" t="s">
        <v>111</v>
      </c>
      <c r="F71" s="22">
        <v>46160</v>
      </c>
      <c r="G71" s="22">
        <v>46167</v>
      </c>
      <c r="H71" s="23">
        <v>24.98</v>
      </c>
      <c r="I71" s="23">
        <v>29.98</v>
      </c>
      <c r="J71" s="23">
        <v>5</v>
      </c>
      <c r="K71">
        <v>1500</v>
      </c>
      <c r="L71" s="23">
        <v>7500</v>
      </c>
      <c r="M71" s="24">
        <f t="shared" si="6"/>
        <v>0.2</v>
      </c>
      <c r="N71" s="23">
        <f xml:space="preserve"> $AI$6 * L71</f>
        <v>6884.1455332148225</v>
      </c>
      <c r="O71" s="25">
        <f t="shared" si="7"/>
        <v>-123</v>
      </c>
      <c r="P71">
        <f t="shared" si="4"/>
        <v>8</v>
      </c>
      <c r="Q71" s="22">
        <f t="shared" si="5"/>
        <v>46143</v>
      </c>
      <c r="R71" s="22">
        <f t="shared" si="5"/>
        <v>46143</v>
      </c>
      <c r="S71" s="17">
        <v>0</v>
      </c>
      <c r="T71" s="17">
        <v>0</v>
      </c>
      <c r="U71" s="17">
        <v>0</v>
      </c>
      <c r="V71" s="17">
        <v>0</v>
      </c>
      <c r="W71" s="17">
        <v>6884.1455332148225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6884.1455332148225</v>
      </c>
    </row>
    <row r="72" spans="1:31">
      <c r="A72" t="s">
        <v>87</v>
      </c>
      <c r="B72" t="s">
        <v>88</v>
      </c>
      <c r="C72" t="s">
        <v>81</v>
      </c>
      <c r="D72" t="s">
        <v>82</v>
      </c>
      <c r="E72" t="s">
        <v>114</v>
      </c>
      <c r="F72" s="22">
        <v>46188</v>
      </c>
      <c r="G72" s="22">
        <v>46194</v>
      </c>
      <c r="H72" s="23">
        <v>55.98</v>
      </c>
      <c r="I72" s="23">
        <v>65.98</v>
      </c>
      <c r="J72" s="23">
        <v>10</v>
      </c>
      <c r="K72">
        <v>20</v>
      </c>
      <c r="L72" s="23">
        <v>200</v>
      </c>
      <c r="M72" s="24">
        <f t="shared" si="6"/>
        <v>0.1</v>
      </c>
      <c r="N72" s="23">
        <f xml:space="preserve"> $AI$6 * L72</f>
        <v>183.57721421906191</v>
      </c>
      <c r="O72" s="25">
        <f t="shared" si="7"/>
        <v>-2</v>
      </c>
      <c r="P72">
        <f t="shared" si="4"/>
        <v>7</v>
      </c>
      <c r="Q72" s="22">
        <f t="shared" si="5"/>
        <v>46174</v>
      </c>
      <c r="R72" s="22">
        <f t="shared" si="5"/>
        <v>46174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183.57721421906191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183.57721421906191</v>
      </c>
    </row>
    <row r="73" spans="1:31">
      <c r="A73" t="s">
        <v>94</v>
      </c>
      <c r="B73" t="s">
        <v>95</v>
      </c>
      <c r="C73" t="s">
        <v>81</v>
      </c>
      <c r="D73" t="s">
        <v>82</v>
      </c>
      <c r="E73" t="s">
        <v>114</v>
      </c>
      <c r="F73" s="22">
        <v>46188</v>
      </c>
      <c r="G73" s="22">
        <v>46194</v>
      </c>
      <c r="H73" s="23">
        <v>89.98</v>
      </c>
      <c r="I73" s="23">
        <v>109.98</v>
      </c>
      <c r="J73" s="23">
        <v>20</v>
      </c>
      <c r="K73">
        <v>20</v>
      </c>
      <c r="L73" s="23">
        <v>400</v>
      </c>
      <c r="M73" s="24">
        <f t="shared" si="6"/>
        <v>0.05</v>
      </c>
      <c r="N73" s="23">
        <f xml:space="preserve"> $AI$6 * L73</f>
        <v>367.15442843812383</v>
      </c>
      <c r="O73" s="25">
        <f t="shared" si="7"/>
        <v>-2</v>
      </c>
      <c r="P73">
        <f t="shared" si="4"/>
        <v>7</v>
      </c>
      <c r="Q73" s="22">
        <f t="shared" si="5"/>
        <v>46174</v>
      </c>
      <c r="R73" s="22">
        <f t="shared" si="5"/>
        <v>46174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367.15442843812383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367.15442843812383</v>
      </c>
    </row>
    <row r="74" spans="1:31">
      <c r="A74" t="s">
        <v>35</v>
      </c>
      <c r="B74" t="s">
        <v>96</v>
      </c>
      <c r="C74" t="s">
        <v>81</v>
      </c>
      <c r="D74" t="s">
        <v>82</v>
      </c>
      <c r="E74" t="s">
        <v>114</v>
      </c>
      <c r="F74" s="22">
        <v>46188</v>
      </c>
      <c r="G74" s="22">
        <v>46194</v>
      </c>
      <c r="H74" s="23">
        <v>99.98</v>
      </c>
      <c r="I74" s="23">
        <v>119.98</v>
      </c>
      <c r="J74" s="23">
        <v>20</v>
      </c>
      <c r="K74">
        <v>30</v>
      </c>
      <c r="L74" s="23">
        <v>600</v>
      </c>
      <c r="M74" s="24">
        <f t="shared" si="6"/>
        <v>0.05</v>
      </c>
      <c r="N74" s="23">
        <f xml:space="preserve"> $AI$6 * L74</f>
        <v>550.73164265718572</v>
      </c>
      <c r="O74" s="25">
        <f t="shared" si="7"/>
        <v>-2</v>
      </c>
      <c r="P74">
        <f t="shared" si="4"/>
        <v>7</v>
      </c>
      <c r="Q74" s="22">
        <f t="shared" si="5"/>
        <v>46174</v>
      </c>
      <c r="R74" s="22">
        <f t="shared" si="5"/>
        <v>46174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550.73164265718572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550.73164265718572</v>
      </c>
    </row>
    <row r="75" spans="1:31">
      <c r="A75" t="s">
        <v>97</v>
      </c>
      <c r="B75" t="s">
        <v>98</v>
      </c>
      <c r="C75" t="s">
        <v>81</v>
      </c>
      <c r="D75" t="s">
        <v>82</v>
      </c>
      <c r="E75" t="s">
        <v>114</v>
      </c>
      <c r="F75" s="22">
        <v>46188</v>
      </c>
      <c r="G75" s="22">
        <v>46194</v>
      </c>
      <c r="H75" s="23">
        <v>124.98</v>
      </c>
      <c r="I75" s="23">
        <v>149.97999999999999</v>
      </c>
      <c r="J75" s="23">
        <v>25</v>
      </c>
      <c r="K75">
        <v>20</v>
      </c>
      <c r="L75" s="23">
        <v>500</v>
      </c>
      <c r="M75" s="24">
        <f t="shared" si="6"/>
        <v>0.04</v>
      </c>
      <c r="N75" s="23">
        <f xml:space="preserve"> $AI$6 * L75</f>
        <v>458.9430355476548</v>
      </c>
      <c r="O75" s="25">
        <f t="shared" si="7"/>
        <v>-2</v>
      </c>
      <c r="P75">
        <f t="shared" si="4"/>
        <v>7</v>
      </c>
      <c r="Q75" s="22">
        <f t="shared" si="5"/>
        <v>46174</v>
      </c>
      <c r="R75" s="22">
        <f t="shared" si="5"/>
        <v>46174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458.9430355476548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458.9430355476548</v>
      </c>
    </row>
    <row r="76" spans="1:31">
      <c r="A76" t="s">
        <v>45</v>
      </c>
      <c r="B76" t="s">
        <v>99</v>
      </c>
      <c r="C76" t="s">
        <v>81</v>
      </c>
      <c r="D76" t="s">
        <v>82</v>
      </c>
      <c r="E76" t="s">
        <v>114</v>
      </c>
      <c r="F76" s="22">
        <v>46188</v>
      </c>
      <c r="G76" s="22">
        <v>46194</v>
      </c>
      <c r="H76" s="23">
        <v>124.98</v>
      </c>
      <c r="I76" s="23">
        <v>149.97999999999999</v>
      </c>
      <c r="J76" s="23">
        <v>25</v>
      </c>
      <c r="K76">
        <v>20</v>
      </c>
      <c r="L76" s="23">
        <v>500</v>
      </c>
      <c r="M76" s="24">
        <f t="shared" si="6"/>
        <v>0.04</v>
      </c>
      <c r="N76" s="23">
        <f xml:space="preserve"> $AI$6 * L76</f>
        <v>458.9430355476548</v>
      </c>
      <c r="O76" s="25">
        <f t="shared" si="7"/>
        <v>-2</v>
      </c>
      <c r="P76">
        <f t="shared" si="4"/>
        <v>7</v>
      </c>
      <c r="Q76" s="22">
        <f t="shared" si="5"/>
        <v>46174</v>
      </c>
      <c r="R76" s="22">
        <f t="shared" si="5"/>
        <v>46174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458.9430355476548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458.9430355476548</v>
      </c>
    </row>
    <row r="77" spans="1:31">
      <c r="A77" t="s">
        <v>100</v>
      </c>
      <c r="B77" t="s">
        <v>44</v>
      </c>
      <c r="C77" t="s">
        <v>81</v>
      </c>
      <c r="D77" t="s">
        <v>82</v>
      </c>
      <c r="E77" t="s">
        <v>114</v>
      </c>
      <c r="F77" s="22">
        <v>46188</v>
      </c>
      <c r="G77" s="22">
        <v>46194</v>
      </c>
      <c r="H77" s="23">
        <v>84.98</v>
      </c>
      <c r="I77" s="23">
        <v>99.98</v>
      </c>
      <c r="J77" s="23">
        <v>15</v>
      </c>
      <c r="K77">
        <v>100</v>
      </c>
      <c r="L77" s="23">
        <v>1500</v>
      </c>
      <c r="M77" s="24">
        <f t="shared" si="6"/>
        <v>6.6666666666666666E-2</v>
      </c>
      <c r="N77" s="23">
        <f xml:space="preserve"> $AI$6 * L77</f>
        <v>1376.8291066429645</v>
      </c>
      <c r="O77" s="25">
        <f t="shared" si="7"/>
        <v>-8</v>
      </c>
      <c r="P77">
        <f t="shared" si="4"/>
        <v>7</v>
      </c>
      <c r="Q77" s="22">
        <f t="shared" si="5"/>
        <v>46174</v>
      </c>
      <c r="R77" s="22">
        <f t="shared" si="5"/>
        <v>46174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1376.8291066429645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1376.8291066429645</v>
      </c>
    </row>
    <row r="78" spans="1:31">
      <c r="A78" t="s">
        <v>43</v>
      </c>
      <c r="B78" t="s">
        <v>101</v>
      </c>
      <c r="C78" t="s">
        <v>81</v>
      </c>
      <c r="D78" t="s">
        <v>82</v>
      </c>
      <c r="E78" t="s">
        <v>114</v>
      </c>
      <c r="F78" s="22">
        <v>46188</v>
      </c>
      <c r="G78" s="22">
        <v>46194</v>
      </c>
      <c r="H78" s="23">
        <v>84.98</v>
      </c>
      <c r="I78" s="23">
        <v>99.98</v>
      </c>
      <c r="J78" s="23">
        <v>15</v>
      </c>
      <c r="K78">
        <v>90</v>
      </c>
      <c r="L78" s="23">
        <v>1350</v>
      </c>
      <c r="M78" s="24">
        <f t="shared" si="6"/>
        <v>6.6666666666666666E-2</v>
      </c>
      <c r="N78" s="23">
        <f xml:space="preserve"> $AI$6 * L78</f>
        <v>1239.1461959786679</v>
      </c>
      <c r="O78" s="25">
        <f t="shared" si="7"/>
        <v>-7</v>
      </c>
      <c r="P78">
        <f t="shared" si="4"/>
        <v>7</v>
      </c>
      <c r="Q78" s="22">
        <f t="shared" si="5"/>
        <v>46174</v>
      </c>
      <c r="R78" s="22">
        <f t="shared" si="5"/>
        <v>46174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1239.1461959786679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1239.1461959786679</v>
      </c>
    </row>
    <row r="79" spans="1:31">
      <c r="A79" t="s">
        <v>102</v>
      </c>
      <c r="B79" t="s">
        <v>50</v>
      </c>
      <c r="C79" t="s">
        <v>81</v>
      </c>
      <c r="D79" t="s">
        <v>82</v>
      </c>
      <c r="E79" t="s">
        <v>114</v>
      </c>
      <c r="F79" s="22">
        <v>46188</v>
      </c>
      <c r="G79" s="22">
        <v>46194</v>
      </c>
      <c r="H79" s="23">
        <v>49.98</v>
      </c>
      <c r="I79" s="23">
        <v>59.98</v>
      </c>
      <c r="J79" s="23">
        <v>10</v>
      </c>
      <c r="K79">
        <v>100</v>
      </c>
      <c r="L79" s="23">
        <v>1000</v>
      </c>
      <c r="M79" s="24">
        <f t="shared" si="6"/>
        <v>0.1</v>
      </c>
      <c r="N79" s="23">
        <f xml:space="preserve"> $AI$6 * L79</f>
        <v>917.8860710953096</v>
      </c>
      <c r="O79" s="25">
        <f t="shared" si="7"/>
        <v>-8</v>
      </c>
      <c r="P79">
        <f t="shared" si="4"/>
        <v>7</v>
      </c>
      <c r="Q79" s="22">
        <f t="shared" si="5"/>
        <v>46174</v>
      </c>
      <c r="R79" s="22">
        <f t="shared" si="5"/>
        <v>46174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917.8860710953096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917.8860710953096</v>
      </c>
    </row>
    <row r="80" spans="1:31">
      <c r="A80" t="s">
        <v>90</v>
      </c>
      <c r="B80" t="s">
        <v>115</v>
      </c>
      <c r="C80" t="s">
        <v>81</v>
      </c>
      <c r="D80" t="s">
        <v>82</v>
      </c>
      <c r="E80" t="s">
        <v>114</v>
      </c>
      <c r="F80" s="22">
        <v>46188</v>
      </c>
      <c r="G80" s="22">
        <v>46194</v>
      </c>
      <c r="H80" s="23">
        <v>29.98</v>
      </c>
      <c r="I80" s="23">
        <v>35.979999999999997</v>
      </c>
      <c r="J80" s="23">
        <v>6</v>
      </c>
      <c r="K80">
        <v>50</v>
      </c>
      <c r="L80" s="23">
        <v>300</v>
      </c>
      <c r="M80" s="24">
        <f t="shared" si="6"/>
        <v>0.16666666666666666</v>
      </c>
      <c r="N80" s="23">
        <f xml:space="preserve"> $AI$6 * L80</f>
        <v>275.36582132859286</v>
      </c>
      <c r="O80" s="25">
        <f t="shared" si="7"/>
        <v>-4</v>
      </c>
      <c r="P80">
        <f t="shared" si="4"/>
        <v>7</v>
      </c>
      <c r="Q80" s="22">
        <f t="shared" si="5"/>
        <v>46174</v>
      </c>
      <c r="R80" s="22">
        <f t="shared" si="5"/>
        <v>46174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275.36582132859286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275.36582132859286</v>
      </c>
    </row>
    <row r="81" spans="1:31">
      <c r="A81" t="s">
        <v>92</v>
      </c>
      <c r="B81" t="s">
        <v>116</v>
      </c>
      <c r="C81" t="s">
        <v>81</v>
      </c>
      <c r="D81" t="s">
        <v>82</v>
      </c>
      <c r="E81" t="s">
        <v>114</v>
      </c>
      <c r="F81" s="22">
        <v>46188</v>
      </c>
      <c r="G81" s="22">
        <v>46194</v>
      </c>
      <c r="H81" s="23">
        <v>29.98</v>
      </c>
      <c r="I81" s="23">
        <v>35.979999999999997</v>
      </c>
      <c r="J81" s="23">
        <v>6</v>
      </c>
      <c r="K81">
        <v>50</v>
      </c>
      <c r="L81" s="23">
        <v>300</v>
      </c>
      <c r="M81" s="24">
        <f t="shared" si="6"/>
        <v>0.16666666666666666</v>
      </c>
      <c r="N81" s="23">
        <f xml:space="preserve"> $AI$6 * L81</f>
        <v>275.36582132859286</v>
      </c>
      <c r="O81" s="25">
        <f t="shared" si="7"/>
        <v>-4</v>
      </c>
      <c r="P81">
        <f t="shared" si="4"/>
        <v>7</v>
      </c>
      <c r="Q81" s="22">
        <f t="shared" si="5"/>
        <v>46174</v>
      </c>
      <c r="R81" s="22">
        <f t="shared" si="5"/>
        <v>46174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275.36582132859286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275.36582132859286</v>
      </c>
    </row>
    <row r="82" spans="1:31">
      <c r="A82" t="s">
        <v>27</v>
      </c>
      <c r="B82" t="s">
        <v>117</v>
      </c>
      <c r="C82" t="s">
        <v>81</v>
      </c>
      <c r="D82" t="s">
        <v>82</v>
      </c>
      <c r="E82" t="s">
        <v>114</v>
      </c>
      <c r="F82" s="22">
        <v>46188</v>
      </c>
      <c r="G82" s="22">
        <v>46194</v>
      </c>
      <c r="H82" s="23">
        <v>29.98</v>
      </c>
      <c r="I82" s="23">
        <v>35.979999999999997</v>
      </c>
      <c r="J82" s="23">
        <v>6</v>
      </c>
      <c r="K82">
        <v>100</v>
      </c>
      <c r="L82" s="23">
        <v>600</v>
      </c>
      <c r="M82" s="24">
        <f t="shared" si="6"/>
        <v>0.16666666666666666</v>
      </c>
      <c r="N82" s="23">
        <f xml:space="preserve"> $AI$6 * L82</f>
        <v>550.73164265718572</v>
      </c>
      <c r="O82" s="25">
        <f t="shared" si="7"/>
        <v>-8</v>
      </c>
      <c r="P82">
        <f t="shared" si="4"/>
        <v>7</v>
      </c>
      <c r="Q82" s="22">
        <f t="shared" si="5"/>
        <v>46174</v>
      </c>
      <c r="R82" s="22">
        <f t="shared" si="5"/>
        <v>46174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550.73164265718572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550.73164265718572</v>
      </c>
    </row>
    <row r="83" spans="1:31">
      <c r="A83" t="s">
        <v>87</v>
      </c>
      <c r="B83" t="s">
        <v>88</v>
      </c>
      <c r="C83" t="s">
        <v>81</v>
      </c>
      <c r="D83" t="s">
        <v>10</v>
      </c>
      <c r="E83" t="s">
        <v>114</v>
      </c>
      <c r="F83" s="22">
        <v>46188</v>
      </c>
      <c r="G83" s="22">
        <v>46194</v>
      </c>
      <c r="H83" s="23">
        <v>55.98</v>
      </c>
      <c r="I83" s="23">
        <v>65.98</v>
      </c>
      <c r="J83" s="23">
        <v>10</v>
      </c>
      <c r="K83">
        <v>200</v>
      </c>
      <c r="L83" s="23">
        <v>2000</v>
      </c>
      <c r="M83" s="24">
        <f t="shared" si="6"/>
        <v>0.1</v>
      </c>
      <c r="N83" s="23">
        <f xml:space="preserve"> $AI$6 * L83</f>
        <v>1835.7721421906192</v>
      </c>
      <c r="O83" s="25">
        <f t="shared" si="7"/>
        <v>-16</v>
      </c>
      <c r="P83">
        <f t="shared" si="4"/>
        <v>7</v>
      </c>
      <c r="Q83" s="22">
        <f t="shared" si="5"/>
        <v>46174</v>
      </c>
      <c r="R83" s="22">
        <f t="shared" si="5"/>
        <v>46174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1835.7721421906192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1835.7721421906192</v>
      </c>
    </row>
    <row r="84" spans="1:31">
      <c r="A84" t="s">
        <v>94</v>
      </c>
      <c r="B84" t="s">
        <v>95</v>
      </c>
      <c r="C84" t="s">
        <v>81</v>
      </c>
      <c r="D84" t="s">
        <v>10</v>
      </c>
      <c r="E84" t="s">
        <v>114</v>
      </c>
      <c r="F84" s="22">
        <v>46188</v>
      </c>
      <c r="G84" s="22">
        <v>46194</v>
      </c>
      <c r="H84" s="23">
        <v>89.98</v>
      </c>
      <c r="I84" s="23">
        <v>109.98</v>
      </c>
      <c r="J84" s="23">
        <v>20</v>
      </c>
      <c r="K84">
        <v>300</v>
      </c>
      <c r="L84" s="23">
        <v>6000</v>
      </c>
      <c r="M84" s="24">
        <f t="shared" si="6"/>
        <v>0.05</v>
      </c>
      <c r="N84" s="23">
        <f xml:space="preserve"> $AI$6 * L84</f>
        <v>5507.3164265718578</v>
      </c>
      <c r="O84" s="25">
        <f t="shared" si="7"/>
        <v>-25</v>
      </c>
      <c r="P84">
        <f t="shared" si="4"/>
        <v>7</v>
      </c>
      <c r="Q84" s="22">
        <f t="shared" si="5"/>
        <v>46174</v>
      </c>
      <c r="R84" s="22">
        <f t="shared" si="5"/>
        <v>46174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5507.3164265718578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5507.3164265718578</v>
      </c>
    </row>
    <row r="85" spans="1:31">
      <c r="A85" t="s">
        <v>100</v>
      </c>
      <c r="B85" t="s">
        <v>44</v>
      </c>
      <c r="C85" t="s">
        <v>81</v>
      </c>
      <c r="D85" t="s">
        <v>10</v>
      </c>
      <c r="E85" t="s">
        <v>114</v>
      </c>
      <c r="F85" s="22">
        <v>46188</v>
      </c>
      <c r="G85" s="22">
        <v>46194</v>
      </c>
      <c r="H85" s="23">
        <v>84.98</v>
      </c>
      <c r="I85" s="23">
        <v>99.98</v>
      </c>
      <c r="J85" s="23">
        <v>15</v>
      </c>
      <c r="K85">
        <v>1000</v>
      </c>
      <c r="L85" s="23">
        <v>15000</v>
      </c>
      <c r="M85" s="24">
        <f t="shared" si="6"/>
        <v>6.6666666666666666E-2</v>
      </c>
      <c r="N85" s="23">
        <f xml:space="preserve"> $AI$6 * L85</f>
        <v>13768.291066429645</v>
      </c>
      <c r="O85" s="25">
        <f t="shared" si="7"/>
        <v>-82</v>
      </c>
      <c r="P85">
        <f t="shared" si="4"/>
        <v>7</v>
      </c>
      <c r="Q85" s="22">
        <f t="shared" si="5"/>
        <v>46174</v>
      </c>
      <c r="R85" s="22">
        <f t="shared" si="5"/>
        <v>46174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13768.291066429645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13768.291066429645</v>
      </c>
    </row>
    <row r="86" spans="1:31">
      <c r="A86" t="s">
        <v>43</v>
      </c>
      <c r="B86" t="s">
        <v>101</v>
      </c>
      <c r="C86" t="s">
        <v>81</v>
      </c>
      <c r="D86" t="s">
        <v>10</v>
      </c>
      <c r="E86" t="s">
        <v>114</v>
      </c>
      <c r="F86" s="22">
        <v>46188</v>
      </c>
      <c r="G86" s="22">
        <v>46194</v>
      </c>
      <c r="H86" s="23">
        <v>84.98</v>
      </c>
      <c r="I86" s="23">
        <v>99.98</v>
      </c>
      <c r="J86" s="23">
        <v>15</v>
      </c>
      <c r="K86">
        <v>900</v>
      </c>
      <c r="L86" s="23">
        <v>13500</v>
      </c>
      <c r="M86" s="24">
        <f t="shared" si="6"/>
        <v>6.6666666666666666E-2</v>
      </c>
      <c r="N86" s="23">
        <f xml:space="preserve"> $AI$6 * L86</f>
        <v>12391.46195978668</v>
      </c>
      <c r="O86" s="25">
        <f t="shared" si="7"/>
        <v>-74</v>
      </c>
      <c r="P86">
        <f t="shared" si="4"/>
        <v>7</v>
      </c>
      <c r="Q86" s="22">
        <f t="shared" si="5"/>
        <v>46174</v>
      </c>
      <c r="R86" s="22">
        <f t="shared" si="5"/>
        <v>46174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12391.46195978668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12391.46195978668</v>
      </c>
    </row>
    <row r="87" spans="1:31">
      <c r="A87" t="s">
        <v>102</v>
      </c>
      <c r="B87" t="s">
        <v>50</v>
      </c>
      <c r="C87" t="s">
        <v>81</v>
      </c>
      <c r="D87" t="s">
        <v>10</v>
      </c>
      <c r="E87" t="s">
        <v>114</v>
      </c>
      <c r="F87" s="22">
        <v>46188</v>
      </c>
      <c r="G87" s="22">
        <v>46194</v>
      </c>
      <c r="H87" s="23">
        <v>49.98</v>
      </c>
      <c r="I87" s="23">
        <v>59.98</v>
      </c>
      <c r="J87" s="23">
        <v>10</v>
      </c>
      <c r="K87">
        <v>1400</v>
      </c>
      <c r="L87" s="23">
        <v>14000</v>
      </c>
      <c r="M87" s="24">
        <f t="shared" si="6"/>
        <v>0.1</v>
      </c>
      <c r="N87" s="23">
        <f xml:space="preserve"> $AI$6 * L87</f>
        <v>12850.404995334335</v>
      </c>
      <c r="O87" s="25">
        <f t="shared" si="7"/>
        <v>-115</v>
      </c>
      <c r="P87">
        <f t="shared" si="4"/>
        <v>7</v>
      </c>
      <c r="Q87" s="22">
        <f t="shared" si="5"/>
        <v>46174</v>
      </c>
      <c r="R87" s="22">
        <f t="shared" si="5"/>
        <v>46174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12850.404995334335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12850.404995334335</v>
      </c>
    </row>
    <row r="88" spans="1:31">
      <c r="A88" t="s">
        <v>27</v>
      </c>
      <c r="B88" t="s">
        <v>117</v>
      </c>
      <c r="C88" t="s">
        <v>81</v>
      </c>
      <c r="D88" t="s">
        <v>10</v>
      </c>
      <c r="E88" t="s">
        <v>114</v>
      </c>
      <c r="F88" s="22">
        <v>46188</v>
      </c>
      <c r="G88" s="22">
        <v>46194</v>
      </c>
      <c r="H88" s="23">
        <v>29.98</v>
      </c>
      <c r="I88" s="23">
        <v>35.979999999999997</v>
      </c>
      <c r="J88" s="23">
        <v>6</v>
      </c>
      <c r="K88">
        <v>2000</v>
      </c>
      <c r="L88" s="23">
        <v>12000</v>
      </c>
      <c r="M88" s="24">
        <f t="shared" si="6"/>
        <v>0.16666666666666666</v>
      </c>
      <c r="N88" s="23">
        <f xml:space="preserve"> $AI$6 * L88</f>
        <v>11014.632853143716</v>
      </c>
      <c r="O88" s="25">
        <f t="shared" si="7"/>
        <v>-164</v>
      </c>
      <c r="P88">
        <f t="shared" si="4"/>
        <v>7</v>
      </c>
      <c r="Q88" s="22">
        <f t="shared" si="5"/>
        <v>46174</v>
      </c>
      <c r="R88" s="22">
        <f t="shared" si="5"/>
        <v>46174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11014.632853143716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11014.632853143716</v>
      </c>
    </row>
    <row r="89" spans="1:31">
      <c r="A89" t="s">
        <v>87</v>
      </c>
      <c r="B89" t="s">
        <v>88</v>
      </c>
      <c r="C89" t="s">
        <v>81</v>
      </c>
      <c r="D89" t="s">
        <v>82</v>
      </c>
      <c r="E89" t="s">
        <v>118</v>
      </c>
      <c r="F89" s="22">
        <v>46202</v>
      </c>
      <c r="G89" s="22">
        <v>46211</v>
      </c>
      <c r="H89" s="23">
        <v>55.98</v>
      </c>
      <c r="I89" s="23">
        <v>65.98</v>
      </c>
      <c r="J89" s="23">
        <v>10</v>
      </c>
      <c r="K89">
        <v>20</v>
      </c>
      <c r="L89" s="23">
        <v>200</v>
      </c>
      <c r="M89" s="24">
        <f t="shared" si="6"/>
        <v>0.1</v>
      </c>
      <c r="N89" s="23">
        <f xml:space="preserve"> $AI$6 * L89</f>
        <v>183.57721421906191</v>
      </c>
      <c r="O89" s="25">
        <f t="shared" si="7"/>
        <v>-2</v>
      </c>
      <c r="P89">
        <f t="shared" si="4"/>
        <v>10</v>
      </c>
      <c r="Q89" s="22">
        <f t="shared" si="5"/>
        <v>46174</v>
      </c>
      <c r="R89" s="22">
        <f t="shared" si="5"/>
        <v>46204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36.715442843812383</v>
      </c>
      <c r="Y89" s="17">
        <v>146.86177137524953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183.57721421906191</v>
      </c>
    </row>
    <row r="90" spans="1:31">
      <c r="A90" t="s">
        <v>47</v>
      </c>
      <c r="B90" t="s">
        <v>48</v>
      </c>
      <c r="C90" t="s">
        <v>81</v>
      </c>
      <c r="D90" t="s">
        <v>82</v>
      </c>
      <c r="E90" t="s">
        <v>118</v>
      </c>
      <c r="F90" s="22">
        <v>46202</v>
      </c>
      <c r="G90" s="22">
        <v>46211</v>
      </c>
      <c r="H90" s="23">
        <v>41.98</v>
      </c>
      <c r="I90" s="23">
        <v>49.98</v>
      </c>
      <c r="J90" s="23">
        <v>8</v>
      </c>
      <c r="K90">
        <v>100</v>
      </c>
      <c r="L90" s="23">
        <v>800</v>
      </c>
      <c r="M90" s="24">
        <f t="shared" si="6"/>
        <v>0.125</v>
      </c>
      <c r="N90" s="23">
        <f xml:space="preserve"> $AI$6 * L90</f>
        <v>734.30885687624766</v>
      </c>
      <c r="O90" s="25">
        <f t="shared" si="7"/>
        <v>-8</v>
      </c>
      <c r="P90">
        <f t="shared" si="4"/>
        <v>10</v>
      </c>
      <c r="Q90" s="22">
        <f t="shared" si="5"/>
        <v>46174</v>
      </c>
      <c r="R90" s="22">
        <f t="shared" si="5"/>
        <v>46204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146.86177137524953</v>
      </c>
      <c r="Y90" s="17">
        <v>587.44708550099813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734.30885687624766</v>
      </c>
    </row>
    <row r="91" spans="1:31">
      <c r="A91" t="s">
        <v>27</v>
      </c>
      <c r="B91" t="s">
        <v>28</v>
      </c>
      <c r="C91" t="s">
        <v>81</v>
      </c>
      <c r="D91" t="s">
        <v>82</v>
      </c>
      <c r="E91" t="s">
        <v>118</v>
      </c>
      <c r="F91" s="22">
        <v>46202</v>
      </c>
      <c r="G91" s="22">
        <v>46211</v>
      </c>
      <c r="H91" s="23">
        <v>29.98</v>
      </c>
      <c r="I91" s="23">
        <v>35.979999999999997</v>
      </c>
      <c r="J91" s="23">
        <v>6</v>
      </c>
      <c r="K91">
        <v>120</v>
      </c>
      <c r="L91" s="23">
        <v>720</v>
      </c>
      <c r="M91" s="24">
        <f t="shared" si="6"/>
        <v>0.16666666666666666</v>
      </c>
      <c r="N91" s="23">
        <f xml:space="preserve"> $AI$6 * L91</f>
        <v>660.87797118862295</v>
      </c>
      <c r="O91" s="25">
        <f t="shared" si="7"/>
        <v>-10</v>
      </c>
      <c r="P91">
        <f t="shared" si="4"/>
        <v>10</v>
      </c>
      <c r="Q91" s="22">
        <f t="shared" si="5"/>
        <v>46174</v>
      </c>
      <c r="R91" s="22">
        <f t="shared" si="5"/>
        <v>46204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132.1755942377246</v>
      </c>
      <c r="Y91" s="17">
        <v>528.70237695089838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660.87797118862295</v>
      </c>
    </row>
    <row r="92" spans="1:31">
      <c r="A92" t="s">
        <v>94</v>
      </c>
      <c r="B92" t="s">
        <v>95</v>
      </c>
      <c r="C92" t="s">
        <v>81</v>
      </c>
      <c r="D92" t="s">
        <v>82</v>
      </c>
      <c r="E92" t="s">
        <v>118</v>
      </c>
      <c r="F92" s="22">
        <v>46202</v>
      </c>
      <c r="G92" s="22">
        <v>46211</v>
      </c>
      <c r="H92" s="23">
        <v>89.98</v>
      </c>
      <c r="I92" s="23">
        <v>109.98</v>
      </c>
      <c r="J92" s="23">
        <v>20</v>
      </c>
      <c r="K92">
        <v>20</v>
      </c>
      <c r="L92" s="23">
        <v>400</v>
      </c>
      <c r="M92" s="24">
        <f t="shared" si="6"/>
        <v>0.05</v>
      </c>
      <c r="N92" s="23">
        <f xml:space="preserve"> $AI$6 * L92</f>
        <v>367.15442843812383</v>
      </c>
      <c r="O92" s="25">
        <f t="shared" si="7"/>
        <v>-2</v>
      </c>
      <c r="P92">
        <f t="shared" si="4"/>
        <v>10</v>
      </c>
      <c r="Q92" s="22">
        <f t="shared" si="5"/>
        <v>46174</v>
      </c>
      <c r="R92" s="22">
        <f t="shared" si="5"/>
        <v>46204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73.430885687624766</v>
      </c>
      <c r="Y92" s="17">
        <v>293.72354275049906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367.15442843812383</v>
      </c>
    </row>
    <row r="93" spans="1:31">
      <c r="A93" t="s">
        <v>35</v>
      </c>
      <c r="B93" t="s">
        <v>96</v>
      </c>
      <c r="C93" t="s">
        <v>81</v>
      </c>
      <c r="D93" t="s">
        <v>82</v>
      </c>
      <c r="E93" t="s">
        <v>118</v>
      </c>
      <c r="F93" s="22">
        <v>46202</v>
      </c>
      <c r="G93" s="22">
        <v>46211</v>
      </c>
      <c r="H93" s="23">
        <v>99.98</v>
      </c>
      <c r="I93" s="23">
        <v>119.98</v>
      </c>
      <c r="J93" s="23">
        <v>20</v>
      </c>
      <c r="K93">
        <v>30</v>
      </c>
      <c r="L93" s="23">
        <v>600</v>
      </c>
      <c r="M93" s="24">
        <f t="shared" si="6"/>
        <v>0.05</v>
      </c>
      <c r="N93" s="23">
        <f xml:space="preserve"> $AI$6 * L93</f>
        <v>550.73164265718572</v>
      </c>
      <c r="O93" s="25">
        <f t="shared" si="7"/>
        <v>-2</v>
      </c>
      <c r="P93">
        <f t="shared" si="4"/>
        <v>10</v>
      </c>
      <c r="Q93" s="22">
        <f t="shared" si="5"/>
        <v>46174</v>
      </c>
      <c r="R93" s="22">
        <f t="shared" si="5"/>
        <v>46204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110.14632853143715</v>
      </c>
      <c r="Y93" s="17">
        <v>440.5853141257486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550.73164265718572</v>
      </c>
    </row>
    <row r="94" spans="1:31">
      <c r="A94" t="s">
        <v>97</v>
      </c>
      <c r="B94" t="s">
        <v>98</v>
      </c>
      <c r="C94" t="s">
        <v>81</v>
      </c>
      <c r="D94" t="s">
        <v>82</v>
      </c>
      <c r="E94" t="s">
        <v>118</v>
      </c>
      <c r="F94" s="22">
        <v>46202</v>
      </c>
      <c r="G94" s="22">
        <v>46211</v>
      </c>
      <c r="H94" s="23">
        <v>119.98</v>
      </c>
      <c r="I94" s="23">
        <v>149.97999999999999</v>
      </c>
      <c r="J94" s="23">
        <v>30</v>
      </c>
      <c r="K94">
        <v>10</v>
      </c>
      <c r="L94" s="23">
        <v>300</v>
      </c>
      <c r="M94" s="24">
        <f t="shared" si="6"/>
        <v>3.3333333333333333E-2</v>
      </c>
      <c r="N94" s="23">
        <f xml:space="preserve"> $AI$6 * L94</f>
        <v>275.36582132859286</v>
      </c>
      <c r="O94" s="25">
        <f t="shared" si="7"/>
        <v>-1</v>
      </c>
      <c r="P94">
        <f t="shared" si="4"/>
        <v>10</v>
      </c>
      <c r="Q94" s="22">
        <f t="shared" si="5"/>
        <v>46174</v>
      </c>
      <c r="R94" s="22">
        <f t="shared" si="5"/>
        <v>46204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55.073164265718574</v>
      </c>
      <c r="Y94" s="17">
        <v>220.2926570628743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275.36582132859286</v>
      </c>
    </row>
    <row r="95" spans="1:31">
      <c r="A95" t="s">
        <v>45</v>
      </c>
      <c r="B95" t="s">
        <v>99</v>
      </c>
      <c r="C95" t="s">
        <v>81</v>
      </c>
      <c r="D95" t="s">
        <v>82</v>
      </c>
      <c r="E95" t="s">
        <v>118</v>
      </c>
      <c r="F95" s="22">
        <v>46202</v>
      </c>
      <c r="G95" s="22">
        <v>46211</v>
      </c>
      <c r="H95" s="23">
        <v>119.98</v>
      </c>
      <c r="I95" s="23">
        <v>149.97999999999999</v>
      </c>
      <c r="J95" s="23">
        <v>30</v>
      </c>
      <c r="K95">
        <v>30</v>
      </c>
      <c r="L95" s="23">
        <v>900</v>
      </c>
      <c r="M95" s="24">
        <f t="shared" si="6"/>
        <v>3.3333333333333333E-2</v>
      </c>
      <c r="N95" s="23">
        <f xml:space="preserve"> $AI$6 * L95</f>
        <v>826.09746398577863</v>
      </c>
      <c r="O95" s="25">
        <f t="shared" si="7"/>
        <v>-2</v>
      </c>
      <c r="P95">
        <f t="shared" si="4"/>
        <v>10</v>
      </c>
      <c r="Q95" s="22">
        <f t="shared" si="5"/>
        <v>46174</v>
      </c>
      <c r="R95" s="22">
        <f t="shared" si="5"/>
        <v>46204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165.21949279715574</v>
      </c>
      <c r="Y95" s="17">
        <v>660.87797118862295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826.09746398577863</v>
      </c>
    </row>
    <row r="96" spans="1:31">
      <c r="A96" t="s">
        <v>100</v>
      </c>
      <c r="B96" t="s">
        <v>44</v>
      </c>
      <c r="C96" t="s">
        <v>81</v>
      </c>
      <c r="D96" t="s">
        <v>82</v>
      </c>
      <c r="E96" t="s">
        <v>118</v>
      </c>
      <c r="F96" s="22">
        <v>46202</v>
      </c>
      <c r="G96" s="22">
        <v>46211</v>
      </c>
      <c r="H96" s="23">
        <v>79.98</v>
      </c>
      <c r="I96" s="23">
        <v>99.98</v>
      </c>
      <c r="J96" s="23">
        <v>20</v>
      </c>
      <c r="K96">
        <v>100</v>
      </c>
      <c r="L96" s="23">
        <v>2000</v>
      </c>
      <c r="M96" s="24">
        <f t="shared" si="6"/>
        <v>0.05</v>
      </c>
      <c r="N96" s="23">
        <f xml:space="preserve"> $AI$6 * L96</f>
        <v>1835.7721421906192</v>
      </c>
      <c r="O96" s="25">
        <f t="shared" si="7"/>
        <v>-8</v>
      </c>
      <c r="P96">
        <f t="shared" si="4"/>
        <v>10</v>
      </c>
      <c r="Q96" s="22">
        <f t="shared" si="5"/>
        <v>46174</v>
      </c>
      <c r="R96" s="22">
        <f t="shared" si="5"/>
        <v>46204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367.15442843812383</v>
      </c>
      <c r="Y96" s="17">
        <v>1468.6177137524953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1835.7721421906192</v>
      </c>
    </row>
    <row r="97" spans="1:31">
      <c r="A97" t="s">
        <v>43</v>
      </c>
      <c r="B97" t="s">
        <v>101</v>
      </c>
      <c r="C97" t="s">
        <v>81</v>
      </c>
      <c r="D97" t="s">
        <v>82</v>
      </c>
      <c r="E97" t="s">
        <v>118</v>
      </c>
      <c r="F97" s="22">
        <v>46202</v>
      </c>
      <c r="G97" s="22">
        <v>46211</v>
      </c>
      <c r="H97" s="23">
        <v>79.98</v>
      </c>
      <c r="I97" s="23">
        <v>99.98</v>
      </c>
      <c r="J97" s="23">
        <v>20</v>
      </c>
      <c r="K97">
        <v>90</v>
      </c>
      <c r="L97" s="23">
        <v>1800</v>
      </c>
      <c r="M97" s="24">
        <f t="shared" si="6"/>
        <v>0.05</v>
      </c>
      <c r="N97" s="23">
        <f xml:space="preserve"> $AI$6 * L97</f>
        <v>1652.1949279715573</v>
      </c>
      <c r="O97" s="25">
        <f t="shared" si="7"/>
        <v>-7</v>
      </c>
      <c r="P97">
        <f t="shared" si="4"/>
        <v>10</v>
      </c>
      <c r="Q97" s="22">
        <f t="shared" si="5"/>
        <v>46174</v>
      </c>
      <c r="R97" s="22">
        <f t="shared" si="5"/>
        <v>46204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330.43898559431148</v>
      </c>
      <c r="Y97" s="17">
        <v>1321.7559423772459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1652.1949279715573</v>
      </c>
    </row>
    <row r="98" spans="1:31">
      <c r="A98" t="s">
        <v>104</v>
      </c>
      <c r="B98" t="s">
        <v>32</v>
      </c>
      <c r="C98" t="s">
        <v>81</v>
      </c>
      <c r="D98" t="s">
        <v>82</v>
      </c>
      <c r="E98" t="s">
        <v>118</v>
      </c>
      <c r="F98" s="22">
        <v>46202</v>
      </c>
      <c r="G98" s="22">
        <v>46211</v>
      </c>
      <c r="H98" s="23">
        <v>58.98</v>
      </c>
      <c r="I98" s="23">
        <v>69.98</v>
      </c>
      <c r="J98" s="23">
        <v>11</v>
      </c>
      <c r="K98">
        <v>90</v>
      </c>
      <c r="L98" s="23">
        <v>990</v>
      </c>
      <c r="M98" s="24">
        <f t="shared" si="6"/>
        <v>9.0909090909090912E-2</v>
      </c>
      <c r="N98" s="23">
        <f xml:space="preserve"> $AI$6 * L98</f>
        <v>908.70721038435647</v>
      </c>
      <c r="O98" s="25">
        <f t="shared" si="7"/>
        <v>-7</v>
      </c>
      <c r="P98">
        <f t="shared" si="4"/>
        <v>10</v>
      </c>
      <c r="Q98" s="22">
        <f t="shared" si="5"/>
        <v>46174</v>
      </c>
      <c r="R98" s="22">
        <f t="shared" si="5"/>
        <v>46204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181.74144207687129</v>
      </c>
      <c r="Y98" s="17">
        <v>726.96576830748518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908.70721038435647</v>
      </c>
    </row>
    <row r="99" spans="1:31">
      <c r="A99" t="s">
        <v>102</v>
      </c>
      <c r="B99" t="s">
        <v>50</v>
      </c>
      <c r="C99" t="s">
        <v>81</v>
      </c>
      <c r="D99" t="s">
        <v>82</v>
      </c>
      <c r="E99" t="s">
        <v>118</v>
      </c>
      <c r="F99" s="22">
        <v>46202</v>
      </c>
      <c r="G99" s="22">
        <v>46211</v>
      </c>
      <c r="H99" s="23">
        <v>49.98</v>
      </c>
      <c r="I99" s="23">
        <v>59.98</v>
      </c>
      <c r="J99" s="23">
        <v>10</v>
      </c>
      <c r="K99">
        <v>100</v>
      </c>
      <c r="L99" s="23">
        <v>1000</v>
      </c>
      <c r="M99" s="24">
        <f t="shared" si="6"/>
        <v>0.1</v>
      </c>
      <c r="N99" s="23">
        <f xml:space="preserve"> $AI$6 * L99</f>
        <v>917.8860710953096</v>
      </c>
      <c r="O99" s="25">
        <f t="shared" si="7"/>
        <v>-8</v>
      </c>
      <c r="P99">
        <f t="shared" si="4"/>
        <v>10</v>
      </c>
      <c r="Q99" s="22">
        <f t="shared" si="5"/>
        <v>46174</v>
      </c>
      <c r="R99" s="22">
        <f t="shared" si="5"/>
        <v>46204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183.57721421906191</v>
      </c>
      <c r="Y99" s="17">
        <v>734.30885687624766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917.8860710953096</v>
      </c>
    </row>
    <row r="100" spans="1:31">
      <c r="A100" t="s">
        <v>105</v>
      </c>
      <c r="B100" t="s">
        <v>106</v>
      </c>
      <c r="C100" t="s">
        <v>81</v>
      </c>
      <c r="D100" t="s">
        <v>82</v>
      </c>
      <c r="E100" t="s">
        <v>118</v>
      </c>
      <c r="F100" s="22">
        <v>46202</v>
      </c>
      <c r="G100" s="22">
        <v>46211</v>
      </c>
      <c r="H100" s="23">
        <v>67.98</v>
      </c>
      <c r="I100" s="23">
        <v>79.98</v>
      </c>
      <c r="J100" s="23">
        <v>12</v>
      </c>
      <c r="K100">
        <v>100</v>
      </c>
      <c r="L100" s="23">
        <v>1200</v>
      </c>
      <c r="M100" s="24">
        <f t="shared" si="6"/>
        <v>8.3333333333333329E-2</v>
      </c>
      <c r="N100" s="23">
        <f xml:space="preserve"> $AI$6 * L100</f>
        <v>1101.4632853143714</v>
      </c>
      <c r="O100" s="25">
        <f t="shared" si="7"/>
        <v>-8</v>
      </c>
      <c r="P100">
        <f t="shared" si="4"/>
        <v>10</v>
      </c>
      <c r="Q100" s="22">
        <f t="shared" si="5"/>
        <v>46174</v>
      </c>
      <c r="R100" s="22">
        <f t="shared" si="5"/>
        <v>46204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220.2926570628743</v>
      </c>
      <c r="Y100" s="17">
        <v>881.17062825149719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1101.4632853143714</v>
      </c>
    </row>
    <row r="101" spans="1:31">
      <c r="A101" t="s">
        <v>107</v>
      </c>
      <c r="B101" t="s">
        <v>108</v>
      </c>
      <c r="C101" t="s">
        <v>81</v>
      </c>
      <c r="D101" t="s">
        <v>82</v>
      </c>
      <c r="E101" t="s">
        <v>118</v>
      </c>
      <c r="F101" s="22">
        <v>46202</v>
      </c>
      <c r="G101" s="22">
        <v>46211</v>
      </c>
      <c r="H101" s="23">
        <v>119.98</v>
      </c>
      <c r="I101" s="23">
        <v>149.97999999999999</v>
      </c>
      <c r="J101" s="23">
        <v>30</v>
      </c>
      <c r="K101">
        <v>90</v>
      </c>
      <c r="L101" s="23">
        <v>2700</v>
      </c>
      <c r="M101" s="24">
        <f t="shared" si="6"/>
        <v>3.3333333333333333E-2</v>
      </c>
      <c r="N101" s="23">
        <f xml:space="preserve"> $AI$6 * L101</f>
        <v>2478.2923919573359</v>
      </c>
      <c r="O101" s="25">
        <f t="shared" si="7"/>
        <v>-7</v>
      </c>
      <c r="P101">
        <f t="shared" si="4"/>
        <v>10</v>
      </c>
      <c r="Q101" s="22">
        <f t="shared" si="5"/>
        <v>46174</v>
      </c>
      <c r="R101" s="22">
        <f t="shared" si="5"/>
        <v>46204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495.65847839146716</v>
      </c>
      <c r="Y101" s="17">
        <v>1982.6339135658686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2478.2923919573359</v>
      </c>
    </row>
    <row r="102" spans="1:31">
      <c r="A102" t="s">
        <v>109</v>
      </c>
      <c r="B102" t="s">
        <v>110</v>
      </c>
      <c r="C102" t="s">
        <v>81</v>
      </c>
      <c r="D102" t="s">
        <v>82</v>
      </c>
      <c r="E102" t="s">
        <v>118</v>
      </c>
      <c r="F102" s="22">
        <v>46202</v>
      </c>
      <c r="G102" s="22">
        <v>46211</v>
      </c>
      <c r="H102" s="23">
        <v>23.98</v>
      </c>
      <c r="I102" s="23">
        <v>29.98</v>
      </c>
      <c r="J102" s="23">
        <v>6</v>
      </c>
      <c r="K102">
        <v>150</v>
      </c>
      <c r="L102" s="23">
        <v>900</v>
      </c>
      <c r="M102" s="24">
        <f t="shared" si="6"/>
        <v>0.16666666666666666</v>
      </c>
      <c r="N102" s="23">
        <f xml:space="preserve"> $AI$6 * L102</f>
        <v>826.09746398577863</v>
      </c>
      <c r="O102" s="25">
        <f t="shared" si="7"/>
        <v>-12</v>
      </c>
      <c r="P102">
        <f t="shared" si="4"/>
        <v>10</v>
      </c>
      <c r="Q102" s="22">
        <f t="shared" si="5"/>
        <v>46174</v>
      </c>
      <c r="R102" s="22">
        <f t="shared" si="5"/>
        <v>46204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165.21949279715574</v>
      </c>
      <c r="Y102" s="17">
        <v>660.87797118862295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826.09746398577863</v>
      </c>
    </row>
    <row r="103" spans="1:31">
      <c r="A103" t="s">
        <v>87</v>
      </c>
      <c r="B103" t="s">
        <v>88</v>
      </c>
      <c r="C103" t="s">
        <v>81</v>
      </c>
      <c r="D103" t="s">
        <v>10</v>
      </c>
      <c r="E103" t="s">
        <v>118</v>
      </c>
      <c r="F103" s="22">
        <v>46202</v>
      </c>
      <c r="G103" s="22">
        <v>46211</v>
      </c>
      <c r="H103" s="23">
        <v>55.98</v>
      </c>
      <c r="I103" s="23">
        <v>65.98</v>
      </c>
      <c r="J103" s="23">
        <v>10</v>
      </c>
      <c r="K103">
        <v>200</v>
      </c>
      <c r="L103" s="23">
        <v>2000</v>
      </c>
      <c r="M103" s="24">
        <f t="shared" si="6"/>
        <v>0.1</v>
      </c>
      <c r="N103" s="23">
        <f xml:space="preserve"> $AI$6 * L103</f>
        <v>1835.7721421906192</v>
      </c>
      <c r="O103" s="25">
        <f t="shared" si="7"/>
        <v>-16</v>
      </c>
      <c r="P103">
        <f t="shared" si="4"/>
        <v>10</v>
      </c>
      <c r="Q103" s="22">
        <f t="shared" si="5"/>
        <v>46174</v>
      </c>
      <c r="R103" s="22">
        <f t="shared" si="5"/>
        <v>46204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367.15442843812383</v>
      </c>
      <c r="Y103" s="17">
        <v>1468.6177137524953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1835.7721421906192</v>
      </c>
    </row>
    <row r="104" spans="1:31">
      <c r="A104" t="s">
        <v>47</v>
      </c>
      <c r="B104" t="s">
        <v>48</v>
      </c>
      <c r="C104" t="s">
        <v>81</v>
      </c>
      <c r="D104" t="s">
        <v>10</v>
      </c>
      <c r="E104" t="s">
        <v>118</v>
      </c>
      <c r="F104" s="22">
        <v>46202</v>
      </c>
      <c r="G104" s="22">
        <v>46211</v>
      </c>
      <c r="H104" s="23">
        <v>41.98</v>
      </c>
      <c r="I104" s="23">
        <v>49.98</v>
      </c>
      <c r="J104" s="23">
        <v>8</v>
      </c>
      <c r="K104">
        <v>300</v>
      </c>
      <c r="L104" s="23">
        <v>2400</v>
      </c>
      <c r="M104" s="24">
        <f t="shared" si="6"/>
        <v>0.125</v>
      </c>
      <c r="N104" s="23">
        <f xml:space="preserve"> $AI$6 * L104</f>
        <v>2202.9265706287429</v>
      </c>
      <c r="O104" s="25">
        <f t="shared" si="7"/>
        <v>-25</v>
      </c>
      <c r="P104">
        <f t="shared" si="4"/>
        <v>10</v>
      </c>
      <c r="Q104" s="22">
        <f t="shared" si="5"/>
        <v>46174</v>
      </c>
      <c r="R104" s="22">
        <f t="shared" si="5"/>
        <v>46204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440.5853141257486</v>
      </c>
      <c r="Y104" s="17">
        <v>1762.3412565029944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2202.9265706287429</v>
      </c>
    </row>
    <row r="105" spans="1:31">
      <c r="A105" t="s">
        <v>94</v>
      </c>
      <c r="B105" t="s">
        <v>95</v>
      </c>
      <c r="C105" t="s">
        <v>81</v>
      </c>
      <c r="D105" t="s">
        <v>10</v>
      </c>
      <c r="E105" t="s">
        <v>118</v>
      </c>
      <c r="F105" s="22">
        <v>46202</v>
      </c>
      <c r="G105" s="22">
        <v>46211</v>
      </c>
      <c r="H105" s="23">
        <v>89.98</v>
      </c>
      <c r="I105" s="23">
        <v>109.98</v>
      </c>
      <c r="J105" s="23">
        <v>20</v>
      </c>
      <c r="K105">
        <v>300</v>
      </c>
      <c r="L105" s="23">
        <v>6000</v>
      </c>
      <c r="M105" s="24">
        <f t="shared" si="6"/>
        <v>0.05</v>
      </c>
      <c r="N105" s="23">
        <f xml:space="preserve"> $AI$6 * L105</f>
        <v>5507.3164265718578</v>
      </c>
      <c r="O105" s="25">
        <f t="shared" si="7"/>
        <v>-25</v>
      </c>
      <c r="P105">
        <f t="shared" si="4"/>
        <v>10</v>
      </c>
      <c r="Q105" s="22">
        <f t="shared" si="5"/>
        <v>46174</v>
      </c>
      <c r="R105" s="22">
        <f t="shared" si="5"/>
        <v>46204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1101.4632853143717</v>
      </c>
      <c r="Y105" s="17">
        <v>4405.8531412574866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5507.3164265718588</v>
      </c>
    </row>
    <row r="106" spans="1:31">
      <c r="A106" t="s">
        <v>100</v>
      </c>
      <c r="B106" t="s">
        <v>44</v>
      </c>
      <c r="C106" t="s">
        <v>81</v>
      </c>
      <c r="D106" t="s">
        <v>10</v>
      </c>
      <c r="E106" t="s">
        <v>118</v>
      </c>
      <c r="F106" s="22">
        <v>46202</v>
      </c>
      <c r="G106" s="22">
        <v>46211</v>
      </c>
      <c r="H106" s="23">
        <v>79.98</v>
      </c>
      <c r="I106" s="23">
        <v>99.98</v>
      </c>
      <c r="J106" s="23">
        <v>20</v>
      </c>
      <c r="K106">
        <v>100</v>
      </c>
      <c r="L106" s="23">
        <v>2000</v>
      </c>
      <c r="M106" s="24">
        <f t="shared" si="6"/>
        <v>0.05</v>
      </c>
      <c r="N106" s="23">
        <f xml:space="preserve"> $AI$6 * L106</f>
        <v>1835.7721421906192</v>
      </c>
      <c r="O106" s="25">
        <f t="shared" si="7"/>
        <v>-8</v>
      </c>
      <c r="P106">
        <f t="shared" si="4"/>
        <v>10</v>
      </c>
      <c r="Q106" s="22">
        <f t="shared" si="5"/>
        <v>46174</v>
      </c>
      <c r="R106" s="22">
        <f t="shared" si="5"/>
        <v>46204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367.15442843812383</v>
      </c>
      <c r="Y106" s="17">
        <v>1468.6177137524953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1835.7721421906192</v>
      </c>
    </row>
    <row r="107" spans="1:31">
      <c r="A107" t="s">
        <v>43</v>
      </c>
      <c r="B107" t="s">
        <v>101</v>
      </c>
      <c r="C107" t="s">
        <v>81</v>
      </c>
      <c r="D107" t="s">
        <v>10</v>
      </c>
      <c r="E107" t="s">
        <v>118</v>
      </c>
      <c r="F107" s="22">
        <v>46202</v>
      </c>
      <c r="G107" s="22">
        <v>46211</v>
      </c>
      <c r="H107" s="23">
        <v>79.98</v>
      </c>
      <c r="I107" s="23">
        <v>99.98</v>
      </c>
      <c r="J107" s="23">
        <v>20</v>
      </c>
      <c r="K107">
        <v>90</v>
      </c>
      <c r="L107" s="23">
        <v>1800</v>
      </c>
      <c r="M107" s="24">
        <f t="shared" si="6"/>
        <v>0.05</v>
      </c>
      <c r="N107" s="23">
        <f xml:space="preserve"> $AI$6 * L107</f>
        <v>1652.1949279715573</v>
      </c>
      <c r="O107" s="25">
        <f t="shared" si="7"/>
        <v>-7</v>
      </c>
      <c r="P107">
        <f t="shared" si="4"/>
        <v>10</v>
      </c>
      <c r="Q107" s="22">
        <f t="shared" si="5"/>
        <v>46174</v>
      </c>
      <c r="R107" s="22">
        <f t="shared" si="5"/>
        <v>46204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330.43898559431148</v>
      </c>
      <c r="Y107" s="17">
        <v>1321.7559423772459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1652.1949279715573</v>
      </c>
    </row>
    <row r="108" spans="1:31">
      <c r="A108" t="s">
        <v>104</v>
      </c>
      <c r="B108" t="s">
        <v>32</v>
      </c>
      <c r="C108" t="s">
        <v>81</v>
      </c>
      <c r="D108" t="s">
        <v>10</v>
      </c>
      <c r="E108" t="s">
        <v>118</v>
      </c>
      <c r="F108" s="22">
        <v>46202</v>
      </c>
      <c r="G108" s="22">
        <v>46211</v>
      </c>
      <c r="H108" s="23">
        <v>58.98</v>
      </c>
      <c r="I108" s="23">
        <v>69.98</v>
      </c>
      <c r="J108" s="23">
        <v>11</v>
      </c>
      <c r="K108">
        <v>300</v>
      </c>
      <c r="L108" s="23">
        <v>3300</v>
      </c>
      <c r="M108" s="24">
        <f t="shared" si="6"/>
        <v>9.0909090909090912E-2</v>
      </c>
      <c r="N108" s="23">
        <f xml:space="preserve"> $AI$6 * L108</f>
        <v>3029.024034614522</v>
      </c>
      <c r="O108" s="25">
        <f t="shared" si="7"/>
        <v>-25</v>
      </c>
      <c r="P108">
        <f t="shared" si="4"/>
        <v>10</v>
      </c>
      <c r="Q108" s="22">
        <f t="shared" si="5"/>
        <v>46174</v>
      </c>
      <c r="R108" s="22">
        <f t="shared" si="5"/>
        <v>46204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605.80480692290439</v>
      </c>
      <c r="Y108" s="17">
        <v>2423.2192276916176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3029.024034614522</v>
      </c>
    </row>
    <row r="109" spans="1:31">
      <c r="A109" t="s">
        <v>102</v>
      </c>
      <c r="B109" t="s">
        <v>50</v>
      </c>
      <c r="C109" t="s">
        <v>81</v>
      </c>
      <c r="D109" t="s">
        <v>10</v>
      </c>
      <c r="E109" t="s">
        <v>118</v>
      </c>
      <c r="F109" s="22">
        <v>46202</v>
      </c>
      <c r="G109" s="22">
        <v>46211</v>
      </c>
      <c r="H109" s="23">
        <v>49.98</v>
      </c>
      <c r="I109" s="23">
        <v>59.98</v>
      </c>
      <c r="J109" s="23">
        <v>10</v>
      </c>
      <c r="K109">
        <v>1500</v>
      </c>
      <c r="L109" s="23">
        <v>15000</v>
      </c>
      <c r="M109" s="24">
        <f t="shared" si="6"/>
        <v>0.1</v>
      </c>
      <c r="N109" s="23">
        <f xml:space="preserve"> $AI$6 * L109</f>
        <v>13768.291066429645</v>
      </c>
      <c r="O109" s="25">
        <f t="shared" si="7"/>
        <v>-123</v>
      </c>
      <c r="P109">
        <f t="shared" si="4"/>
        <v>10</v>
      </c>
      <c r="Q109" s="22">
        <f t="shared" si="5"/>
        <v>46174</v>
      </c>
      <c r="R109" s="22">
        <f t="shared" si="5"/>
        <v>46204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2753.6582132859289</v>
      </c>
      <c r="Y109" s="17">
        <v>11014.632853143716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13768.291066429645</v>
      </c>
    </row>
    <row r="110" spans="1:31">
      <c r="A110" t="s">
        <v>105</v>
      </c>
      <c r="B110" t="s">
        <v>106</v>
      </c>
      <c r="C110" t="s">
        <v>81</v>
      </c>
      <c r="D110" t="s">
        <v>10</v>
      </c>
      <c r="E110" t="s">
        <v>118</v>
      </c>
      <c r="F110" s="22">
        <v>46202</v>
      </c>
      <c r="G110" s="22">
        <v>46211</v>
      </c>
      <c r="H110" s="23">
        <v>67.98</v>
      </c>
      <c r="I110" s="23">
        <v>79.98</v>
      </c>
      <c r="J110" s="23">
        <v>12</v>
      </c>
      <c r="K110">
        <v>1000</v>
      </c>
      <c r="L110" s="23">
        <v>12000</v>
      </c>
      <c r="M110" s="24">
        <f t="shared" si="6"/>
        <v>8.3333333333333329E-2</v>
      </c>
      <c r="N110" s="23">
        <f xml:space="preserve"> $AI$6 * L110</f>
        <v>11014.632853143716</v>
      </c>
      <c r="O110" s="25">
        <f t="shared" si="7"/>
        <v>-82</v>
      </c>
      <c r="P110">
        <f t="shared" si="4"/>
        <v>10</v>
      </c>
      <c r="Q110" s="22">
        <f t="shared" si="5"/>
        <v>46174</v>
      </c>
      <c r="R110" s="22">
        <f t="shared" si="5"/>
        <v>46204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2202.9265706287433</v>
      </c>
      <c r="Y110" s="17">
        <v>8811.7062825149733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11014.632853143718</v>
      </c>
    </row>
    <row r="111" spans="1:31">
      <c r="A111" t="s">
        <v>107</v>
      </c>
      <c r="B111" t="s">
        <v>108</v>
      </c>
      <c r="C111" t="s">
        <v>81</v>
      </c>
      <c r="D111" t="s">
        <v>10</v>
      </c>
      <c r="E111" t="s">
        <v>118</v>
      </c>
      <c r="F111" s="22">
        <v>46202</v>
      </c>
      <c r="G111" s="22">
        <v>46211</v>
      </c>
      <c r="H111" s="23">
        <v>119.98</v>
      </c>
      <c r="I111" s="23">
        <v>149.97999999999999</v>
      </c>
      <c r="J111" s="23">
        <v>30</v>
      </c>
      <c r="K111">
        <v>900</v>
      </c>
      <c r="L111" s="23">
        <v>27000</v>
      </c>
      <c r="M111" s="24">
        <f t="shared" si="6"/>
        <v>3.3333333333333333E-2</v>
      </c>
      <c r="N111" s="23">
        <f xml:space="preserve"> $AI$6 * L111</f>
        <v>24782.923919573361</v>
      </c>
      <c r="O111" s="25">
        <f t="shared" si="7"/>
        <v>-74</v>
      </c>
      <c r="P111">
        <f t="shared" si="4"/>
        <v>10</v>
      </c>
      <c r="Q111" s="22">
        <f t="shared" si="5"/>
        <v>46174</v>
      </c>
      <c r="R111" s="22">
        <f t="shared" si="5"/>
        <v>46204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4956.5847839146718</v>
      </c>
      <c r="Y111" s="17">
        <v>19826.339135658687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24782.923919573361</v>
      </c>
    </row>
    <row r="112" spans="1:31">
      <c r="A112" t="s">
        <v>109</v>
      </c>
      <c r="B112" t="s">
        <v>110</v>
      </c>
      <c r="C112" t="s">
        <v>81</v>
      </c>
      <c r="D112" t="s">
        <v>10</v>
      </c>
      <c r="E112" t="s">
        <v>118</v>
      </c>
      <c r="F112" s="22">
        <v>46202</v>
      </c>
      <c r="G112" s="22">
        <v>46211</v>
      </c>
      <c r="H112" s="23">
        <v>23.98</v>
      </c>
      <c r="I112" s="23">
        <v>29.98</v>
      </c>
      <c r="J112" s="23">
        <v>6</v>
      </c>
      <c r="K112">
        <v>2000</v>
      </c>
      <c r="L112" s="23">
        <v>12000</v>
      </c>
      <c r="M112" s="24">
        <f t="shared" si="6"/>
        <v>0.16666666666666666</v>
      </c>
      <c r="N112" s="23">
        <f xml:space="preserve"> $AI$6 * L112</f>
        <v>11014.632853143716</v>
      </c>
      <c r="O112" s="25">
        <f t="shared" si="7"/>
        <v>-164</v>
      </c>
      <c r="P112">
        <f t="shared" si="4"/>
        <v>10</v>
      </c>
      <c r="Q112" s="22">
        <f t="shared" si="5"/>
        <v>46174</v>
      </c>
      <c r="R112" s="22">
        <f t="shared" si="5"/>
        <v>46204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2202.9265706287433</v>
      </c>
      <c r="Y112" s="17">
        <v>8811.7062825149733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11014.632853143718</v>
      </c>
    </row>
    <row r="113" spans="1:31">
      <c r="A113" t="s">
        <v>27</v>
      </c>
      <c r="B113" t="s">
        <v>117</v>
      </c>
      <c r="C113" t="s">
        <v>81</v>
      </c>
      <c r="D113" t="s">
        <v>10</v>
      </c>
      <c r="E113" t="s">
        <v>118</v>
      </c>
      <c r="F113" s="22">
        <v>46202</v>
      </c>
      <c r="G113" s="22">
        <v>46211</v>
      </c>
      <c r="H113" s="23">
        <v>29.98</v>
      </c>
      <c r="I113" s="23">
        <v>35.979999999999997</v>
      </c>
      <c r="J113" s="23">
        <v>6</v>
      </c>
      <c r="K113">
        <v>2000</v>
      </c>
      <c r="L113" s="23">
        <v>12000</v>
      </c>
      <c r="M113" s="24">
        <f t="shared" si="6"/>
        <v>0.16666666666666666</v>
      </c>
      <c r="N113" s="23">
        <f xml:space="preserve"> $AI$6 * L113</f>
        <v>11014.632853143716</v>
      </c>
      <c r="O113" s="25">
        <f t="shared" si="7"/>
        <v>-164</v>
      </c>
      <c r="P113">
        <f t="shared" si="4"/>
        <v>10</v>
      </c>
      <c r="Q113" s="22">
        <f t="shared" si="5"/>
        <v>46174</v>
      </c>
      <c r="R113" s="22">
        <f t="shared" si="5"/>
        <v>46204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2202.9265706287433</v>
      </c>
      <c r="Y113" s="17">
        <v>8811.7062825149733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11014.632853143718</v>
      </c>
    </row>
    <row r="114" spans="1:31">
      <c r="A114" t="s">
        <v>84</v>
      </c>
      <c r="B114" t="s">
        <v>85</v>
      </c>
      <c r="C114" t="s">
        <v>81</v>
      </c>
      <c r="D114" t="s">
        <v>82</v>
      </c>
      <c r="E114" t="s">
        <v>119</v>
      </c>
      <c r="F114" s="22">
        <v>46237</v>
      </c>
      <c r="G114" s="22">
        <v>46243</v>
      </c>
      <c r="H114" s="23">
        <v>99.98</v>
      </c>
      <c r="I114" s="23">
        <v>159.97999999999999</v>
      </c>
      <c r="J114" s="23">
        <v>60</v>
      </c>
      <c r="K114">
        <v>50</v>
      </c>
      <c r="L114" s="23">
        <v>3000</v>
      </c>
      <c r="M114" s="24">
        <f t="shared" si="6"/>
        <v>1.6666666666666666E-2</v>
      </c>
      <c r="N114" s="23">
        <f xml:space="preserve"> $AI$6 * L114</f>
        <v>2753.6582132859289</v>
      </c>
      <c r="O114" s="25">
        <f t="shared" si="7"/>
        <v>-4</v>
      </c>
      <c r="P114">
        <f t="shared" si="4"/>
        <v>7</v>
      </c>
      <c r="Q114" s="22">
        <f t="shared" si="5"/>
        <v>46235</v>
      </c>
      <c r="R114" s="22">
        <f t="shared" si="5"/>
        <v>46235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2753.6582132859289</v>
      </c>
      <c r="AA114" s="17">
        <v>0</v>
      </c>
      <c r="AB114" s="17">
        <v>0</v>
      </c>
      <c r="AC114" s="17">
        <v>0</v>
      </c>
      <c r="AD114" s="17">
        <v>0</v>
      </c>
      <c r="AE114" s="17">
        <v>2753.6582132859289</v>
      </c>
    </row>
    <row r="115" spans="1:31">
      <c r="A115" t="s">
        <v>94</v>
      </c>
      <c r="B115" t="s">
        <v>95</v>
      </c>
      <c r="C115" t="s">
        <v>81</v>
      </c>
      <c r="D115" t="s">
        <v>82</v>
      </c>
      <c r="E115" t="s">
        <v>119</v>
      </c>
      <c r="F115" s="22">
        <v>46237</v>
      </c>
      <c r="G115" s="22">
        <v>46243</v>
      </c>
      <c r="H115" s="23">
        <v>89.98</v>
      </c>
      <c r="I115" s="23">
        <v>109.98</v>
      </c>
      <c r="J115" s="23">
        <v>20</v>
      </c>
      <c r="K115">
        <v>20</v>
      </c>
      <c r="L115" s="23">
        <v>400</v>
      </c>
      <c r="M115" s="24">
        <f t="shared" si="6"/>
        <v>0.05</v>
      </c>
      <c r="N115" s="23">
        <f xml:space="preserve"> $AI$6 * L115</f>
        <v>367.15442843812383</v>
      </c>
      <c r="O115" s="25">
        <f t="shared" si="7"/>
        <v>-2</v>
      </c>
      <c r="P115">
        <f t="shared" si="4"/>
        <v>7</v>
      </c>
      <c r="Q115" s="22">
        <f t="shared" si="5"/>
        <v>46235</v>
      </c>
      <c r="R115" s="22">
        <f t="shared" si="5"/>
        <v>46235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367.15442843812383</v>
      </c>
      <c r="AA115" s="17">
        <v>0</v>
      </c>
      <c r="AB115" s="17">
        <v>0</v>
      </c>
      <c r="AC115" s="17">
        <v>0</v>
      </c>
      <c r="AD115" s="17">
        <v>0</v>
      </c>
      <c r="AE115" s="17">
        <v>367.15442843812383</v>
      </c>
    </row>
    <row r="116" spans="1:31">
      <c r="A116" t="s">
        <v>97</v>
      </c>
      <c r="B116" t="s">
        <v>98</v>
      </c>
      <c r="C116" t="s">
        <v>81</v>
      </c>
      <c r="D116" t="s">
        <v>82</v>
      </c>
      <c r="E116" t="s">
        <v>119</v>
      </c>
      <c r="F116" s="22">
        <v>46237</v>
      </c>
      <c r="G116" s="22">
        <v>46243</v>
      </c>
      <c r="H116" s="23">
        <v>119.98</v>
      </c>
      <c r="I116" s="23">
        <v>149.97999999999999</v>
      </c>
      <c r="J116" s="23">
        <v>30</v>
      </c>
      <c r="K116">
        <v>10</v>
      </c>
      <c r="L116" s="23">
        <v>300</v>
      </c>
      <c r="M116" s="24">
        <f t="shared" si="6"/>
        <v>3.3333333333333333E-2</v>
      </c>
      <c r="N116" s="23">
        <f xml:space="preserve"> $AI$6 * L116</f>
        <v>275.36582132859286</v>
      </c>
      <c r="O116" s="25">
        <f t="shared" si="7"/>
        <v>-1</v>
      </c>
      <c r="P116">
        <f t="shared" si="4"/>
        <v>7</v>
      </c>
      <c r="Q116" s="22">
        <f t="shared" si="5"/>
        <v>46235</v>
      </c>
      <c r="R116" s="22">
        <f t="shared" si="5"/>
        <v>46235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275.36582132859286</v>
      </c>
      <c r="AA116" s="17">
        <v>0</v>
      </c>
      <c r="AB116" s="17">
        <v>0</v>
      </c>
      <c r="AC116" s="17">
        <v>0</v>
      </c>
      <c r="AD116" s="17">
        <v>0</v>
      </c>
      <c r="AE116" s="17">
        <v>275.36582132859286</v>
      </c>
    </row>
    <row r="117" spans="1:31">
      <c r="A117" t="s">
        <v>45</v>
      </c>
      <c r="B117" t="s">
        <v>99</v>
      </c>
      <c r="C117" t="s">
        <v>81</v>
      </c>
      <c r="D117" t="s">
        <v>82</v>
      </c>
      <c r="E117" t="s">
        <v>119</v>
      </c>
      <c r="F117" s="22">
        <v>46237</v>
      </c>
      <c r="G117" s="22">
        <v>46243</v>
      </c>
      <c r="H117" s="23">
        <v>119.98</v>
      </c>
      <c r="I117" s="23">
        <v>149.97999999999999</v>
      </c>
      <c r="J117" s="23">
        <v>30</v>
      </c>
      <c r="K117">
        <v>30</v>
      </c>
      <c r="L117" s="23">
        <v>900</v>
      </c>
      <c r="M117" s="24">
        <f t="shared" si="6"/>
        <v>3.3333333333333333E-2</v>
      </c>
      <c r="N117" s="23">
        <f xml:space="preserve"> $AI$6 * L117</f>
        <v>826.09746398577863</v>
      </c>
      <c r="O117" s="25">
        <f t="shared" si="7"/>
        <v>-2</v>
      </c>
      <c r="P117">
        <f t="shared" si="4"/>
        <v>7</v>
      </c>
      <c r="Q117" s="22">
        <f t="shared" si="5"/>
        <v>46235</v>
      </c>
      <c r="R117" s="22">
        <f t="shared" si="5"/>
        <v>46235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826.09746398577863</v>
      </c>
      <c r="AA117" s="17">
        <v>0</v>
      </c>
      <c r="AB117" s="17">
        <v>0</v>
      </c>
      <c r="AC117" s="17">
        <v>0</v>
      </c>
      <c r="AD117" s="17">
        <v>0</v>
      </c>
      <c r="AE117" s="17">
        <v>826.09746398577863</v>
      </c>
    </row>
    <row r="118" spans="1:31">
      <c r="A118" t="s">
        <v>100</v>
      </c>
      <c r="B118" t="s">
        <v>44</v>
      </c>
      <c r="C118" t="s">
        <v>81</v>
      </c>
      <c r="D118" t="s">
        <v>82</v>
      </c>
      <c r="E118" t="s">
        <v>119</v>
      </c>
      <c r="F118" s="22">
        <v>46237</v>
      </c>
      <c r="G118" s="22">
        <v>46243</v>
      </c>
      <c r="H118" s="23">
        <v>79.98</v>
      </c>
      <c r="I118" s="23">
        <v>99.98</v>
      </c>
      <c r="J118" s="23">
        <v>20</v>
      </c>
      <c r="K118">
        <v>100</v>
      </c>
      <c r="L118" s="23">
        <v>2000</v>
      </c>
      <c r="M118" s="24">
        <f t="shared" si="6"/>
        <v>0.05</v>
      </c>
      <c r="N118" s="23">
        <f xml:space="preserve"> $AI$6 * L118</f>
        <v>1835.7721421906192</v>
      </c>
      <c r="O118" s="25">
        <f t="shared" si="7"/>
        <v>-8</v>
      </c>
      <c r="P118">
        <f t="shared" si="4"/>
        <v>7</v>
      </c>
      <c r="Q118" s="22">
        <f t="shared" si="5"/>
        <v>46235</v>
      </c>
      <c r="R118" s="22">
        <f t="shared" si="5"/>
        <v>46235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1835.7721421906192</v>
      </c>
      <c r="AA118" s="17">
        <v>0</v>
      </c>
      <c r="AB118" s="17">
        <v>0</v>
      </c>
      <c r="AC118" s="17">
        <v>0</v>
      </c>
      <c r="AD118" s="17">
        <v>0</v>
      </c>
      <c r="AE118" s="17">
        <v>1835.7721421906192</v>
      </c>
    </row>
    <row r="119" spans="1:31">
      <c r="A119" t="s">
        <v>43</v>
      </c>
      <c r="B119" t="s">
        <v>101</v>
      </c>
      <c r="C119" t="s">
        <v>81</v>
      </c>
      <c r="D119" t="s">
        <v>82</v>
      </c>
      <c r="E119" t="s">
        <v>119</v>
      </c>
      <c r="F119" s="22">
        <v>46237</v>
      </c>
      <c r="G119" s="22">
        <v>46243</v>
      </c>
      <c r="H119" s="23">
        <v>79.98</v>
      </c>
      <c r="I119" s="23">
        <v>99.98</v>
      </c>
      <c r="J119" s="23">
        <v>20</v>
      </c>
      <c r="K119">
        <v>90</v>
      </c>
      <c r="L119" s="23">
        <v>1800</v>
      </c>
      <c r="M119" s="24">
        <f t="shared" si="6"/>
        <v>0.05</v>
      </c>
      <c r="N119" s="23">
        <f xml:space="preserve"> $AI$6 * L119</f>
        <v>1652.1949279715573</v>
      </c>
      <c r="O119" s="25">
        <f t="shared" si="7"/>
        <v>-7</v>
      </c>
      <c r="P119">
        <f t="shared" si="4"/>
        <v>7</v>
      </c>
      <c r="Q119" s="22">
        <f t="shared" si="5"/>
        <v>46235</v>
      </c>
      <c r="R119" s="22">
        <f t="shared" si="5"/>
        <v>46235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1652.1949279715573</v>
      </c>
      <c r="AA119" s="17">
        <v>0</v>
      </c>
      <c r="AB119" s="17">
        <v>0</v>
      </c>
      <c r="AC119" s="17">
        <v>0</v>
      </c>
      <c r="AD119" s="17">
        <v>0</v>
      </c>
      <c r="AE119" s="17">
        <v>1652.1949279715573</v>
      </c>
    </row>
    <row r="120" spans="1:31">
      <c r="A120" t="s">
        <v>107</v>
      </c>
      <c r="B120" t="s">
        <v>108</v>
      </c>
      <c r="C120" t="s">
        <v>81</v>
      </c>
      <c r="D120" t="s">
        <v>82</v>
      </c>
      <c r="E120" t="s">
        <v>119</v>
      </c>
      <c r="F120" s="22">
        <v>46237</v>
      </c>
      <c r="G120" s="22">
        <v>46243</v>
      </c>
      <c r="H120" s="23">
        <v>119.98</v>
      </c>
      <c r="I120" s="23">
        <v>149.97999999999999</v>
      </c>
      <c r="J120" s="23">
        <v>30</v>
      </c>
      <c r="K120">
        <v>40</v>
      </c>
      <c r="L120" s="23">
        <v>1200</v>
      </c>
      <c r="M120" s="24">
        <f t="shared" si="6"/>
        <v>3.3333333333333333E-2</v>
      </c>
      <c r="N120" s="23">
        <f xml:space="preserve"> $AI$6 * L120</f>
        <v>1101.4632853143714</v>
      </c>
      <c r="O120" s="25">
        <f t="shared" si="7"/>
        <v>-3</v>
      </c>
      <c r="P120">
        <f t="shared" si="4"/>
        <v>7</v>
      </c>
      <c r="Q120" s="22">
        <f t="shared" si="5"/>
        <v>46235</v>
      </c>
      <c r="R120" s="22">
        <f t="shared" si="5"/>
        <v>46235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1101.4632853143714</v>
      </c>
      <c r="AA120" s="17">
        <v>0</v>
      </c>
      <c r="AB120" s="17">
        <v>0</v>
      </c>
      <c r="AC120" s="17">
        <v>0</v>
      </c>
      <c r="AD120" s="17">
        <v>0</v>
      </c>
      <c r="AE120" s="17">
        <v>1101.4632853143714</v>
      </c>
    </row>
    <row r="121" spans="1:31">
      <c r="A121" t="s">
        <v>112</v>
      </c>
      <c r="B121" t="s">
        <v>113</v>
      </c>
      <c r="C121" t="s">
        <v>81</v>
      </c>
      <c r="D121" t="s">
        <v>82</v>
      </c>
      <c r="E121" t="s">
        <v>119</v>
      </c>
      <c r="F121" s="22">
        <v>46237</v>
      </c>
      <c r="G121" s="22">
        <v>46243</v>
      </c>
      <c r="H121" s="23">
        <v>23.98</v>
      </c>
      <c r="I121" s="23">
        <v>29.98</v>
      </c>
      <c r="J121" s="23">
        <v>6</v>
      </c>
      <c r="K121">
        <v>90</v>
      </c>
      <c r="L121" s="23">
        <v>540</v>
      </c>
      <c r="M121" s="24">
        <f t="shared" si="6"/>
        <v>0.16666666666666666</v>
      </c>
      <c r="N121" s="23">
        <f xml:space="preserve"> $AI$6 * L121</f>
        <v>495.65847839146721</v>
      </c>
      <c r="O121" s="25">
        <f t="shared" si="7"/>
        <v>-7</v>
      </c>
      <c r="P121">
        <f t="shared" si="4"/>
        <v>7</v>
      </c>
      <c r="Q121" s="22">
        <f t="shared" si="5"/>
        <v>46235</v>
      </c>
      <c r="R121" s="22">
        <f t="shared" si="5"/>
        <v>46235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495.65847839146721</v>
      </c>
      <c r="AA121" s="17">
        <v>0</v>
      </c>
      <c r="AB121" s="17">
        <v>0</v>
      </c>
      <c r="AC121" s="17">
        <v>0</v>
      </c>
      <c r="AD121" s="17">
        <v>0</v>
      </c>
      <c r="AE121" s="17">
        <v>495.65847839146721</v>
      </c>
    </row>
    <row r="122" spans="1:31">
      <c r="A122" t="s">
        <v>109</v>
      </c>
      <c r="B122" t="s">
        <v>110</v>
      </c>
      <c r="C122" t="s">
        <v>81</v>
      </c>
      <c r="D122" t="s">
        <v>82</v>
      </c>
      <c r="E122" t="s">
        <v>119</v>
      </c>
      <c r="F122" s="22">
        <v>46237</v>
      </c>
      <c r="G122" s="22">
        <v>46243</v>
      </c>
      <c r="H122" s="23">
        <v>23.98</v>
      </c>
      <c r="I122" s="23">
        <v>29.98</v>
      </c>
      <c r="J122" s="23">
        <v>6</v>
      </c>
      <c r="K122">
        <v>150</v>
      </c>
      <c r="L122" s="23">
        <v>900</v>
      </c>
      <c r="M122" s="24">
        <f t="shared" si="6"/>
        <v>0.16666666666666666</v>
      </c>
      <c r="N122" s="23">
        <f xml:space="preserve"> $AI$6 * L122</f>
        <v>826.09746398577863</v>
      </c>
      <c r="O122" s="25">
        <f t="shared" si="7"/>
        <v>-12</v>
      </c>
      <c r="P122">
        <f t="shared" si="4"/>
        <v>7</v>
      </c>
      <c r="Q122" s="22">
        <f t="shared" si="5"/>
        <v>46235</v>
      </c>
      <c r="R122" s="22">
        <f t="shared" si="5"/>
        <v>46235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826.09746398577863</v>
      </c>
      <c r="AA122" s="17">
        <v>0</v>
      </c>
      <c r="AB122" s="17">
        <v>0</v>
      </c>
      <c r="AC122" s="17">
        <v>0</v>
      </c>
      <c r="AD122" s="17">
        <v>0</v>
      </c>
      <c r="AE122" s="17">
        <v>826.09746398577863</v>
      </c>
    </row>
    <row r="123" spans="1:31">
      <c r="A123" t="s">
        <v>84</v>
      </c>
      <c r="B123" t="s">
        <v>85</v>
      </c>
      <c r="C123" t="s">
        <v>81</v>
      </c>
      <c r="D123" t="s">
        <v>10</v>
      </c>
      <c r="E123" t="s">
        <v>119</v>
      </c>
      <c r="F123" s="22">
        <v>46237</v>
      </c>
      <c r="G123" s="22">
        <v>46243</v>
      </c>
      <c r="H123" s="23">
        <v>99.98</v>
      </c>
      <c r="I123" s="23">
        <v>159.97999999999999</v>
      </c>
      <c r="J123" s="23">
        <v>60</v>
      </c>
      <c r="K123">
        <v>350</v>
      </c>
      <c r="L123" s="23">
        <v>21000</v>
      </c>
      <c r="M123" s="24">
        <f t="shared" si="6"/>
        <v>1.6666666666666666E-2</v>
      </c>
      <c r="N123" s="23">
        <f xml:space="preserve"> $AI$6 * L123</f>
        <v>19275.607493001502</v>
      </c>
      <c r="O123" s="25">
        <f t="shared" si="7"/>
        <v>-29</v>
      </c>
      <c r="P123">
        <f t="shared" si="4"/>
        <v>7</v>
      </c>
      <c r="Q123" s="22">
        <f t="shared" si="5"/>
        <v>46235</v>
      </c>
      <c r="R123" s="22">
        <f t="shared" si="5"/>
        <v>46235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19275.607493001502</v>
      </c>
      <c r="AA123" s="17">
        <v>0</v>
      </c>
      <c r="AB123" s="17">
        <v>0</v>
      </c>
      <c r="AC123" s="17">
        <v>0</v>
      </c>
      <c r="AD123" s="17">
        <v>0</v>
      </c>
      <c r="AE123" s="17">
        <v>19275.607493001502</v>
      </c>
    </row>
    <row r="124" spans="1:31">
      <c r="A124" t="s">
        <v>94</v>
      </c>
      <c r="B124" t="s">
        <v>95</v>
      </c>
      <c r="C124" t="s">
        <v>81</v>
      </c>
      <c r="D124" t="s">
        <v>10</v>
      </c>
      <c r="E124" t="s">
        <v>119</v>
      </c>
      <c r="F124" s="22">
        <v>46237</v>
      </c>
      <c r="G124" s="22">
        <v>46243</v>
      </c>
      <c r="H124" s="23">
        <v>89.98</v>
      </c>
      <c r="I124" s="23">
        <v>109.98</v>
      </c>
      <c r="J124" s="23">
        <v>20</v>
      </c>
      <c r="K124">
        <v>200</v>
      </c>
      <c r="L124" s="23">
        <v>4000</v>
      </c>
      <c r="M124" s="24">
        <f t="shared" si="6"/>
        <v>0.05</v>
      </c>
      <c r="N124" s="23">
        <f xml:space="preserve"> $AI$6 * L124</f>
        <v>3671.5442843812384</v>
      </c>
      <c r="O124" s="25">
        <f t="shared" si="7"/>
        <v>-16</v>
      </c>
      <c r="P124">
        <f t="shared" si="4"/>
        <v>7</v>
      </c>
      <c r="Q124" s="22">
        <f t="shared" si="5"/>
        <v>46235</v>
      </c>
      <c r="R124" s="22">
        <f t="shared" si="5"/>
        <v>46235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3671.5442843812384</v>
      </c>
      <c r="AA124" s="17">
        <v>0</v>
      </c>
      <c r="AB124" s="17">
        <v>0</v>
      </c>
      <c r="AC124" s="17">
        <v>0</v>
      </c>
      <c r="AD124" s="17">
        <v>0</v>
      </c>
      <c r="AE124" s="17">
        <v>3671.5442843812384</v>
      </c>
    </row>
    <row r="125" spans="1:31">
      <c r="A125" t="s">
        <v>100</v>
      </c>
      <c r="B125" t="s">
        <v>44</v>
      </c>
      <c r="C125" t="s">
        <v>81</v>
      </c>
      <c r="D125" t="s">
        <v>10</v>
      </c>
      <c r="E125" t="s">
        <v>119</v>
      </c>
      <c r="F125" s="22">
        <v>46237</v>
      </c>
      <c r="G125" s="22">
        <v>46243</v>
      </c>
      <c r="H125" s="23">
        <v>79.98</v>
      </c>
      <c r="I125" s="23">
        <v>99.98</v>
      </c>
      <c r="J125" s="23">
        <v>20</v>
      </c>
      <c r="K125">
        <v>100</v>
      </c>
      <c r="L125" s="23">
        <v>2000</v>
      </c>
      <c r="M125" s="24">
        <f t="shared" si="6"/>
        <v>0.05</v>
      </c>
      <c r="N125" s="23">
        <f xml:space="preserve"> $AI$6 * L125</f>
        <v>1835.7721421906192</v>
      </c>
      <c r="O125" s="25">
        <f t="shared" si="7"/>
        <v>-8</v>
      </c>
      <c r="P125">
        <f t="shared" si="4"/>
        <v>7</v>
      </c>
      <c r="Q125" s="22">
        <f t="shared" si="5"/>
        <v>46235</v>
      </c>
      <c r="R125" s="22">
        <f t="shared" si="5"/>
        <v>46235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1835.7721421906192</v>
      </c>
      <c r="AA125" s="17">
        <v>0</v>
      </c>
      <c r="AB125" s="17">
        <v>0</v>
      </c>
      <c r="AC125" s="17">
        <v>0</v>
      </c>
      <c r="AD125" s="17">
        <v>0</v>
      </c>
      <c r="AE125" s="17">
        <v>1835.7721421906192</v>
      </c>
    </row>
    <row r="126" spans="1:31">
      <c r="A126" t="s">
        <v>43</v>
      </c>
      <c r="B126" t="s">
        <v>101</v>
      </c>
      <c r="C126" t="s">
        <v>81</v>
      </c>
      <c r="D126" t="s">
        <v>10</v>
      </c>
      <c r="E126" t="s">
        <v>119</v>
      </c>
      <c r="F126" s="22">
        <v>46237</v>
      </c>
      <c r="G126" s="22">
        <v>46243</v>
      </c>
      <c r="H126" s="23">
        <v>79.98</v>
      </c>
      <c r="I126" s="23">
        <v>99.98</v>
      </c>
      <c r="J126" s="23">
        <v>20</v>
      </c>
      <c r="K126">
        <v>90</v>
      </c>
      <c r="L126" s="23">
        <v>1800</v>
      </c>
      <c r="M126" s="24">
        <f t="shared" si="6"/>
        <v>0.05</v>
      </c>
      <c r="N126" s="23">
        <f xml:space="preserve"> $AI$6 * L126</f>
        <v>1652.1949279715573</v>
      </c>
      <c r="O126" s="25">
        <f t="shared" si="7"/>
        <v>-7</v>
      </c>
      <c r="P126">
        <f t="shared" si="4"/>
        <v>7</v>
      </c>
      <c r="Q126" s="22">
        <f t="shared" si="5"/>
        <v>46235</v>
      </c>
      <c r="R126" s="22">
        <f t="shared" si="5"/>
        <v>46235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1652.1949279715573</v>
      </c>
      <c r="AA126" s="17">
        <v>0</v>
      </c>
      <c r="AB126" s="17">
        <v>0</v>
      </c>
      <c r="AC126" s="17">
        <v>0</v>
      </c>
      <c r="AD126" s="17">
        <v>0</v>
      </c>
      <c r="AE126" s="17">
        <v>1652.1949279715573</v>
      </c>
    </row>
    <row r="127" spans="1:31">
      <c r="A127" t="s">
        <v>107</v>
      </c>
      <c r="B127" t="s">
        <v>108</v>
      </c>
      <c r="C127" t="s">
        <v>81</v>
      </c>
      <c r="D127" t="s">
        <v>10</v>
      </c>
      <c r="E127" t="s">
        <v>119</v>
      </c>
      <c r="F127" s="22">
        <v>46237</v>
      </c>
      <c r="G127" s="22">
        <v>46243</v>
      </c>
      <c r="H127" s="23">
        <v>119.98</v>
      </c>
      <c r="I127" s="23">
        <v>149.97999999999999</v>
      </c>
      <c r="J127" s="23">
        <v>30</v>
      </c>
      <c r="K127">
        <v>290</v>
      </c>
      <c r="L127" s="23">
        <v>8700</v>
      </c>
      <c r="M127" s="24">
        <f t="shared" si="6"/>
        <v>3.3333333333333333E-2</v>
      </c>
      <c r="N127" s="23">
        <f xml:space="preserve"> $AI$6 * L127</f>
        <v>7985.6088185291937</v>
      </c>
      <c r="O127" s="25">
        <f t="shared" si="7"/>
        <v>-24</v>
      </c>
      <c r="P127">
        <f t="shared" si="4"/>
        <v>7</v>
      </c>
      <c r="Q127" s="22">
        <f t="shared" si="5"/>
        <v>46235</v>
      </c>
      <c r="R127" s="22">
        <f t="shared" si="5"/>
        <v>46235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7985.6088185291937</v>
      </c>
      <c r="AA127" s="17">
        <v>0</v>
      </c>
      <c r="AB127" s="17">
        <v>0</v>
      </c>
      <c r="AC127" s="17">
        <v>0</v>
      </c>
      <c r="AD127" s="17">
        <v>0</v>
      </c>
      <c r="AE127" s="17">
        <v>7985.6088185291937</v>
      </c>
    </row>
    <row r="128" spans="1:31">
      <c r="A128" t="s">
        <v>109</v>
      </c>
      <c r="B128" t="s">
        <v>110</v>
      </c>
      <c r="C128" t="s">
        <v>81</v>
      </c>
      <c r="D128" t="s">
        <v>10</v>
      </c>
      <c r="E128" t="s">
        <v>119</v>
      </c>
      <c r="F128" s="22">
        <v>46237</v>
      </c>
      <c r="G128" s="22">
        <v>46243</v>
      </c>
      <c r="H128" s="23">
        <v>23.98</v>
      </c>
      <c r="I128" s="23">
        <v>29.98</v>
      </c>
      <c r="J128" s="23">
        <v>6</v>
      </c>
      <c r="K128">
        <v>1500</v>
      </c>
      <c r="L128" s="23">
        <v>9000</v>
      </c>
      <c r="M128" s="24">
        <f t="shared" si="6"/>
        <v>0.16666666666666666</v>
      </c>
      <c r="N128" s="23">
        <f xml:space="preserve"> $AI$6 * L128</f>
        <v>8260.9746398577863</v>
      </c>
      <c r="O128" s="25">
        <f t="shared" si="7"/>
        <v>-123</v>
      </c>
      <c r="P128">
        <f t="shared" si="4"/>
        <v>7</v>
      </c>
      <c r="Q128" s="22">
        <f t="shared" si="5"/>
        <v>46235</v>
      </c>
      <c r="R128" s="22">
        <f t="shared" si="5"/>
        <v>46235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8260.9746398577863</v>
      </c>
      <c r="AA128" s="17">
        <v>0</v>
      </c>
      <c r="AB128" s="17">
        <v>0</v>
      </c>
      <c r="AC128" s="17">
        <v>0</v>
      </c>
      <c r="AD128" s="17">
        <v>0</v>
      </c>
      <c r="AE128" s="17">
        <v>8260.9746398577863</v>
      </c>
    </row>
    <row r="129" spans="1:31">
      <c r="A129" t="s">
        <v>87</v>
      </c>
      <c r="B129" t="s">
        <v>88</v>
      </c>
      <c r="C129" t="s">
        <v>81</v>
      </c>
      <c r="D129" t="s">
        <v>82</v>
      </c>
      <c r="E129" t="s">
        <v>120</v>
      </c>
      <c r="F129" s="22">
        <v>46265</v>
      </c>
      <c r="G129" s="22">
        <v>46271</v>
      </c>
      <c r="H129" s="23">
        <v>55.98</v>
      </c>
      <c r="I129" s="23">
        <v>65.98</v>
      </c>
      <c r="J129" s="23">
        <v>10</v>
      </c>
      <c r="K129">
        <v>20</v>
      </c>
      <c r="L129" s="23">
        <v>200</v>
      </c>
      <c r="M129" s="24">
        <f t="shared" si="6"/>
        <v>0.1</v>
      </c>
      <c r="N129" s="23">
        <f xml:space="preserve"> $AI$6 * L129</f>
        <v>183.57721421906191</v>
      </c>
      <c r="O129" s="25">
        <f t="shared" si="7"/>
        <v>-2</v>
      </c>
      <c r="P129">
        <f t="shared" si="4"/>
        <v>7</v>
      </c>
      <c r="Q129" s="22">
        <f t="shared" si="5"/>
        <v>46235</v>
      </c>
      <c r="R129" s="22">
        <f t="shared" si="5"/>
        <v>46266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26.225316317008843</v>
      </c>
      <c r="AA129" s="17">
        <v>157.35189790205305</v>
      </c>
      <c r="AB129" s="17">
        <v>0</v>
      </c>
      <c r="AC129" s="17">
        <v>0</v>
      </c>
      <c r="AD129" s="17">
        <v>0</v>
      </c>
      <c r="AE129" s="17">
        <v>183.57721421906189</v>
      </c>
    </row>
    <row r="130" spans="1:31">
      <c r="A130" t="s">
        <v>33</v>
      </c>
      <c r="B130" t="s">
        <v>34</v>
      </c>
      <c r="C130" t="s">
        <v>81</v>
      </c>
      <c r="D130" t="s">
        <v>82</v>
      </c>
      <c r="E130" t="s">
        <v>120</v>
      </c>
      <c r="F130" s="22">
        <v>46265</v>
      </c>
      <c r="G130" s="22">
        <v>46271</v>
      </c>
      <c r="H130" s="23">
        <v>50.98</v>
      </c>
      <c r="I130" s="23">
        <v>59.98</v>
      </c>
      <c r="J130" s="23">
        <v>9</v>
      </c>
      <c r="K130">
        <v>100</v>
      </c>
      <c r="L130" s="23">
        <v>900</v>
      </c>
      <c r="M130" s="24">
        <f t="shared" si="6"/>
        <v>0.1111111111111111</v>
      </c>
      <c r="N130" s="23">
        <f xml:space="preserve"> $AI$6 * L130</f>
        <v>826.09746398577863</v>
      </c>
      <c r="O130" s="25">
        <f t="shared" si="7"/>
        <v>-8</v>
      </c>
      <c r="P130">
        <f t="shared" ref="P130:P193" si="8" xml:space="preserve"> G130 - F130 + 1</f>
        <v>7</v>
      </c>
      <c r="Q130" s="22">
        <f t="shared" ref="Q130:R193" si="9" xml:space="preserve"> EOMONTH(F130, -1) + 1</f>
        <v>46235</v>
      </c>
      <c r="R130" s="22">
        <f t="shared" si="9"/>
        <v>46266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118.0139234265398</v>
      </c>
      <c r="AA130" s="17">
        <v>708.08354055923883</v>
      </c>
      <c r="AB130" s="17">
        <v>0</v>
      </c>
      <c r="AC130" s="17">
        <v>0</v>
      </c>
      <c r="AD130" s="17">
        <v>0</v>
      </c>
      <c r="AE130" s="17">
        <v>826.09746398577863</v>
      </c>
    </row>
    <row r="131" spans="1:31">
      <c r="A131" t="s">
        <v>97</v>
      </c>
      <c r="B131" t="s">
        <v>98</v>
      </c>
      <c r="C131" t="s">
        <v>81</v>
      </c>
      <c r="D131" t="s">
        <v>82</v>
      </c>
      <c r="E131" t="s">
        <v>120</v>
      </c>
      <c r="F131" s="22">
        <v>46265</v>
      </c>
      <c r="G131" s="22">
        <v>46271</v>
      </c>
      <c r="H131" s="23">
        <v>124.98</v>
      </c>
      <c r="I131" s="23">
        <v>149.97999999999999</v>
      </c>
      <c r="J131" s="23">
        <v>25</v>
      </c>
      <c r="K131">
        <v>20</v>
      </c>
      <c r="L131" s="23">
        <v>500</v>
      </c>
      <c r="M131" s="24">
        <f t="shared" ref="M131:M194" si="10" xml:space="preserve"> K131 / L131</f>
        <v>0.04</v>
      </c>
      <c r="N131" s="23">
        <f xml:space="preserve"> $AI$6 * L131</f>
        <v>458.9430355476548</v>
      </c>
      <c r="O131" s="25">
        <f t="shared" ref="O131:O194" si="11" xml:space="preserve"> ROUND((N131 - L131) * M131, 0)</f>
        <v>-2</v>
      </c>
      <c r="P131">
        <f t="shared" si="8"/>
        <v>7</v>
      </c>
      <c r="Q131" s="22">
        <f t="shared" si="9"/>
        <v>46235</v>
      </c>
      <c r="R131" s="22">
        <f t="shared" si="9"/>
        <v>46266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65.56329079252211</v>
      </c>
      <c r="AA131" s="17">
        <v>393.37974475513266</v>
      </c>
      <c r="AB131" s="17">
        <v>0</v>
      </c>
      <c r="AC131" s="17">
        <v>0</v>
      </c>
      <c r="AD131" s="17">
        <v>0</v>
      </c>
      <c r="AE131" s="17">
        <v>458.94303554765474</v>
      </c>
    </row>
    <row r="132" spans="1:31">
      <c r="A132" t="s">
        <v>45</v>
      </c>
      <c r="B132" t="s">
        <v>99</v>
      </c>
      <c r="C132" t="s">
        <v>81</v>
      </c>
      <c r="D132" t="s">
        <v>82</v>
      </c>
      <c r="E132" t="s">
        <v>120</v>
      </c>
      <c r="F132" s="22">
        <v>46265</v>
      </c>
      <c r="G132" s="22">
        <v>46271</v>
      </c>
      <c r="H132" s="23">
        <v>124.98</v>
      </c>
      <c r="I132" s="23">
        <v>149.97999999999999</v>
      </c>
      <c r="J132" s="23">
        <v>25</v>
      </c>
      <c r="K132">
        <v>50</v>
      </c>
      <c r="L132" s="23">
        <v>1250</v>
      </c>
      <c r="M132" s="24">
        <f t="shared" si="10"/>
        <v>0.04</v>
      </c>
      <c r="N132" s="23">
        <f xml:space="preserve"> $AI$6 * L132</f>
        <v>1147.3575888691371</v>
      </c>
      <c r="O132" s="25">
        <f t="shared" si="11"/>
        <v>-4</v>
      </c>
      <c r="P132">
        <f t="shared" si="8"/>
        <v>7</v>
      </c>
      <c r="Q132" s="22">
        <f t="shared" si="9"/>
        <v>46235</v>
      </c>
      <c r="R132" s="22">
        <f t="shared" si="9"/>
        <v>46266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163.90822698130529</v>
      </c>
      <c r="AA132" s="17">
        <v>983.44936188783174</v>
      </c>
      <c r="AB132" s="17">
        <v>0</v>
      </c>
      <c r="AC132" s="17">
        <v>0</v>
      </c>
      <c r="AD132" s="17">
        <v>0</v>
      </c>
      <c r="AE132" s="17">
        <v>1147.3575888691371</v>
      </c>
    </row>
    <row r="133" spans="1:31">
      <c r="A133" t="s">
        <v>100</v>
      </c>
      <c r="B133" t="s">
        <v>44</v>
      </c>
      <c r="C133" t="s">
        <v>81</v>
      </c>
      <c r="D133" t="s">
        <v>82</v>
      </c>
      <c r="E133" t="s">
        <v>120</v>
      </c>
      <c r="F133" s="22">
        <v>46265</v>
      </c>
      <c r="G133" s="22">
        <v>46271</v>
      </c>
      <c r="H133" s="23">
        <v>84.98</v>
      </c>
      <c r="I133" s="23">
        <v>99.98</v>
      </c>
      <c r="J133" s="23">
        <v>15</v>
      </c>
      <c r="K133">
        <v>200</v>
      </c>
      <c r="L133" s="23">
        <v>3000</v>
      </c>
      <c r="M133" s="24">
        <f t="shared" si="10"/>
        <v>6.6666666666666666E-2</v>
      </c>
      <c r="N133" s="23">
        <f xml:space="preserve"> $AI$6 * L133</f>
        <v>2753.6582132859289</v>
      </c>
      <c r="O133" s="25">
        <f t="shared" si="11"/>
        <v>-16</v>
      </c>
      <c r="P133">
        <f t="shared" si="8"/>
        <v>7</v>
      </c>
      <c r="Q133" s="22">
        <f t="shared" si="9"/>
        <v>46235</v>
      </c>
      <c r="R133" s="22">
        <f t="shared" si="9"/>
        <v>46266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393.37974475513272</v>
      </c>
      <c r="AA133" s="17">
        <v>2360.2784685307961</v>
      </c>
      <c r="AB133" s="17">
        <v>0</v>
      </c>
      <c r="AC133" s="17">
        <v>0</v>
      </c>
      <c r="AD133" s="17">
        <v>0</v>
      </c>
      <c r="AE133" s="17">
        <v>2753.6582132859289</v>
      </c>
    </row>
    <row r="134" spans="1:31">
      <c r="A134" t="s">
        <v>43</v>
      </c>
      <c r="B134" t="s">
        <v>101</v>
      </c>
      <c r="C134" t="s">
        <v>81</v>
      </c>
      <c r="D134" t="s">
        <v>82</v>
      </c>
      <c r="E134" t="s">
        <v>120</v>
      </c>
      <c r="F134" s="22">
        <v>46265</v>
      </c>
      <c r="G134" s="22">
        <v>46271</v>
      </c>
      <c r="H134" s="23">
        <v>84.98</v>
      </c>
      <c r="I134" s="23">
        <v>99.98</v>
      </c>
      <c r="J134" s="23">
        <v>15</v>
      </c>
      <c r="K134">
        <v>190</v>
      </c>
      <c r="L134" s="23">
        <v>2850</v>
      </c>
      <c r="M134" s="24">
        <f t="shared" si="10"/>
        <v>6.6666666666666666E-2</v>
      </c>
      <c r="N134" s="23">
        <f xml:space="preserve"> $AI$6 * L134</f>
        <v>2615.9753026216326</v>
      </c>
      <c r="O134" s="25">
        <f t="shared" si="11"/>
        <v>-16</v>
      </c>
      <c r="P134">
        <f t="shared" si="8"/>
        <v>7</v>
      </c>
      <c r="Q134" s="22">
        <f t="shared" si="9"/>
        <v>46235</v>
      </c>
      <c r="R134" s="22">
        <f t="shared" si="9"/>
        <v>46266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373.71075751737607</v>
      </c>
      <c r="AA134" s="17">
        <v>2242.2645451042563</v>
      </c>
      <c r="AB134" s="17">
        <v>0</v>
      </c>
      <c r="AC134" s="17">
        <v>0</v>
      </c>
      <c r="AD134" s="17">
        <v>0</v>
      </c>
      <c r="AE134" s="17">
        <v>2615.9753026216322</v>
      </c>
    </row>
    <row r="135" spans="1:31">
      <c r="A135" t="s">
        <v>102</v>
      </c>
      <c r="B135" t="s">
        <v>50</v>
      </c>
      <c r="C135" t="s">
        <v>81</v>
      </c>
      <c r="D135" t="s">
        <v>82</v>
      </c>
      <c r="E135" t="s">
        <v>120</v>
      </c>
      <c r="F135" s="22">
        <v>46265</v>
      </c>
      <c r="G135" s="22">
        <v>46271</v>
      </c>
      <c r="H135" s="23">
        <v>49.98</v>
      </c>
      <c r="I135" s="23">
        <v>59.98</v>
      </c>
      <c r="J135" s="23">
        <v>10</v>
      </c>
      <c r="K135">
        <v>50</v>
      </c>
      <c r="L135" s="23">
        <v>500</v>
      </c>
      <c r="M135" s="24">
        <f t="shared" si="10"/>
        <v>0.1</v>
      </c>
      <c r="N135" s="23">
        <f xml:space="preserve"> $AI$6 * L135</f>
        <v>458.9430355476548</v>
      </c>
      <c r="O135" s="25">
        <f t="shared" si="11"/>
        <v>-4</v>
      </c>
      <c r="P135">
        <f t="shared" si="8"/>
        <v>7</v>
      </c>
      <c r="Q135" s="22">
        <f t="shared" si="9"/>
        <v>46235</v>
      </c>
      <c r="R135" s="22">
        <f t="shared" si="9"/>
        <v>46266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65.56329079252211</v>
      </c>
      <c r="AA135" s="17">
        <v>393.37974475513266</v>
      </c>
      <c r="AB135" s="17">
        <v>0</v>
      </c>
      <c r="AC135" s="17">
        <v>0</v>
      </c>
      <c r="AD135" s="17">
        <v>0</v>
      </c>
      <c r="AE135" s="17">
        <v>458.94303554765474</v>
      </c>
    </row>
    <row r="136" spans="1:31">
      <c r="A136" t="s">
        <v>105</v>
      </c>
      <c r="B136" t="s">
        <v>106</v>
      </c>
      <c r="C136" t="s">
        <v>81</v>
      </c>
      <c r="D136" t="s">
        <v>82</v>
      </c>
      <c r="E136" t="s">
        <v>120</v>
      </c>
      <c r="F136" s="22">
        <v>46265</v>
      </c>
      <c r="G136" s="22">
        <v>46271</v>
      </c>
      <c r="H136" s="23">
        <v>67.98</v>
      </c>
      <c r="I136" s="23">
        <v>79.98</v>
      </c>
      <c r="J136" s="23">
        <v>12</v>
      </c>
      <c r="K136">
        <v>100</v>
      </c>
      <c r="L136" s="23">
        <v>1200</v>
      </c>
      <c r="M136" s="24">
        <f t="shared" si="10"/>
        <v>8.3333333333333329E-2</v>
      </c>
      <c r="N136" s="23">
        <f xml:space="preserve"> $AI$6 * L136</f>
        <v>1101.4632853143714</v>
      </c>
      <c r="O136" s="25">
        <f t="shared" si="11"/>
        <v>-8</v>
      </c>
      <c r="P136">
        <f t="shared" si="8"/>
        <v>7</v>
      </c>
      <c r="Q136" s="22">
        <f t="shared" si="9"/>
        <v>46235</v>
      </c>
      <c r="R136" s="22">
        <f t="shared" si="9"/>
        <v>46266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157.35189790205305</v>
      </c>
      <c r="AA136" s="17">
        <v>944.11138741231832</v>
      </c>
      <c r="AB136" s="17">
        <v>0</v>
      </c>
      <c r="AC136" s="17">
        <v>0</v>
      </c>
      <c r="AD136" s="17">
        <v>0</v>
      </c>
      <c r="AE136" s="17">
        <v>1101.4632853143714</v>
      </c>
    </row>
    <row r="137" spans="1:31">
      <c r="A137" t="s">
        <v>107</v>
      </c>
      <c r="B137" t="s">
        <v>108</v>
      </c>
      <c r="C137" t="s">
        <v>81</v>
      </c>
      <c r="D137" t="s">
        <v>82</v>
      </c>
      <c r="E137" t="s">
        <v>120</v>
      </c>
      <c r="F137" s="22">
        <v>46265</v>
      </c>
      <c r="G137" s="22">
        <v>46271</v>
      </c>
      <c r="H137" s="23">
        <v>119.98</v>
      </c>
      <c r="I137" s="23">
        <v>149.97999999999999</v>
      </c>
      <c r="J137" s="23">
        <v>30</v>
      </c>
      <c r="K137">
        <v>90</v>
      </c>
      <c r="L137" s="23">
        <v>2700</v>
      </c>
      <c r="M137" s="24">
        <f t="shared" si="10"/>
        <v>3.3333333333333333E-2</v>
      </c>
      <c r="N137" s="23">
        <f xml:space="preserve"> $AI$6 * L137</f>
        <v>2478.2923919573359</v>
      </c>
      <c r="O137" s="25">
        <f t="shared" si="11"/>
        <v>-7</v>
      </c>
      <c r="P137">
        <f t="shared" si="8"/>
        <v>7</v>
      </c>
      <c r="Q137" s="22">
        <f t="shared" si="9"/>
        <v>46235</v>
      </c>
      <c r="R137" s="22">
        <f t="shared" si="9"/>
        <v>46266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354.04177027961941</v>
      </c>
      <c r="AA137" s="17">
        <v>2124.2506216777165</v>
      </c>
      <c r="AB137" s="17">
        <v>0</v>
      </c>
      <c r="AC137" s="17">
        <v>0</v>
      </c>
      <c r="AD137" s="17">
        <v>0</v>
      </c>
      <c r="AE137" s="17">
        <v>2478.2923919573359</v>
      </c>
    </row>
    <row r="138" spans="1:31">
      <c r="A138" t="s">
        <v>112</v>
      </c>
      <c r="B138" t="s">
        <v>113</v>
      </c>
      <c r="C138" t="s">
        <v>81</v>
      </c>
      <c r="D138" t="s">
        <v>82</v>
      </c>
      <c r="E138" t="s">
        <v>120</v>
      </c>
      <c r="F138" s="22">
        <v>46265</v>
      </c>
      <c r="G138" s="22">
        <v>46271</v>
      </c>
      <c r="H138" s="23">
        <v>24.98</v>
      </c>
      <c r="I138" s="23">
        <v>29.98</v>
      </c>
      <c r="J138" s="23">
        <v>5</v>
      </c>
      <c r="K138">
        <v>200</v>
      </c>
      <c r="L138" s="23">
        <v>1000</v>
      </c>
      <c r="M138" s="24">
        <f t="shared" si="10"/>
        <v>0.2</v>
      </c>
      <c r="N138" s="23">
        <f xml:space="preserve"> $AI$6 * L138</f>
        <v>917.8860710953096</v>
      </c>
      <c r="O138" s="25">
        <f t="shared" si="11"/>
        <v>-16</v>
      </c>
      <c r="P138">
        <f t="shared" si="8"/>
        <v>7</v>
      </c>
      <c r="Q138" s="22">
        <f t="shared" si="9"/>
        <v>46235</v>
      </c>
      <c r="R138" s="22">
        <f t="shared" si="9"/>
        <v>46266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131.12658158504422</v>
      </c>
      <c r="AA138" s="17">
        <v>786.75948951026533</v>
      </c>
      <c r="AB138" s="17">
        <v>0</v>
      </c>
      <c r="AC138" s="17">
        <v>0</v>
      </c>
      <c r="AD138" s="17">
        <v>0</v>
      </c>
      <c r="AE138" s="17">
        <v>917.88607109530949</v>
      </c>
    </row>
    <row r="139" spans="1:31">
      <c r="A139" t="s">
        <v>109</v>
      </c>
      <c r="B139" t="s">
        <v>110</v>
      </c>
      <c r="C139" t="s">
        <v>81</v>
      </c>
      <c r="D139" t="s">
        <v>82</v>
      </c>
      <c r="E139" t="s">
        <v>120</v>
      </c>
      <c r="F139" s="22">
        <v>46265</v>
      </c>
      <c r="G139" s="22">
        <v>46271</v>
      </c>
      <c r="H139" s="23">
        <v>24.98</v>
      </c>
      <c r="I139" s="23">
        <v>29.98</v>
      </c>
      <c r="J139" s="23">
        <v>5</v>
      </c>
      <c r="K139">
        <v>300</v>
      </c>
      <c r="L139" s="23">
        <v>1500</v>
      </c>
      <c r="M139" s="24">
        <f t="shared" si="10"/>
        <v>0.2</v>
      </c>
      <c r="N139" s="23">
        <f xml:space="preserve"> $AI$6 * L139</f>
        <v>1376.8291066429645</v>
      </c>
      <c r="O139" s="25">
        <f t="shared" si="11"/>
        <v>-25</v>
      </c>
      <c r="P139">
        <f t="shared" si="8"/>
        <v>7</v>
      </c>
      <c r="Q139" s="22">
        <f t="shared" si="9"/>
        <v>46235</v>
      </c>
      <c r="R139" s="22">
        <f t="shared" si="9"/>
        <v>46266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196.68987237756636</v>
      </c>
      <c r="AA139" s="17">
        <v>1180.139234265398</v>
      </c>
      <c r="AB139" s="17">
        <v>0</v>
      </c>
      <c r="AC139" s="17">
        <v>0</v>
      </c>
      <c r="AD139" s="17">
        <v>0</v>
      </c>
      <c r="AE139" s="17">
        <v>1376.8291066429645</v>
      </c>
    </row>
    <row r="140" spans="1:31">
      <c r="A140" t="s">
        <v>87</v>
      </c>
      <c r="B140" t="s">
        <v>88</v>
      </c>
      <c r="C140" t="s">
        <v>81</v>
      </c>
      <c r="D140" t="s">
        <v>10</v>
      </c>
      <c r="E140" t="s">
        <v>120</v>
      </c>
      <c r="F140" s="22">
        <v>46265</v>
      </c>
      <c r="G140" s="22">
        <v>46271</v>
      </c>
      <c r="H140" s="23">
        <v>55.98</v>
      </c>
      <c r="I140" s="23">
        <v>65.98</v>
      </c>
      <c r="J140" s="23">
        <v>10</v>
      </c>
      <c r="K140">
        <v>300</v>
      </c>
      <c r="L140" s="23">
        <v>3000</v>
      </c>
      <c r="M140" s="24">
        <f t="shared" si="10"/>
        <v>0.1</v>
      </c>
      <c r="N140" s="23">
        <f xml:space="preserve"> $AI$6 * L140</f>
        <v>2753.6582132859289</v>
      </c>
      <c r="O140" s="25">
        <f t="shared" si="11"/>
        <v>-25</v>
      </c>
      <c r="P140">
        <f t="shared" si="8"/>
        <v>7</v>
      </c>
      <c r="Q140" s="22">
        <f t="shared" si="9"/>
        <v>46235</v>
      </c>
      <c r="R140" s="22">
        <f t="shared" si="9"/>
        <v>46266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393.37974475513272</v>
      </c>
      <c r="AA140" s="17">
        <v>2360.2784685307961</v>
      </c>
      <c r="AB140" s="17">
        <v>0</v>
      </c>
      <c r="AC140" s="17">
        <v>0</v>
      </c>
      <c r="AD140" s="17">
        <v>0</v>
      </c>
      <c r="AE140" s="17">
        <v>2753.6582132859289</v>
      </c>
    </row>
    <row r="141" spans="1:31">
      <c r="A141" t="s">
        <v>33</v>
      </c>
      <c r="B141" t="s">
        <v>34</v>
      </c>
      <c r="C141" t="s">
        <v>81</v>
      </c>
      <c r="D141" t="s">
        <v>10</v>
      </c>
      <c r="E141" t="s">
        <v>120</v>
      </c>
      <c r="F141" s="22">
        <v>46265</v>
      </c>
      <c r="G141" s="22">
        <v>46271</v>
      </c>
      <c r="H141" s="23">
        <v>50.98</v>
      </c>
      <c r="I141" s="23">
        <v>59.98</v>
      </c>
      <c r="J141" s="23">
        <v>9</v>
      </c>
      <c r="K141">
        <v>360</v>
      </c>
      <c r="L141" s="23">
        <v>3240</v>
      </c>
      <c r="M141" s="24">
        <f t="shared" si="10"/>
        <v>0.1111111111111111</v>
      </c>
      <c r="N141" s="23">
        <f xml:space="preserve"> $AI$6 * L141</f>
        <v>2973.9508703488032</v>
      </c>
      <c r="O141" s="25">
        <f t="shared" si="11"/>
        <v>-30</v>
      </c>
      <c r="P141">
        <f t="shared" si="8"/>
        <v>7</v>
      </c>
      <c r="Q141" s="22">
        <f t="shared" si="9"/>
        <v>46235</v>
      </c>
      <c r="R141" s="22">
        <f t="shared" si="9"/>
        <v>46266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424.85012433554328</v>
      </c>
      <c r="AA141" s="17">
        <v>2549.1007460132596</v>
      </c>
      <c r="AB141" s="17">
        <v>0</v>
      </c>
      <c r="AC141" s="17">
        <v>0</v>
      </c>
      <c r="AD141" s="17">
        <v>0</v>
      </c>
      <c r="AE141" s="17">
        <v>2973.9508703488027</v>
      </c>
    </row>
    <row r="142" spans="1:31">
      <c r="A142" t="s">
        <v>100</v>
      </c>
      <c r="B142" t="s">
        <v>44</v>
      </c>
      <c r="C142" t="s">
        <v>81</v>
      </c>
      <c r="D142" t="s">
        <v>10</v>
      </c>
      <c r="E142" t="s">
        <v>120</v>
      </c>
      <c r="F142" s="22">
        <v>46265</v>
      </c>
      <c r="G142" s="22">
        <v>46271</v>
      </c>
      <c r="H142" s="23">
        <v>84.98</v>
      </c>
      <c r="I142" s="23">
        <v>99.98</v>
      </c>
      <c r="J142" s="23">
        <v>15</v>
      </c>
      <c r="K142">
        <v>1000</v>
      </c>
      <c r="L142" s="23">
        <v>15000</v>
      </c>
      <c r="M142" s="24">
        <f t="shared" si="10"/>
        <v>6.6666666666666666E-2</v>
      </c>
      <c r="N142" s="23">
        <f xml:space="preserve"> $AI$6 * L142</f>
        <v>13768.291066429645</v>
      </c>
      <c r="O142" s="25">
        <f t="shared" si="11"/>
        <v>-82</v>
      </c>
      <c r="P142">
        <f t="shared" si="8"/>
        <v>7</v>
      </c>
      <c r="Q142" s="22">
        <f t="shared" si="9"/>
        <v>46235</v>
      </c>
      <c r="R142" s="22">
        <f t="shared" si="9"/>
        <v>46266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1966.8987237756635</v>
      </c>
      <c r="AA142" s="17">
        <v>11801.39234265398</v>
      </c>
      <c r="AB142" s="17">
        <v>0</v>
      </c>
      <c r="AC142" s="17">
        <v>0</v>
      </c>
      <c r="AD142" s="17">
        <v>0</v>
      </c>
      <c r="AE142" s="17">
        <v>13768.291066429643</v>
      </c>
    </row>
    <row r="143" spans="1:31">
      <c r="A143" t="s">
        <v>43</v>
      </c>
      <c r="B143" t="s">
        <v>101</v>
      </c>
      <c r="C143" t="s">
        <v>81</v>
      </c>
      <c r="D143" t="s">
        <v>10</v>
      </c>
      <c r="E143" t="s">
        <v>120</v>
      </c>
      <c r="F143" s="22">
        <v>46265</v>
      </c>
      <c r="G143" s="22">
        <v>46271</v>
      </c>
      <c r="H143" s="23">
        <v>84.98</v>
      </c>
      <c r="I143" s="23">
        <v>99.98</v>
      </c>
      <c r="J143" s="23">
        <v>15</v>
      </c>
      <c r="K143">
        <v>900</v>
      </c>
      <c r="L143" s="23">
        <v>13500</v>
      </c>
      <c r="M143" s="24">
        <f t="shared" si="10"/>
        <v>6.6666666666666666E-2</v>
      </c>
      <c r="N143" s="23">
        <f xml:space="preserve"> $AI$6 * L143</f>
        <v>12391.46195978668</v>
      </c>
      <c r="O143" s="25">
        <f t="shared" si="11"/>
        <v>-74</v>
      </c>
      <c r="P143">
        <f t="shared" si="8"/>
        <v>7</v>
      </c>
      <c r="Q143" s="22">
        <f t="shared" si="9"/>
        <v>46235</v>
      </c>
      <c r="R143" s="22">
        <f t="shared" si="9"/>
        <v>46266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1770.2088513980973</v>
      </c>
      <c r="AA143" s="17">
        <v>10621.253108388584</v>
      </c>
      <c r="AB143" s="17">
        <v>0</v>
      </c>
      <c r="AC143" s="17">
        <v>0</v>
      </c>
      <c r="AD143" s="17">
        <v>0</v>
      </c>
      <c r="AE143" s="17">
        <v>12391.461959786682</v>
      </c>
    </row>
    <row r="144" spans="1:31">
      <c r="A144" t="s">
        <v>102</v>
      </c>
      <c r="B144" t="s">
        <v>50</v>
      </c>
      <c r="C144" t="s">
        <v>81</v>
      </c>
      <c r="D144" t="s">
        <v>10</v>
      </c>
      <c r="E144" t="s">
        <v>120</v>
      </c>
      <c r="F144" s="22">
        <v>46265</v>
      </c>
      <c r="G144" s="22">
        <v>46271</v>
      </c>
      <c r="H144" s="23">
        <v>49.98</v>
      </c>
      <c r="I144" s="23">
        <v>59.98</v>
      </c>
      <c r="J144" s="23">
        <v>10</v>
      </c>
      <c r="K144">
        <v>1500</v>
      </c>
      <c r="L144" s="23">
        <v>15000</v>
      </c>
      <c r="M144" s="24">
        <f t="shared" si="10"/>
        <v>0.1</v>
      </c>
      <c r="N144" s="23">
        <f xml:space="preserve"> $AI$6 * L144</f>
        <v>13768.291066429645</v>
      </c>
      <c r="O144" s="25">
        <f t="shared" si="11"/>
        <v>-123</v>
      </c>
      <c r="P144">
        <f t="shared" si="8"/>
        <v>7</v>
      </c>
      <c r="Q144" s="22">
        <f t="shared" si="9"/>
        <v>46235</v>
      </c>
      <c r="R144" s="22">
        <f t="shared" si="9"/>
        <v>46266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1966.8987237756635</v>
      </c>
      <c r="AA144" s="17">
        <v>11801.39234265398</v>
      </c>
      <c r="AB144" s="17">
        <v>0</v>
      </c>
      <c r="AC144" s="17">
        <v>0</v>
      </c>
      <c r="AD144" s="17">
        <v>0</v>
      </c>
      <c r="AE144" s="17">
        <v>13768.291066429643</v>
      </c>
    </row>
    <row r="145" spans="1:31">
      <c r="A145" t="s">
        <v>105</v>
      </c>
      <c r="B145" t="s">
        <v>106</v>
      </c>
      <c r="C145" t="s">
        <v>81</v>
      </c>
      <c r="D145" t="s">
        <v>10</v>
      </c>
      <c r="E145" t="s">
        <v>120</v>
      </c>
      <c r="F145" s="22">
        <v>46265</v>
      </c>
      <c r="G145" s="22">
        <v>46271</v>
      </c>
      <c r="H145" s="23">
        <v>67.98</v>
      </c>
      <c r="I145" s="23">
        <v>79.98</v>
      </c>
      <c r="J145" s="23">
        <v>12</v>
      </c>
      <c r="K145">
        <v>1000</v>
      </c>
      <c r="L145" s="23">
        <v>12000</v>
      </c>
      <c r="M145" s="24">
        <f t="shared" si="10"/>
        <v>8.3333333333333329E-2</v>
      </c>
      <c r="N145" s="23">
        <f xml:space="preserve"> $AI$6 * L145</f>
        <v>11014.632853143716</v>
      </c>
      <c r="O145" s="25">
        <f t="shared" si="11"/>
        <v>-82</v>
      </c>
      <c r="P145">
        <f t="shared" si="8"/>
        <v>7</v>
      </c>
      <c r="Q145" s="22">
        <f t="shared" si="9"/>
        <v>46235</v>
      </c>
      <c r="R145" s="22">
        <f t="shared" si="9"/>
        <v>46266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1573.5189790205309</v>
      </c>
      <c r="AA145" s="17">
        <v>9441.1138741231844</v>
      </c>
      <c r="AB145" s="17">
        <v>0</v>
      </c>
      <c r="AC145" s="17">
        <v>0</v>
      </c>
      <c r="AD145" s="17">
        <v>0</v>
      </c>
      <c r="AE145" s="17">
        <v>11014.632853143716</v>
      </c>
    </row>
    <row r="146" spans="1:31">
      <c r="A146" t="s">
        <v>107</v>
      </c>
      <c r="B146" t="s">
        <v>108</v>
      </c>
      <c r="C146" t="s">
        <v>81</v>
      </c>
      <c r="D146" t="s">
        <v>10</v>
      </c>
      <c r="E146" t="s">
        <v>120</v>
      </c>
      <c r="F146" s="22">
        <v>46265</v>
      </c>
      <c r="G146" s="22">
        <v>46271</v>
      </c>
      <c r="H146" s="23">
        <v>119.98</v>
      </c>
      <c r="I146" s="23">
        <v>149.97999999999999</v>
      </c>
      <c r="J146" s="23">
        <v>30</v>
      </c>
      <c r="K146">
        <v>900</v>
      </c>
      <c r="L146" s="23">
        <v>27000</v>
      </c>
      <c r="M146" s="24">
        <f t="shared" si="10"/>
        <v>3.3333333333333333E-2</v>
      </c>
      <c r="N146" s="23">
        <f xml:space="preserve"> $AI$6 * L146</f>
        <v>24782.923919573361</v>
      </c>
      <c r="O146" s="25">
        <f t="shared" si="11"/>
        <v>-74</v>
      </c>
      <c r="P146">
        <f t="shared" si="8"/>
        <v>7</v>
      </c>
      <c r="Q146" s="22">
        <f t="shared" si="9"/>
        <v>46235</v>
      </c>
      <c r="R146" s="22">
        <f t="shared" si="9"/>
        <v>46266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3540.4177027961946</v>
      </c>
      <c r="AA146" s="17">
        <v>21242.506216777168</v>
      </c>
      <c r="AB146" s="17">
        <v>0</v>
      </c>
      <c r="AC146" s="17">
        <v>0</v>
      </c>
      <c r="AD146" s="17">
        <v>0</v>
      </c>
      <c r="AE146" s="17">
        <v>24782.923919573364</v>
      </c>
    </row>
    <row r="147" spans="1:31">
      <c r="A147" t="s">
        <v>109</v>
      </c>
      <c r="B147" t="s">
        <v>110</v>
      </c>
      <c r="C147" t="s">
        <v>81</v>
      </c>
      <c r="D147" t="s">
        <v>10</v>
      </c>
      <c r="E147" t="s">
        <v>120</v>
      </c>
      <c r="F147" s="22">
        <v>46265</v>
      </c>
      <c r="G147" s="22">
        <v>46271</v>
      </c>
      <c r="H147" s="23">
        <v>24.98</v>
      </c>
      <c r="I147" s="23">
        <v>29.98</v>
      </c>
      <c r="J147" s="23">
        <v>5</v>
      </c>
      <c r="K147">
        <v>2000</v>
      </c>
      <c r="L147" s="23">
        <v>10000</v>
      </c>
      <c r="M147" s="24">
        <f t="shared" si="10"/>
        <v>0.2</v>
      </c>
      <c r="N147" s="23">
        <f xml:space="preserve"> $AI$6 * L147</f>
        <v>9178.8607109530967</v>
      </c>
      <c r="O147" s="25">
        <f t="shared" si="11"/>
        <v>-164</v>
      </c>
      <c r="P147">
        <f t="shared" si="8"/>
        <v>7</v>
      </c>
      <c r="Q147" s="22">
        <f t="shared" si="9"/>
        <v>46235</v>
      </c>
      <c r="R147" s="22">
        <f t="shared" si="9"/>
        <v>46266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1311.2658158504423</v>
      </c>
      <c r="AA147" s="17">
        <v>7867.5948951026539</v>
      </c>
      <c r="AB147" s="17">
        <v>0</v>
      </c>
      <c r="AC147" s="17">
        <v>0</v>
      </c>
      <c r="AD147" s="17">
        <v>0</v>
      </c>
      <c r="AE147" s="17">
        <v>9178.8607109530967</v>
      </c>
    </row>
    <row r="148" spans="1:31">
      <c r="A148" t="s">
        <v>87</v>
      </c>
      <c r="B148" t="s">
        <v>88</v>
      </c>
      <c r="C148" t="s">
        <v>81</v>
      </c>
      <c r="D148" t="s">
        <v>82</v>
      </c>
      <c r="E148" t="s">
        <v>121</v>
      </c>
      <c r="F148" s="22">
        <v>46349</v>
      </c>
      <c r="G148" s="22">
        <v>46358</v>
      </c>
      <c r="H148" s="23">
        <v>55.98</v>
      </c>
      <c r="I148" s="23">
        <v>65.98</v>
      </c>
      <c r="J148" s="23">
        <v>10</v>
      </c>
      <c r="K148">
        <v>60</v>
      </c>
      <c r="L148" s="23">
        <v>600</v>
      </c>
      <c r="M148" s="24">
        <f t="shared" si="10"/>
        <v>0.1</v>
      </c>
      <c r="N148" s="23">
        <f xml:space="preserve"> $AI$6 * L148</f>
        <v>550.73164265718572</v>
      </c>
      <c r="O148" s="25">
        <f t="shared" si="11"/>
        <v>-5</v>
      </c>
      <c r="P148">
        <f t="shared" si="8"/>
        <v>10</v>
      </c>
      <c r="Q148" s="22">
        <f t="shared" si="9"/>
        <v>46327</v>
      </c>
      <c r="R148" s="22">
        <f t="shared" si="9"/>
        <v>46357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440.5853141257486</v>
      </c>
      <c r="AD148" s="17">
        <v>110.14632853143715</v>
      </c>
      <c r="AE148" s="17">
        <v>550.73164265718572</v>
      </c>
    </row>
    <row r="149" spans="1:31">
      <c r="A149" t="s">
        <v>47</v>
      </c>
      <c r="B149" t="s">
        <v>48</v>
      </c>
      <c r="C149" t="s">
        <v>81</v>
      </c>
      <c r="D149" t="s">
        <v>82</v>
      </c>
      <c r="E149" t="s">
        <v>121</v>
      </c>
      <c r="F149" s="22">
        <v>46349</v>
      </c>
      <c r="G149" s="22">
        <v>46358</v>
      </c>
      <c r="H149" s="23">
        <v>41.98</v>
      </c>
      <c r="I149" s="23">
        <v>49.98</v>
      </c>
      <c r="J149" s="23">
        <v>8</v>
      </c>
      <c r="K149">
        <v>100</v>
      </c>
      <c r="L149" s="23">
        <v>800</v>
      </c>
      <c r="M149" s="24">
        <f t="shared" si="10"/>
        <v>0.125</v>
      </c>
      <c r="N149" s="23">
        <f xml:space="preserve"> $AI$6 * L149</f>
        <v>734.30885687624766</v>
      </c>
      <c r="O149" s="25">
        <f t="shared" si="11"/>
        <v>-8</v>
      </c>
      <c r="P149">
        <f t="shared" si="8"/>
        <v>10</v>
      </c>
      <c r="Q149" s="22">
        <f t="shared" si="9"/>
        <v>46327</v>
      </c>
      <c r="R149" s="22">
        <f t="shared" si="9"/>
        <v>46357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587.44708550099813</v>
      </c>
      <c r="AD149" s="17">
        <v>146.86177137524953</v>
      </c>
      <c r="AE149" s="17">
        <v>734.30885687624766</v>
      </c>
    </row>
    <row r="150" spans="1:31">
      <c r="A150" t="s">
        <v>33</v>
      </c>
      <c r="B150" t="s">
        <v>34</v>
      </c>
      <c r="C150" t="s">
        <v>81</v>
      </c>
      <c r="D150" t="s">
        <v>82</v>
      </c>
      <c r="E150" t="s">
        <v>121</v>
      </c>
      <c r="F150" s="22">
        <v>46349</v>
      </c>
      <c r="G150" s="22">
        <v>46358</v>
      </c>
      <c r="H150" s="23">
        <v>49.98</v>
      </c>
      <c r="I150" s="23">
        <v>59.98</v>
      </c>
      <c r="J150" s="23">
        <v>10</v>
      </c>
      <c r="K150">
        <v>50</v>
      </c>
      <c r="L150" s="23">
        <v>500</v>
      </c>
      <c r="M150" s="24">
        <f t="shared" si="10"/>
        <v>0.1</v>
      </c>
      <c r="N150" s="23">
        <f xml:space="preserve"> $AI$6 * L150</f>
        <v>458.9430355476548</v>
      </c>
      <c r="O150" s="25">
        <f t="shared" si="11"/>
        <v>-4</v>
      </c>
      <c r="P150">
        <f t="shared" si="8"/>
        <v>10</v>
      </c>
      <c r="Q150" s="22">
        <f t="shared" si="9"/>
        <v>46327</v>
      </c>
      <c r="R150" s="22">
        <f t="shared" si="9"/>
        <v>46357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367.15442843812383</v>
      </c>
      <c r="AD150" s="17">
        <v>91.788607109530957</v>
      </c>
      <c r="AE150" s="17">
        <v>458.9430355476548</v>
      </c>
    </row>
    <row r="151" spans="1:31">
      <c r="A151" t="s">
        <v>94</v>
      </c>
      <c r="B151" t="s">
        <v>95</v>
      </c>
      <c r="C151" t="s">
        <v>81</v>
      </c>
      <c r="D151" t="s">
        <v>82</v>
      </c>
      <c r="E151" t="s">
        <v>121</v>
      </c>
      <c r="F151" s="22">
        <v>46349</v>
      </c>
      <c r="G151" s="22">
        <v>46358</v>
      </c>
      <c r="H151" s="23">
        <v>89.98</v>
      </c>
      <c r="I151" s="23">
        <v>109.98</v>
      </c>
      <c r="J151" s="23">
        <v>20</v>
      </c>
      <c r="K151">
        <v>50</v>
      </c>
      <c r="L151" s="23">
        <v>1000</v>
      </c>
      <c r="M151" s="24">
        <f t="shared" si="10"/>
        <v>0.05</v>
      </c>
      <c r="N151" s="23">
        <f xml:space="preserve"> $AI$6 * L151</f>
        <v>917.8860710953096</v>
      </c>
      <c r="O151" s="25">
        <f t="shared" si="11"/>
        <v>-4</v>
      </c>
      <c r="P151">
        <f t="shared" si="8"/>
        <v>10</v>
      </c>
      <c r="Q151" s="22">
        <f t="shared" si="9"/>
        <v>46327</v>
      </c>
      <c r="R151" s="22">
        <f t="shared" si="9"/>
        <v>46357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734.30885687624766</v>
      </c>
      <c r="AD151" s="17">
        <v>183.57721421906191</v>
      </c>
      <c r="AE151" s="17">
        <v>917.8860710953096</v>
      </c>
    </row>
    <row r="152" spans="1:31">
      <c r="A152" t="s">
        <v>35</v>
      </c>
      <c r="B152" t="s">
        <v>96</v>
      </c>
      <c r="C152" t="s">
        <v>81</v>
      </c>
      <c r="D152" t="s">
        <v>82</v>
      </c>
      <c r="E152" t="s">
        <v>121</v>
      </c>
      <c r="F152" s="22">
        <v>46349</v>
      </c>
      <c r="G152" s="22">
        <v>46358</v>
      </c>
      <c r="H152" s="23">
        <v>99.98</v>
      </c>
      <c r="I152" s="23">
        <v>119.98</v>
      </c>
      <c r="J152" s="23">
        <v>20</v>
      </c>
      <c r="K152">
        <v>35</v>
      </c>
      <c r="L152" s="23">
        <v>700</v>
      </c>
      <c r="M152" s="24">
        <f t="shared" si="10"/>
        <v>0.05</v>
      </c>
      <c r="N152" s="23">
        <f xml:space="preserve"> $AI$6 * L152</f>
        <v>642.52024976671669</v>
      </c>
      <c r="O152" s="25">
        <f t="shared" si="11"/>
        <v>-3</v>
      </c>
      <c r="P152">
        <f t="shared" si="8"/>
        <v>10</v>
      </c>
      <c r="Q152" s="22">
        <f t="shared" si="9"/>
        <v>46327</v>
      </c>
      <c r="R152" s="22">
        <f t="shared" si="9"/>
        <v>46357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514.01619981337331</v>
      </c>
      <c r="AD152" s="17">
        <v>128.50404995334333</v>
      </c>
      <c r="AE152" s="17">
        <v>642.52024976671669</v>
      </c>
    </row>
    <row r="153" spans="1:31">
      <c r="A153" t="s">
        <v>97</v>
      </c>
      <c r="B153" t="s">
        <v>98</v>
      </c>
      <c r="C153" t="s">
        <v>81</v>
      </c>
      <c r="D153" t="s">
        <v>82</v>
      </c>
      <c r="E153" t="s">
        <v>121</v>
      </c>
      <c r="F153" s="22">
        <v>46349</v>
      </c>
      <c r="G153" s="22">
        <v>46358</v>
      </c>
      <c r="H153" s="23">
        <v>124.98</v>
      </c>
      <c r="I153" s="23">
        <v>149.97999999999999</v>
      </c>
      <c r="J153" s="23">
        <v>25</v>
      </c>
      <c r="K153">
        <v>75</v>
      </c>
      <c r="L153" s="23">
        <v>1875</v>
      </c>
      <c r="M153" s="24">
        <f t="shared" si="10"/>
        <v>0.04</v>
      </c>
      <c r="N153" s="23">
        <f xml:space="preserve"> $AI$6 * L153</f>
        <v>1721.0363833037056</v>
      </c>
      <c r="O153" s="25">
        <f t="shared" si="11"/>
        <v>-6</v>
      </c>
      <c r="P153">
        <f t="shared" si="8"/>
        <v>10</v>
      </c>
      <c r="Q153" s="22">
        <f t="shared" si="9"/>
        <v>46327</v>
      </c>
      <c r="R153" s="22">
        <f t="shared" si="9"/>
        <v>46357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1376.8291066429645</v>
      </c>
      <c r="AD153" s="17">
        <v>344.20727666074112</v>
      </c>
      <c r="AE153" s="17">
        <v>1721.0363833037056</v>
      </c>
    </row>
    <row r="154" spans="1:31">
      <c r="A154" t="s">
        <v>45</v>
      </c>
      <c r="B154" t="s">
        <v>99</v>
      </c>
      <c r="C154" t="s">
        <v>81</v>
      </c>
      <c r="D154" t="s">
        <v>82</v>
      </c>
      <c r="E154" t="s">
        <v>121</v>
      </c>
      <c r="F154" s="22">
        <v>46349</v>
      </c>
      <c r="G154" s="22">
        <v>46358</v>
      </c>
      <c r="H154" s="23">
        <v>124.98</v>
      </c>
      <c r="I154" s="23">
        <v>149.97999999999999</v>
      </c>
      <c r="J154" s="23">
        <v>25</v>
      </c>
      <c r="K154">
        <v>50</v>
      </c>
      <c r="L154" s="23">
        <v>1250</v>
      </c>
      <c r="M154" s="24">
        <f t="shared" si="10"/>
        <v>0.04</v>
      </c>
      <c r="N154" s="23">
        <f xml:space="preserve"> $AI$6 * L154</f>
        <v>1147.3575888691371</v>
      </c>
      <c r="O154" s="25">
        <f t="shared" si="11"/>
        <v>-4</v>
      </c>
      <c r="P154">
        <f t="shared" si="8"/>
        <v>10</v>
      </c>
      <c r="Q154" s="22">
        <f t="shared" si="9"/>
        <v>46327</v>
      </c>
      <c r="R154" s="22">
        <f t="shared" si="9"/>
        <v>46357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917.88607109530972</v>
      </c>
      <c r="AD154" s="17">
        <v>229.47151777382743</v>
      </c>
      <c r="AE154" s="17">
        <v>1147.3575888691371</v>
      </c>
    </row>
    <row r="155" spans="1:31">
      <c r="A155" t="s">
        <v>100</v>
      </c>
      <c r="B155" t="s">
        <v>44</v>
      </c>
      <c r="C155" t="s">
        <v>81</v>
      </c>
      <c r="D155" t="s">
        <v>82</v>
      </c>
      <c r="E155" t="s">
        <v>121</v>
      </c>
      <c r="F155" s="22">
        <v>46349</v>
      </c>
      <c r="G155" s="22">
        <v>46358</v>
      </c>
      <c r="H155" s="23">
        <v>84.98</v>
      </c>
      <c r="I155" s="23">
        <v>99.98</v>
      </c>
      <c r="J155" s="23">
        <v>15</v>
      </c>
      <c r="K155">
        <v>200</v>
      </c>
      <c r="L155" s="23">
        <v>3000</v>
      </c>
      <c r="M155" s="24">
        <f t="shared" si="10"/>
        <v>6.6666666666666666E-2</v>
      </c>
      <c r="N155" s="23">
        <f xml:space="preserve"> $AI$6 * L155</f>
        <v>2753.6582132859289</v>
      </c>
      <c r="O155" s="25">
        <f t="shared" si="11"/>
        <v>-16</v>
      </c>
      <c r="P155">
        <f t="shared" si="8"/>
        <v>10</v>
      </c>
      <c r="Q155" s="22">
        <f t="shared" si="9"/>
        <v>46327</v>
      </c>
      <c r="R155" s="22">
        <f t="shared" si="9"/>
        <v>46357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2202.9265706287433</v>
      </c>
      <c r="AD155" s="17">
        <v>550.73164265718583</v>
      </c>
      <c r="AE155" s="17">
        <v>2753.6582132859294</v>
      </c>
    </row>
    <row r="156" spans="1:31">
      <c r="A156" t="s">
        <v>43</v>
      </c>
      <c r="B156" t="s">
        <v>101</v>
      </c>
      <c r="C156" t="s">
        <v>81</v>
      </c>
      <c r="D156" t="s">
        <v>82</v>
      </c>
      <c r="E156" t="s">
        <v>121</v>
      </c>
      <c r="F156" s="22">
        <v>46349</v>
      </c>
      <c r="G156" s="22">
        <v>46358</v>
      </c>
      <c r="H156" s="23">
        <v>84.98</v>
      </c>
      <c r="I156" s="23">
        <v>99.98</v>
      </c>
      <c r="J156" s="23">
        <v>15</v>
      </c>
      <c r="K156">
        <v>150</v>
      </c>
      <c r="L156" s="23">
        <v>2250</v>
      </c>
      <c r="M156" s="24">
        <f t="shared" si="10"/>
        <v>6.6666666666666666E-2</v>
      </c>
      <c r="N156" s="23">
        <f xml:space="preserve"> $AI$6 * L156</f>
        <v>2065.2436599644466</v>
      </c>
      <c r="O156" s="25">
        <f t="shared" si="11"/>
        <v>-12</v>
      </c>
      <c r="P156">
        <f t="shared" si="8"/>
        <v>10</v>
      </c>
      <c r="Q156" s="22">
        <f t="shared" si="9"/>
        <v>46327</v>
      </c>
      <c r="R156" s="22">
        <f t="shared" si="9"/>
        <v>46357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1652.1949279715573</v>
      </c>
      <c r="AD156" s="17">
        <v>413.04873199288932</v>
      </c>
      <c r="AE156" s="17">
        <v>2065.2436599644466</v>
      </c>
    </row>
    <row r="157" spans="1:31">
      <c r="A157" t="s">
        <v>104</v>
      </c>
      <c r="B157" t="s">
        <v>32</v>
      </c>
      <c r="C157" t="s">
        <v>81</v>
      </c>
      <c r="D157" t="s">
        <v>82</v>
      </c>
      <c r="E157" t="s">
        <v>121</v>
      </c>
      <c r="F157" s="22">
        <v>46349</v>
      </c>
      <c r="G157" s="22">
        <v>46358</v>
      </c>
      <c r="H157" s="23">
        <v>58.98</v>
      </c>
      <c r="I157" s="23">
        <v>69.98</v>
      </c>
      <c r="J157" s="23">
        <v>11</v>
      </c>
      <c r="K157">
        <v>200</v>
      </c>
      <c r="L157" s="23">
        <v>2200</v>
      </c>
      <c r="M157" s="24">
        <f t="shared" si="10"/>
        <v>9.0909090909090912E-2</v>
      </c>
      <c r="N157" s="23">
        <f xml:space="preserve"> $AI$6 * L157</f>
        <v>2019.3493564096811</v>
      </c>
      <c r="O157" s="25">
        <f t="shared" si="11"/>
        <v>-16</v>
      </c>
      <c r="P157">
        <f t="shared" si="8"/>
        <v>10</v>
      </c>
      <c r="Q157" s="22">
        <f t="shared" si="9"/>
        <v>46327</v>
      </c>
      <c r="R157" s="22">
        <f t="shared" si="9"/>
        <v>46357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1615.479485127745</v>
      </c>
      <c r="AD157" s="17">
        <v>403.86987128193624</v>
      </c>
      <c r="AE157" s="17">
        <v>2019.3493564096811</v>
      </c>
    </row>
    <row r="158" spans="1:31">
      <c r="A158" t="s">
        <v>102</v>
      </c>
      <c r="B158" t="s">
        <v>50</v>
      </c>
      <c r="C158" t="s">
        <v>81</v>
      </c>
      <c r="D158" t="s">
        <v>82</v>
      </c>
      <c r="E158" t="s">
        <v>121</v>
      </c>
      <c r="F158" s="22">
        <v>46349</v>
      </c>
      <c r="G158" s="22">
        <v>46358</v>
      </c>
      <c r="H158" s="23">
        <v>49.98</v>
      </c>
      <c r="I158" s="23">
        <v>59.98</v>
      </c>
      <c r="J158" s="23">
        <v>10</v>
      </c>
      <c r="K158">
        <v>300</v>
      </c>
      <c r="L158" s="23">
        <v>3000</v>
      </c>
      <c r="M158" s="24">
        <f t="shared" si="10"/>
        <v>0.1</v>
      </c>
      <c r="N158" s="23">
        <f xml:space="preserve"> $AI$6 * L158</f>
        <v>2753.6582132859289</v>
      </c>
      <c r="O158" s="25">
        <f t="shared" si="11"/>
        <v>-25</v>
      </c>
      <c r="P158">
        <f t="shared" si="8"/>
        <v>10</v>
      </c>
      <c r="Q158" s="22">
        <f t="shared" si="9"/>
        <v>46327</v>
      </c>
      <c r="R158" s="22">
        <f t="shared" si="9"/>
        <v>46357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2202.9265706287433</v>
      </c>
      <c r="AD158" s="17">
        <v>550.73164265718583</v>
      </c>
      <c r="AE158" s="17">
        <v>2753.6582132859294</v>
      </c>
    </row>
    <row r="159" spans="1:31">
      <c r="A159" t="s">
        <v>105</v>
      </c>
      <c r="B159" t="s">
        <v>106</v>
      </c>
      <c r="C159" t="s">
        <v>81</v>
      </c>
      <c r="D159" t="s">
        <v>82</v>
      </c>
      <c r="E159" t="s">
        <v>121</v>
      </c>
      <c r="F159" s="22">
        <v>46349</v>
      </c>
      <c r="G159" s="22">
        <v>46358</v>
      </c>
      <c r="H159" s="23">
        <v>67.98</v>
      </c>
      <c r="I159" s="23">
        <v>79.98</v>
      </c>
      <c r="J159" s="23">
        <v>12</v>
      </c>
      <c r="K159">
        <v>200</v>
      </c>
      <c r="L159" s="23">
        <v>2400</v>
      </c>
      <c r="M159" s="24">
        <f t="shared" si="10"/>
        <v>8.3333333333333329E-2</v>
      </c>
      <c r="N159" s="23">
        <f xml:space="preserve"> $AI$6 * L159</f>
        <v>2202.9265706287429</v>
      </c>
      <c r="O159" s="25">
        <f t="shared" si="11"/>
        <v>-16</v>
      </c>
      <c r="P159">
        <f t="shared" si="8"/>
        <v>10</v>
      </c>
      <c r="Q159" s="22">
        <f t="shared" si="9"/>
        <v>46327</v>
      </c>
      <c r="R159" s="22">
        <f t="shared" si="9"/>
        <v>46357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1762.3412565029944</v>
      </c>
      <c r="AD159" s="17">
        <v>440.5853141257486</v>
      </c>
      <c r="AE159" s="17">
        <v>2202.9265706287429</v>
      </c>
    </row>
    <row r="160" spans="1:31">
      <c r="A160" t="s">
        <v>107</v>
      </c>
      <c r="B160" t="s">
        <v>108</v>
      </c>
      <c r="C160" t="s">
        <v>81</v>
      </c>
      <c r="D160" t="s">
        <v>82</v>
      </c>
      <c r="E160" t="s">
        <v>121</v>
      </c>
      <c r="F160" s="22">
        <v>46349</v>
      </c>
      <c r="G160" s="22">
        <v>46358</v>
      </c>
      <c r="H160" s="23">
        <v>119.98</v>
      </c>
      <c r="I160" s="23">
        <v>149.97999999999999</v>
      </c>
      <c r="J160" s="23">
        <v>30</v>
      </c>
      <c r="K160">
        <v>250</v>
      </c>
      <c r="L160" s="23">
        <v>7500</v>
      </c>
      <c r="M160" s="24">
        <f t="shared" si="10"/>
        <v>3.3333333333333333E-2</v>
      </c>
      <c r="N160" s="23">
        <f xml:space="preserve"> $AI$6 * L160</f>
        <v>6884.1455332148225</v>
      </c>
      <c r="O160" s="25">
        <f t="shared" si="11"/>
        <v>-21</v>
      </c>
      <c r="P160">
        <f t="shared" si="8"/>
        <v>10</v>
      </c>
      <c r="Q160" s="22">
        <f t="shared" si="9"/>
        <v>46327</v>
      </c>
      <c r="R160" s="22">
        <f t="shared" si="9"/>
        <v>46357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5507.3164265718578</v>
      </c>
      <c r="AD160" s="17">
        <v>1376.8291066429645</v>
      </c>
      <c r="AE160" s="17">
        <v>6884.1455332148225</v>
      </c>
    </row>
    <row r="161" spans="1:31">
      <c r="A161" t="s">
        <v>112</v>
      </c>
      <c r="B161" t="s">
        <v>113</v>
      </c>
      <c r="C161" t="s">
        <v>81</v>
      </c>
      <c r="D161" t="s">
        <v>82</v>
      </c>
      <c r="E161" t="s">
        <v>121</v>
      </c>
      <c r="F161" s="22">
        <v>46349</v>
      </c>
      <c r="G161" s="22">
        <v>46358</v>
      </c>
      <c r="H161" s="23">
        <v>19.98</v>
      </c>
      <c r="I161" s="23">
        <v>29.98</v>
      </c>
      <c r="J161" s="23">
        <v>10</v>
      </c>
      <c r="K161">
        <v>300</v>
      </c>
      <c r="L161" s="23">
        <v>3000</v>
      </c>
      <c r="M161" s="24">
        <f t="shared" si="10"/>
        <v>0.1</v>
      </c>
      <c r="N161" s="23">
        <f xml:space="preserve"> $AI$6 * L161</f>
        <v>2753.6582132859289</v>
      </c>
      <c r="O161" s="25">
        <f t="shared" si="11"/>
        <v>-25</v>
      </c>
      <c r="P161">
        <f t="shared" si="8"/>
        <v>10</v>
      </c>
      <c r="Q161" s="22">
        <f t="shared" si="9"/>
        <v>46327</v>
      </c>
      <c r="R161" s="22">
        <f t="shared" si="9"/>
        <v>46357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2202.9265706287433</v>
      </c>
      <c r="AD161" s="17">
        <v>550.73164265718583</v>
      </c>
      <c r="AE161" s="17">
        <v>2753.6582132859294</v>
      </c>
    </row>
    <row r="162" spans="1:31">
      <c r="A162" t="s">
        <v>109</v>
      </c>
      <c r="B162" t="s">
        <v>110</v>
      </c>
      <c r="C162" t="s">
        <v>81</v>
      </c>
      <c r="D162" t="s">
        <v>82</v>
      </c>
      <c r="E162" t="s">
        <v>121</v>
      </c>
      <c r="F162" s="22">
        <v>46349</v>
      </c>
      <c r="G162" s="22">
        <v>46358</v>
      </c>
      <c r="H162" s="23">
        <v>19.98</v>
      </c>
      <c r="I162" s="23">
        <v>29.98</v>
      </c>
      <c r="J162" s="23">
        <v>10</v>
      </c>
      <c r="K162">
        <v>500</v>
      </c>
      <c r="L162" s="23">
        <v>5000</v>
      </c>
      <c r="M162" s="24">
        <f t="shared" si="10"/>
        <v>0.1</v>
      </c>
      <c r="N162" s="23">
        <f xml:space="preserve"> $AI$6 * L162</f>
        <v>4589.4303554765484</v>
      </c>
      <c r="O162" s="25">
        <f t="shared" si="11"/>
        <v>-41</v>
      </c>
      <c r="P162">
        <f t="shared" si="8"/>
        <v>10</v>
      </c>
      <c r="Q162" s="22">
        <f t="shared" si="9"/>
        <v>46327</v>
      </c>
      <c r="R162" s="22">
        <f t="shared" si="9"/>
        <v>46357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3671.5442843812389</v>
      </c>
      <c r="AD162" s="17">
        <v>917.88607109530972</v>
      </c>
      <c r="AE162" s="17">
        <v>4589.4303554765484</v>
      </c>
    </row>
    <row r="163" spans="1:31">
      <c r="A163" t="s">
        <v>90</v>
      </c>
      <c r="B163" t="s">
        <v>115</v>
      </c>
      <c r="C163" t="s">
        <v>81</v>
      </c>
      <c r="D163" t="s">
        <v>82</v>
      </c>
      <c r="E163" t="s">
        <v>121</v>
      </c>
      <c r="F163" s="22">
        <v>46349</v>
      </c>
      <c r="G163" s="22">
        <v>46358</v>
      </c>
      <c r="H163" s="23">
        <v>25.98</v>
      </c>
      <c r="I163" s="23">
        <v>35.979999999999997</v>
      </c>
      <c r="J163" s="23">
        <v>10</v>
      </c>
      <c r="K163">
        <v>200</v>
      </c>
      <c r="L163" s="23">
        <v>2000</v>
      </c>
      <c r="M163" s="24">
        <f t="shared" si="10"/>
        <v>0.1</v>
      </c>
      <c r="N163" s="23">
        <f xml:space="preserve"> $AI$6 * L163</f>
        <v>1835.7721421906192</v>
      </c>
      <c r="O163" s="25">
        <f t="shared" si="11"/>
        <v>-16</v>
      </c>
      <c r="P163">
        <f t="shared" si="8"/>
        <v>10</v>
      </c>
      <c r="Q163" s="22">
        <f t="shared" si="9"/>
        <v>46327</v>
      </c>
      <c r="R163" s="22">
        <f t="shared" si="9"/>
        <v>46357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1468.6177137524953</v>
      </c>
      <c r="AD163" s="17">
        <v>367.15442843812383</v>
      </c>
      <c r="AE163" s="17">
        <v>1835.7721421906192</v>
      </c>
    </row>
    <row r="164" spans="1:31">
      <c r="A164" t="s">
        <v>92</v>
      </c>
      <c r="B164" t="s">
        <v>116</v>
      </c>
      <c r="C164" t="s">
        <v>81</v>
      </c>
      <c r="D164" t="s">
        <v>82</v>
      </c>
      <c r="E164" t="s">
        <v>121</v>
      </c>
      <c r="F164" s="22">
        <v>46349</v>
      </c>
      <c r="G164" s="22">
        <v>46358</v>
      </c>
      <c r="H164" s="23">
        <v>25.98</v>
      </c>
      <c r="I164" s="23">
        <v>35.979999999999997</v>
      </c>
      <c r="J164" s="23">
        <v>10</v>
      </c>
      <c r="K164">
        <v>150</v>
      </c>
      <c r="L164" s="23">
        <v>1500</v>
      </c>
      <c r="M164" s="24">
        <f t="shared" si="10"/>
        <v>0.1</v>
      </c>
      <c r="N164" s="23">
        <f xml:space="preserve"> $AI$6 * L164</f>
        <v>1376.8291066429645</v>
      </c>
      <c r="O164" s="25">
        <f t="shared" si="11"/>
        <v>-12</v>
      </c>
      <c r="P164">
        <f t="shared" si="8"/>
        <v>10</v>
      </c>
      <c r="Q164" s="22">
        <f t="shared" si="9"/>
        <v>46327</v>
      </c>
      <c r="R164" s="22">
        <f t="shared" si="9"/>
        <v>46357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1101.4632853143717</v>
      </c>
      <c r="AD164" s="17">
        <v>275.36582132859292</v>
      </c>
      <c r="AE164" s="17">
        <v>1376.8291066429647</v>
      </c>
    </row>
    <row r="165" spans="1:31">
      <c r="A165" t="s">
        <v>27</v>
      </c>
      <c r="B165" t="s">
        <v>117</v>
      </c>
      <c r="C165" t="s">
        <v>81</v>
      </c>
      <c r="D165" t="s">
        <v>82</v>
      </c>
      <c r="E165" t="s">
        <v>121</v>
      </c>
      <c r="F165" s="22">
        <v>46349</v>
      </c>
      <c r="G165" s="22">
        <v>46358</v>
      </c>
      <c r="H165" s="23">
        <v>25.98</v>
      </c>
      <c r="I165" s="23">
        <v>35.979999999999997</v>
      </c>
      <c r="J165" s="23">
        <v>10</v>
      </c>
      <c r="K165">
        <v>400</v>
      </c>
      <c r="L165" s="23">
        <v>4000</v>
      </c>
      <c r="M165" s="24">
        <f t="shared" si="10"/>
        <v>0.1</v>
      </c>
      <c r="N165" s="23">
        <f xml:space="preserve"> $AI$6 * L165</f>
        <v>3671.5442843812384</v>
      </c>
      <c r="O165" s="25">
        <f t="shared" si="11"/>
        <v>-33</v>
      </c>
      <c r="P165">
        <f t="shared" si="8"/>
        <v>10</v>
      </c>
      <c r="Q165" s="22">
        <f t="shared" si="9"/>
        <v>46327</v>
      </c>
      <c r="R165" s="22">
        <f t="shared" si="9"/>
        <v>46357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2937.2354275049906</v>
      </c>
      <c r="AD165" s="17">
        <v>734.30885687624766</v>
      </c>
      <c r="AE165" s="17">
        <v>3671.5442843812384</v>
      </c>
    </row>
    <row r="166" spans="1:31">
      <c r="A166" t="s">
        <v>87</v>
      </c>
      <c r="B166" t="s">
        <v>88</v>
      </c>
      <c r="C166" t="s">
        <v>81</v>
      </c>
      <c r="D166" t="s">
        <v>10</v>
      </c>
      <c r="E166" t="s">
        <v>121</v>
      </c>
      <c r="F166" s="22">
        <v>46349</v>
      </c>
      <c r="G166" s="22">
        <v>46358</v>
      </c>
      <c r="H166" s="23">
        <v>55.98</v>
      </c>
      <c r="I166" s="23">
        <v>65.98</v>
      </c>
      <c r="J166" s="23">
        <v>10</v>
      </c>
      <c r="K166">
        <v>500</v>
      </c>
      <c r="L166" s="23">
        <v>5000</v>
      </c>
      <c r="M166" s="24">
        <f t="shared" si="10"/>
        <v>0.1</v>
      </c>
      <c r="N166" s="23">
        <f xml:space="preserve"> $AI$6 * L166</f>
        <v>4589.4303554765484</v>
      </c>
      <c r="O166" s="25">
        <f t="shared" si="11"/>
        <v>-41</v>
      </c>
      <c r="P166">
        <f t="shared" si="8"/>
        <v>10</v>
      </c>
      <c r="Q166" s="22">
        <f t="shared" si="9"/>
        <v>46327</v>
      </c>
      <c r="R166" s="22">
        <f t="shared" si="9"/>
        <v>46357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3671.5442843812389</v>
      </c>
      <c r="AD166" s="17">
        <v>917.88607109530972</v>
      </c>
      <c r="AE166" s="17">
        <v>4589.4303554765484</v>
      </c>
    </row>
    <row r="167" spans="1:31">
      <c r="A167" t="s">
        <v>47</v>
      </c>
      <c r="B167" t="s">
        <v>48</v>
      </c>
      <c r="C167" t="s">
        <v>81</v>
      </c>
      <c r="D167" t="s">
        <v>10</v>
      </c>
      <c r="E167" t="s">
        <v>121</v>
      </c>
      <c r="F167" s="22">
        <v>46349</v>
      </c>
      <c r="G167" s="22">
        <v>46358</v>
      </c>
      <c r="H167" s="23">
        <v>43.98</v>
      </c>
      <c r="I167" s="23">
        <v>49.98</v>
      </c>
      <c r="J167" s="23">
        <v>6</v>
      </c>
      <c r="K167">
        <v>1000</v>
      </c>
      <c r="L167" s="23">
        <v>6000</v>
      </c>
      <c r="M167" s="24">
        <f t="shared" si="10"/>
        <v>0.16666666666666666</v>
      </c>
      <c r="N167" s="23">
        <f xml:space="preserve"> $AI$6 * L167</f>
        <v>5507.3164265718578</v>
      </c>
      <c r="O167" s="25">
        <f t="shared" si="11"/>
        <v>-82</v>
      </c>
      <c r="P167">
        <f t="shared" si="8"/>
        <v>10</v>
      </c>
      <c r="Q167" s="22">
        <f t="shared" si="9"/>
        <v>46327</v>
      </c>
      <c r="R167" s="22">
        <f t="shared" si="9"/>
        <v>46357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4405.8531412574866</v>
      </c>
      <c r="AD167" s="17">
        <v>1101.4632853143717</v>
      </c>
      <c r="AE167" s="17">
        <v>5507.3164265718588</v>
      </c>
    </row>
    <row r="168" spans="1:31">
      <c r="A168" t="s">
        <v>33</v>
      </c>
      <c r="B168" t="s">
        <v>34</v>
      </c>
      <c r="C168" t="s">
        <v>81</v>
      </c>
      <c r="D168" t="s">
        <v>10</v>
      </c>
      <c r="E168" t="s">
        <v>121</v>
      </c>
      <c r="F168" s="22">
        <v>46349</v>
      </c>
      <c r="G168" s="22">
        <v>46358</v>
      </c>
      <c r="H168" s="23">
        <v>50.98</v>
      </c>
      <c r="I168" s="23">
        <v>59.98</v>
      </c>
      <c r="J168" s="23">
        <v>9</v>
      </c>
      <c r="K168">
        <v>500</v>
      </c>
      <c r="L168" s="23">
        <v>4500</v>
      </c>
      <c r="M168" s="24">
        <f t="shared" si="10"/>
        <v>0.1111111111111111</v>
      </c>
      <c r="N168" s="23">
        <f xml:space="preserve"> $AI$6 * L168</f>
        <v>4130.4873199288932</v>
      </c>
      <c r="O168" s="25">
        <f t="shared" si="11"/>
        <v>-41</v>
      </c>
      <c r="P168">
        <f t="shared" si="8"/>
        <v>10</v>
      </c>
      <c r="Q168" s="22">
        <f t="shared" si="9"/>
        <v>46327</v>
      </c>
      <c r="R168" s="22">
        <f t="shared" si="9"/>
        <v>46357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3304.3898559431145</v>
      </c>
      <c r="AD168" s="17">
        <v>826.09746398577863</v>
      </c>
      <c r="AE168" s="17">
        <v>4130.4873199288932</v>
      </c>
    </row>
    <row r="169" spans="1:31">
      <c r="A169" t="s">
        <v>94</v>
      </c>
      <c r="B169" t="s">
        <v>95</v>
      </c>
      <c r="C169" t="s">
        <v>81</v>
      </c>
      <c r="D169" t="s">
        <v>10</v>
      </c>
      <c r="E169" t="s">
        <v>121</v>
      </c>
      <c r="F169" s="22">
        <v>46349</v>
      </c>
      <c r="G169" s="22">
        <v>46358</v>
      </c>
      <c r="H169" s="23">
        <v>89.98</v>
      </c>
      <c r="I169" s="23">
        <v>109.98</v>
      </c>
      <c r="J169" s="23">
        <v>20</v>
      </c>
      <c r="K169">
        <v>300</v>
      </c>
      <c r="L169" s="23">
        <v>6000</v>
      </c>
      <c r="M169" s="24">
        <f t="shared" si="10"/>
        <v>0.05</v>
      </c>
      <c r="N169" s="23">
        <f xml:space="preserve"> $AI$6 * L169</f>
        <v>5507.3164265718578</v>
      </c>
      <c r="O169" s="25">
        <f t="shared" si="11"/>
        <v>-25</v>
      </c>
      <c r="P169">
        <f t="shared" si="8"/>
        <v>10</v>
      </c>
      <c r="Q169" s="22">
        <f t="shared" si="9"/>
        <v>46327</v>
      </c>
      <c r="R169" s="22">
        <f t="shared" si="9"/>
        <v>46357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4405.8531412574866</v>
      </c>
      <c r="AD169" s="17">
        <v>1101.4632853143717</v>
      </c>
      <c r="AE169" s="17">
        <v>5507.3164265718588</v>
      </c>
    </row>
    <row r="170" spans="1:31">
      <c r="A170" t="s">
        <v>100</v>
      </c>
      <c r="B170" t="s">
        <v>44</v>
      </c>
      <c r="C170" t="s">
        <v>81</v>
      </c>
      <c r="D170" t="s">
        <v>10</v>
      </c>
      <c r="E170" t="s">
        <v>121</v>
      </c>
      <c r="F170" s="22">
        <v>46349</v>
      </c>
      <c r="G170" s="22">
        <v>46358</v>
      </c>
      <c r="H170" s="23">
        <v>84.98</v>
      </c>
      <c r="I170" s="23">
        <v>99.98</v>
      </c>
      <c r="J170" s="23">
        <v>15</v>
      </c>
      <c r="K170">
        <v>2500</v>
      </c>
      <c r="L170" s="23">
        <v>37500</v>
      </c>
      <c r="M170" s="24">
        <f t="shared" si="10"/>
        <v>6.6666666666666666E-2</v>
      </c>
      <c r="N170" s="23">
        <f xml:space="preserve"> $AI$6 * L170</f>
        <v>34420.727666074112</v>
      </c>
      <c r="O170" s="25">
        <f t="shared" si="11"/>
        <v>-205</v>
      </c>
      <c r="P170">
        <f t="shared" si="8"/>
        <v>10</v>
      </c>
      <c r="Q170" s="22">
        <f t="shared" si="9"/>
        <v>46327</v>
      </c>
      <c r="R170" s="22">
        <f t="shared" si="9"/>
        <v>46357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27536.58213285929</v>
      </c>
      <c r="AD170" s="17">
        <v>6884.1455332148225</v>
      </c>
      <c r="AE170" s="17">
        <v>34420.727666074112</v>
      </c>
    </row>
    <row r="171" spans="1:31">
      <c r="A171" t="s">
        <v>43</v>
      </c>
      <c r="B171" t="s">
        <v>101</v>
      </c>
      <c r="C171" t="s">
        <v>81</v>
      </c>
      <c r="D171" t="s">
        <v>10</v>
      </c>
      <c r="E171" t="s">
        <v>121</v>
      </c>
      <c r="F171" s="22">
        <v>46349</v>
      </c>
      <c r="G171" s="22">
        <v>46358</v>
      </c>
      <c r="H171" s="23">
        <v>84.98</v>
      </c>
      <c r="I171" s="23">
        <v>99.98</v>
      </c>
      <c r="J171" s="23">
        <v>15</v>
      </c>
      <c r="K171">
        <v>2000</v>
      </c>
      <c r="L171" s="23">
        <v>30000</v>
      </c>
      <c r="M171" s="24">
        <f t="shared" si="10"/>
        <v>6.6666666666666666E-2</v>
      </c>
      <c r="N171" s="23">
        <f xml:space="preserve"> $AI$6 * L171</f>
        <v>27536.58213285929</v>
      </c>
      <c r="O171" s="25">
        <f t="shared" si="11"/>
        <v>-164</v>
      </c>
      <c r="P171">
        <f t="shared" si="8"/>
        <v>10</v>
      </c>
      <c r="Q171" s="22">
        <f t="shared" si="9"/>
        <v>46327</v>
      </c>
      <c r="R171" s="22">
        <f t="shared" si="9"/>
        <v>46357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22029.265706287431</v>
      </c>
      <c r="AD171" s="17">
        <v>5507.3164265718578</v>
      </c>
      <c r="AE171" s="17">
        <v>27536.58213285929</v>
      </c>
    </row>
    <row r="172" spans="1:31">
      <c r="A172" t="s">
        <v>104</v>
      </c>
      <c r="B172" t="s">
        <v>32</v>
      </c>
      <c r="C172" t="s">
        <v>81</v>
      </c>
      <c r="D172" t="s">
        <v>10</v>
      </c>
      <c r="E172" t="s">
        <v>121</v>
      </c>
      <c r="F172" s="22">
        <v>46349</v>
      </c>
      <c r="G172" s="22">
        <v>46358</v>
      </c>
      <c r="H172" s="23">
        <v>58.98</v>
      </c>
      <c r="I172" s="23">
        <v>69.98</v>
      </c>
      <c r="J172" s="23">
        <v>11</v>
      </c>
      <c r="K172">
        <v>2500</v>
      </c>
      <c r="L172" s="23">
        <v>27500</v>
      </c>
      <c r="M172" s="24">
        <f t="shared" si="10"/>
        <v>9.0909090909090912E-2</v>
      </c>
      <c r="N172" s="23">
        <f xml:space="preserve"> $AI$6 * L172</f>
        <v>25241.866955121015</v>
      </c>
      <c r="O172" s="25">
        <f t="shared" si="11"/>
        <v>-205</v>
      </c>
      <c r="P172">
        <f t="shared" si="8"/>
        <v>10</v>
      </c>
      <c r="Q172" s="22">
        <f t="shared" si="9"/>
        <v>46327</v>
      </c>
      <c r="R172" s="22">
        <f t="shared" si="9"/>
        <v>46357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20193.493564096811</v>
      </c>
      <c r="AD172" s="17">
        <v>5048.3733910242026</v>
      </c>
      <c r="AE172" s="17">
        <v>25241.866955121011</v>
      </c>
    </row>
    <row r="173" spans="1:31">
      <c r="A173" t="s">
        <v>102</v>
      </c>
      <c r="B173" t="s">
        <v>50</v>
      </c>
      <c r="C173" t="s">
        <v>81</v>
      </c>
      <c r="D173" t="s">
        <v>10</v>
      </c>
      <c r="E173" t="s">
        <v>121</v>
      </c>
      <c r="F173" s="22">
        <v>46349</v>
      </c>
      <c r="G173" s="22">
        <v>46358</v>
      </c>
      <c r="H173" s="23">
        <v>49.98</v>
      </c>
      <c r="I173" s="23">
        <v>59.98</v>
      </c>
      <c r="J173" s="23">
        <v>10</v>
      </c>
      <c r="K173">
        <v>2600</v>
      </c>
      <c r="L173" s="23">
        <v>26000</v>
      </c>
      <c r="M173" s="24">
        <f t="shared" si="10"/>
        <v>0.1</v>
      </c>
      <c r="N173" s="23">
        <f xml:space="preserve"> $AI$6 * L173</f>
        <v>23865.037848478049</v>
      </c>
      <c r="O173" s="25">
        <f t="shared" si="11"/>
        <v>-213</v>
      </c>
      <c r="P173">
        <f t="shared" si="8"/>
        <v>10</v>
      </c>
      <c r="Q173" s="22">
        <f t="shared" si="9"/>
        <v>46327</v>
      </c>
      <c r="R173" s="22">
        <f t="shared" si="9"/>
        <v>46357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19092.03027878244</v>
      </c>
      <c r="AD173" s="17">
        <v>4773.0075696956101</v>
      </c>
      <c r="AE173" s="17">
        <v>23865.037848478052</v>
      </c>
    </row>
    <row r="174" spans="1:31">
      <c r="A174" t="s">
        <v>105</v>
      </c>
      <c r="B174" t="s">
        <v>106</v>
      </c>
      <c r="C174" t="s">
        <v>81</v>
      </c>
      <c r="D174" t="s">
        <v>10</v>
      </c>
      <c r="E174" t="s">
        <v>121</v>
      </c>
      <c r="F174" s="22">
        <v>46349</v>
      </c>
      <c r="G174" s="22">
        <v>46358</v>
      </c>
      <c r="H174" s="23">
        <v>67.98</v>
      </c>
      <c r="I174" s="23">
        <v>79.98</v>
      </c>
      <c r="J174" s="23">
        <v>12</v>
      </c>
      <c r="K174">
        <v>2200</v>
      </c>
      <c r="L174" s="23">
        <v>26400</v>
      </c>
      <c r="M174" s="24">
        <f t="shared" si="10"/>
        <v>8.3333333333333329E-2</v>
      </c>
      <c r="N174" s="23">
        <f xml:space="preserve"> $AI$6 * L174</f>
        <v>24232.192276916176</v>
      </c>
      <c r="O174" s="25">
        <f t="shared" si="11"/>
        <v>-181</v>
      </c>
      <c r="P174">
        <f t="shared" si="8"/>
        <v>10</v>
      </c>
      <c r="Q174" s="22">
        <f t="shared" si="9"/>
        <v>46327</v>
      </c>
      <c r="R174" s="22">
        <f t="shared" si="9"/>
        <v>46357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19385.75382153294</v>
      </c>
      <c r="AD174" s="17">
        <v>4846.4384553832351</v>
      </c>
      <c r="AE174" s="17">
        <v>24232.192276916176</v>
      </c>
    </row>
    <row r="175" spans="1:31">
      <c r="A175" t="s">
        <v>107</v>
      </c>
      <c r="B175" t="s">
        <v>108</v>
      </c>
      <c r="C175" t="s">
        <v>81</v>
      </c>
      <c r="D175" t="s">
        <v>10</v>
      </c>
      <c r="E175" t="s">
        <v>121</v>
      </c>
      <c r="F175" s="22">
        <v>46349</v>
      </c>
      <c r="G175" s="22">
        <v>46358</v>
      </c>
      <c r="H175" s="23">
        <v>119.98</v>
      </c>
      <c r="I175" s="23">
        <v>149.97999999999999</v>
      </c>
      <c r="J175" s="23">
        <v>30</v>
      </c>
      <c r="K175">
        <v>2300</v>
      </c>
      <c r="L175" s="23">
        <v>69000</v>
      </c>
      <c r="M175" s="24">
        <f t="shared" si="10"/>
        <v>3.3333333333333333E-2</v>
      </c>
      <c r="N175" s="23">
        <f xml:space="preserve"> $AI$6 * L175</f>
        <v>63334.138905576365</v>
      </c>
      <c r="O175" s="25">
        <f t="shared" si="11"/>
        <v>-189</v>
      </c>
      <c r="P175">
        <f t="shared" si="8"/>
        <v>10</v>
      </c>
      <c r="Q175" s="22">
        <f t="shared" si="9"/>
        <v>46327</v>
      </c>
      <c r="R175" s="22">
        <f t="shared" si="9"/>
        <v>46357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50667.311124461092</v>
      </c>
      <c r="AD175" s="17">
        <v>12666.827781115273</v>
      </c>
      <c r="AE175" s="17">
        <v>63334.138905576365</v>
      </c>
    </row>
    <row r="176" spans="1:31">
      <c r="A176" t="s">
        <v>109</v>
      </c>
      <c r="B176" t="s">
        <v>110</v>
      </c>
      <c r="C176" t="s">
        <v>81</v>
      </c>
      <c r="D176" t="s">
        <v>10</v>
      </c>
      <c r="E176" t="s">
        <v>121</v>
      </c>
      <c r="F176" s="22">
        <v>46349</v>
      </c>
      <c r="G176" s="22">
        <v>46358</v>
      </c>
      <c r="H176" s="23">
        <v>24.98</v>
      </c>
      <c r="I176" s="23">
        <v>29.98</v>
      </c>
      <c r="J176" s="23">
        <v>5</v>
      </c>
      <c r="K176">
        <v>25000</v>
      </c>
      <c r="L176" s="23">
        <v>125000</v>
      </c>
      <c r="M176" s="24">
        <f t="shared" si="10"/>
        <v>0.2</v>
      </c>
      <c r="N176" s="23">
        <f xml:space="preserve"> $AI$6 * L176</f>
        <v>114735.7588869137</v>
      </c>
      <c r="O176" s="25">
        <f t="shared" si="11"/>
        <v>-2053</v>
      </c>
      <c r="P176">
        <f t="shared" si="8"/>
        <v>10</v>
      </c>
      <c r="Q176" s="22">
        <f t="shared" si="9"/>
        <v>46327</v>
      </c>
      <c r="R176" s="22">
        <f t="shared" si="9"/>
        <v>46357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91788.60710953096</v>
      </c>
      <c r="AD176" s="17">
        <v>22947.15177738274</v>
      </c>
      <c r="AE176" s="17">
        <v>114735.7588869137</v>
      </c>
    </row>
    <row r="177" spans="1:31">
      <c r="A177" t="s">
        <v>27</v>
      </c>
      <c r="B177" t="s">
        <v>117</v>
      </c>
      <c r="C177" t="s">
        <v>81</v>
      </c>
      <c r="D177" t="s">
        <v>10</v>
      </c>
      <c r="E177" t="s">
        <v>121</v>
      </c>
      <c r="F177" s="22">
        <v>46349</v>
      </c>
      <c r="G177" s="22">
        <v>46358</v>
      </c>
      <c r="H177" s="23">
        <v>29.98</v>
      </c>
      <c r="I177" s="23">
        <v>35.979999999999997</v>
      </c>
      <c r="J177" s="23">
        <v>6</v>
      </c>
      <c r="K177">
        <v>8000</v>
      </c>
      <c r="L177" s="23">
        <v>48000</v>
      </c>
      <c r="M177" s="24">
        <f t="shared" si="10"/>
        <v>0.16666666666666666</v>
      </c>
      <c r="N177" s="23">
        <f xml:space="preserve"> $AI$6 * L177</f>
        <v>44058.531412574863</v>
      </c>
      <c r="O177" s="25">
        <f t="shared" si="11"/>
        <v>-657</v>
      </c>
      <c r="P177">
        <f t="shared" si="8"/>
        <v>10</v>
      </c>
      <c r="Q177" s="22">
        <f t="shared" si="9"/>
        <v>46327</v>
      </c>
      <c r="R177" s="22">
        <f t="shared" si="9"/>
        <v>46357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35246.825130059893</v>
      </c>
      <c r="AD177" s="17">
        <v>8811.7062825149733</v>
      </c>
      <c r="AE177" s="17">
        <v>44058.53141257487</v>
      </c>
    </row>
    <row r="178" spans="1:31">
      <c r="A178" t="s">
        <v>87</v>
      </c>
      <c r="B178" t="s">
        <v>88</v>
      </c>
      <c r="C178" t="s">
        <v>81</v>
      </c>
      <c r="D178" t="s">
        <v>82</v>
      </c>
      <c r="E178" t="s">
        <v>122</v>
      </c>
      <c r="F178" s="22">
        <v>46363</v>
      </c>
      <c r="G178" s="22">
        <v>46369</v>
      </c>
      <c r="H178" s="23">
        <v>50.98</v>
      </c>
      <c r="I178" s="23">
        <v>65.98</v>
      </c>
      <c r="J178" s="23">
        <v>15</v>
      </c>
      <c r="K178">
        <v>60</v>
      </c>
      <c r="L178" s="23">
        <v>900</v>
      </c>
      <c r="M178" s="24">
        <f t="shared" si="10"/>
        <v>6.6666666666666666E-2</v>
      </c>
      <c r="N178" s="23">
        <f xml:space="preserve"> $AI$6 * L178</f>
        <v>826.09746398577863</v>
      </c>
      <c r="O178" s="25">
        <f t="shared" si="11"/>
        <v>-5</v>
      </c>
      <c r="P178">
        <f t="shared" si="8"/>
        <v>7</v>
      </c>
      <c r="Q178" s="22">
        <f t="shared" si="9"/>
        <v>46357</v>
      </c>
      <c r="R178" s="22">
        <f t="shared" si="9"/>
        <v>46357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826.09746398577863</v>
      </c>
      <c r="AE178" s="17">
        <v>826.09746398577863</v>
      </c>
    </row>
    <row r="179" spans="1:31">
      <c r="A179" t="s">
        <v>47</v>
      </c>
      <c r="B179" t="s">
        <v>48</v>
      </c>
      <c r="C179" t="s">
        <v>81</v>
      </c>
      <c r="D179" t="s">
        <v>82</v>
      </c>
      <c r="E179" t="s">
        <v>122</v>
      </c>
      <c r="F179" s="22">
        <v>46363</v>
      </c>
      <c r="G179" s="22">
        <v>46369</v>
      </c>
      <c r="H179" s="23">
        <v>41.98</v>
      </c>
      <c r="I179" s="23">
        <v>49.98</v>
      </c>
      <c r="J179" s="23">
        <v>8</v>
      </c>
      <c r="K179">
        <v>100</v>
      </c>
      <c r="L179" s="23">
        <v>800</v>
      </c>
      <c r="M179" s="24">
        <f t="shared" si="10"/>
        <v>0.125</v>
      </c>
      <c r="N179" s="23">
        <f xml:space="preserve"> $AI$6 * L179</f>
        <v>734.30885687624766</v>
      </c>
      <c r="O179" s="25">
        <f t="shared" si="11"/>
        <v>-8</v>
      </c>
      <c r="P179">
        <f t="shared" si="8"/>
        <v>7</v>
      </c>
      <c r="Q179" s="22">
        <f t="shared" si="9"/>
        <v>46357</v>
      </c>
      <c r="R179" s="22">
        <f t="shared" si="9"/>
        <v>46357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734.30885687624766</v>
      </c>
      <c r="AE179" s="17">
        <v>734.30885687624766</v>
      </c>
    </row>
    <row r="180" spans="1:31">
      <c r="A180" t="s">
        <v>33</v>
      </c>
      <c r="B180" t="s">
        <v>34</v>
      </c>
      <c r="C180" t="s">
        <v>81</v>
      </c>
      <c r="D180" t="s">
        <v>82</v>
      </c>
      <c r="E180" t="s">
        <v>122</v>
      </c>
      <c r="F180" s="22">
        <v>46363</v>
      </c>
      <c r="G180" s="22">
        <v>46369</v>
      </c>
      <c r="H180" s="23">
        <v>49.98</v>
      </c>
      <c r="I180" s="23">
        <v>59.98</v>
      </c>
      <c r="J180" s="23">
        <v>10</v>
      </c>
      <c r="K180">
        <v>50</v>
      </c>
      <c r="L180" s="23">
        <v>500</v>
      </c>
      <c r="M180" s="24">
        <f t="shared" si="10"/>
        <v>0.1</v>
      </c>
      <c r="N180" s="23">
        <f xml:space="preserve"> $AI$6 * L180</f>
        <v>458.9430355476548</v>
      </c>
      <c r="O180" s="25">
        <f t="shared" si="11"/>
        <v>-4</v>
      </c>
      <c r="P180">
        <f t="shared" si="8"/>
        <v>7</v>
      </c>
      <c r="Q180" s="22">
        <f t="shared" si="9"/>
        <v>46357</v>
      </c>
      <c r="R180" s="22">
        <f t="shared" si="9"/>
        <v>46357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458.9430355476548</v>
      </c>
      <c r="AE180" s="17">
        <v>458.9430355476548</v>
      </c>
    </row>
    <row r="181" spans="1:31">
      <c r="A181" t="s">
        <v>94</v>
      </c>
      <c r="B181" t="s">
        <v>95</v>
      </c>
      <c r="C181" t="s">
        <v>81</v>
      </c>
      <c r="D181" t="s">
        <v>82</v>
      </c>
      <c r="E181" t="s">
        <v>122</v>
      </c>
      <c r="F181" s="22">
        <v>46363</v>
      </c>
      <c r="G181" s="22">
        <v>46369</v>
      </c>
      <c r="H181" s="23">
        <v>99.98</v>
      </c>
      <c r="I181" s="23">
        <v>109.98</v>
      </c>
      <c r="J181" s="23">
        <v>10</v>
      </c>
      <c r="K181">
        <v>50</v>
      </c>
      <c r="L181" s="23">
        <v>500</v>
      </c>
      <c r="M181" s="24">
        <f t="shared" si="10"/>
        <v>0.1</v>
      </c>
      <c r="N181" s="23">
        <f xml:space="preserve"> $AI$6 * L181</f>
        <v>458.9430355476548</v>
      </c>
      <c r="O181" s="25">
        <f t="shared" si="11"/>
        <v>-4</v>
      </c>
      <c r="P181">
        <f t="shared" si="8"/>
        <v>7</v>
      </c>
      <c r="Q181" s="22">
        <f t="shared" si="9"/>
        <v>46357</v>
      </c>
      <c r="R181" s="22">
        <f t="shared" si="9"/>
        <v>46357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458.9430355476548</v>
      </c>
      <c r="AE181" s="17">
        <v>458.9430355476548</v>
      </c>
    </row>
    <row r="182" spans="1:31">
      <c r="A182" t="s">
        <v>94</v>
      </c>
      <c r="B182" t="s">
        <v>95</v>
      </c>
      <c r="C182" t="s">
        <v>81</v>
      </c>
      <c r="D182" t="s">
        <v>82</v>
      </c>
      <c r="E182" t="s">
        <v>122</v>
      </c>
      <c r="F182" s="22">
        <v>46363</v>
      </c>
      <c r="G182" s="22">
        <v>46369</v>
      </c>
      <c r="H182" s="23">
        <v>89.98</v>
      </c>
      <c r="I182" s="23">
        <v>109.98</v>
      </c>
      <c r="J182" s="23">
        <v>20</v>
      </c>
      <c r="K182">
        <v>50</v>
      </c>
      <c r="L182" s="23">
        <v>1000</v>
      </c>
      <c r="M182" s="24">
        <f t="shared" si="10"/>
        <v>0.05</v>
      </c>
      <c r="N182" s="23">
        <f xml:space="preserve"> $AI$6 * L182</f>
        <v>917.8860710953096</v>
      </c>
      <c r="O182" s="25">
        <f t="shared" si="11"/>
        <v>-4</v>
      </c>
      <c r="P182">
        <f t="shared" si="8"/>
        <v>7</v>
      </c>
      <c r="Q182" s="22">
        <f t="shared" si="9"/>
        <v>46357</v>
      </c>
      <c r="R182" s="22">
        <f t="shared" si="9"/>
        <v>46357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917.8860710953096</v>
      </c>
      <c r="AE182" s="17">
        <v>917.8860710953096</v>
      </c>
    </row>
    <row r="183" spans="1:31">
      <c r="A183" t="s">
        <v>35</v>
      </c>
      <c r="B183" t="s">
        <v>96</v>
      </c>
      <c r="C183" t="s">
        <v>81</v>
      </c>
      <c r="D183" t="s">
        <v>82</v>
      </c>
      <c r="E183" t="s">
        <v>122</v>
      </c>
      <c r="F183" s="22">
        <v>46363</v>
      </c>
      <c r="G183" s="22">
        <v>46369</v>
      </c>
      <c r="H183" s="23">
        <v>99.98</v>
      </c>
      <c r="I183" s="23">
        <v>119.98</v>
      </c>
      <c r="J183" s="23">
        <v>20</v>
      </c>
      <c r="K183">
        <v>35</v>
      </c>
      <c r="L183" s="23">
        <v>700</v>
      </c>
      <c r="M183" s="24">
        <f t="shared" si="10"/>
        <v>0.05</v>
      </c>
      <c r="N183" s="23">
        <f xml:space="preserve"> $AI$6 * L183</f>
        <v>642.52024976671669</v>
      </c>
      <c r="O183" s="25">
        <f t="shared" si="11"/>
        <v>-3</v>
      </c>
      <c r="P183">
        <f t="shared" si="8"/>
        <v>7</v>
      </c>
      <c r="Q183" s="22">
        <f t="shared" si="9"/>
        <v>46357</v>
      </c>
      <c r="R183" s="22">
        <f t="shared" si="9"/>
        <v>46357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642.52024976671669</v>
      </c>
      <c r="AE183" s="17">
        <v>642.52024976671669</v>
      </c>
    </row>
    <row r="184" spans="1:31">
      <c r="A184" t="s">
        <v>97</v>
      </c>
      <c r="B184" t="s">
        <v>98</v>
      </c>
      <c r="C184" t="s">
        <v>81</v>
      </c>
      <c r="D184" t="s">
        <v>82</v>
      </c>
      <c r="E184" t="s">
        <v>122</v>
      </c>
      <c r="F184" s="22">
        <v>46363</v>
      </c>
      <c r="G184" s="22">
        <v>46369</v>
      </c>
      <c r="H184" s="23">
        <v>124.98</v>
      </c>
      <c r="I184" s="23">
        <v>149.97999999999999</v>
      </c>
      <c r="J184" s="23">
        <v>25</v>
      </c>
      <c r="K184">
        <v>75</v>
      </c>
      <c r="L184" s="23">
        <v>1875</v>
      </c>
      <c r="M184" s="24">
        <f t="shared" si="10"/>
        <v>0.04</v>
      </c>
      <c r="N184" s="23">
        <f xml:space="preserve"> $AI$6 * L184</f>
        <v>1721.0363833037056</v>
      </c>
      <c r="O184" s="25">
        <f t="shared" si="11"/>
        <v>-6</v>
      </c>
      <c r="P184">
        <f t="shared" si="8"/>
        <v>7</v>
      </c>
      <c r="Q184" s="22">
        <f t="shared" si="9"/>
        <v>46357</v>
      </c>
      <c r="R184" s="22">
        <f t="shared" si="9"/>
        <v>46357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1721.0363833037056</v>
      </c>
      <c r="AE184" s="17">
        <v>1721.0363833037056</v>
      </c>
    </row>
    <row r="185" spans="1:31">
      <c r="A185" t="s">
        <v>45</v>
      </c>
      <c r="B185" t="s">
        <v>99</v>
      </c>
      <c r="C185" t="s">
        <v>81</v>
      </c>
      <c r="D185" t="s">
        <v>82</v>
      </c>
      <c r="E185" t="s">
        <v>122</v>
      </c>
      <c r="F185" s="22">
        <v>46363</v>
      </c>
      <c r="G185" s="22">
        <v>46369</v>
      </c>
      <c r="H185" s="23">
        <v>124.98</v>
      </c>
      <c r="I185" s="23">
        <v>149.97999999999999</v>
      </c>
      <c r="J185" s="23">
        <v>25</v>
      </c>
      <c r="K185">
        <v>50</v>
      </c>
      <c r="L185" s="23">
        <v>1250</v>
      </c>
      <c r="M185" s="24">
        <f t="shared" si="10"/>
        <v>0.04</v>
      </c>
      <c r="N185" s="23">
        <f xml:space="preserve"> $AI$6 * L185</f>
        <v>1147.3575888691371</v>
      </c>
      <c r="O185" s="25">
        <f t="shared" si="11"/>
        <v>-4</v>
      </c>
      <c r="P185">
        <f t="shared" si="8"/>
        <v>7</v>
      </c>
      <c r="Q185" s="22">
        <f t="shared" si="9"/>
        <v>46357</v>
      </c>
      <c r="R185" s="22">
        <f t="shared" si="9"/>
        <v>46357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1147.3575888691371</v>
      </c>
      <c r="AE185" s="17">
        <v>1147.3575888691371</v>
      </c>
    </row>
    <row r="186" spans="1:31">
      <c r="A186" t="s">
        <v>100</v>
      </c>
      <c r="B186" t="s">
        <v>44</v>
      </c>
      <c r="C186" t="s">
        <v>81</v>
      </c>
      <c r="D186" t="s">
        <v>82</v>
      </c>
      <c r="E186" t="s">
        <v>122</v>
      </c>
      <c r="F186" s="22">
        <v>46363</v>
      </c>
      <c r="G186" s="22">
        <v>46369</v>
      </c>
      <c r="H186" s="23">
        <v>84.98</v>
      </c>
      <c r="I186" s="23">
        <v>99.98</v>
      </c>
      <c r="J186" s="23">
        <v>15</v>
      </c>
      <c r="K186">
        <v>200</v>
      </c>
      <c r="L186" s="23">
        <v>3000</v>
      </c>
      <c r="M186" s="24">
        <f t="shared" si="10"/>
        <v>6.6666666666666666E-2</v>
      </c>
      <c r="N186" s="23">
        <f xml:space="preserve"> $AI$6 * L186</f>
        <v>2753.6582132859289</v>
      </c>
      <c r="O186" s="25">
        <f t="shared" si="11"/>
        <v>-16</v>
      </c>
      <c r="P186">
        <f t="shared" si="8"/>
        <v>7</v>
      </c>
      <c r="Q186" s="22">
        <f t="shared" si="9"/>
        <v>46357</v>
      </c>
      <c r="R186" s="22">
        <f t="shared" si="9"/>
        <v>46357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2753.6582132859289</v>
      </c>
      <c r="AE186" s="17">
        <v>2753.6582132859289</v>
      </c>
    </row>
    <row r="187" spans="1:31">
      <c r="A187" t="s">
        <v>43</v>
      </c>
      <c r="B187" t="s">
        <v>101</v>
      </c>
      <c r="C187" t="s">
        <v>81</v>
      </c>
      <c r="D187" t="s">
        <v>82</v>
      </c>
      <c r="E187" t="s">
        <v>122</v>
      </c>
      <c r="F187" s="22">
        <v>46363</v>
      </c>
      <c r="G187" s="22">
        <v>46369</v>
      </c>
      <c r="H187" s="23">
        <v>84.98</v>
      </c>
      <c r="I187" s="23">
        <v>99.98</v>
      </c>
      <c r="J187" s="23">
        <v>15</v>
      </c>
      <c r="K187">
        <v>150</v>
      </c>
      <c r="L187" s="23">
        <v>2250</v>
      </c>
      <c r="M187" s="24">
        <f t="shared" si="10"/>
        <v>6.6666666666666666E-2</v>
      </c>
      <c r="N187" s="23">
        <f xml:space="preserve"> $AI$6 * L187</f>
        <v>2065.2436599644466</v>
      </c>
      <c r="O187" s="25">
        <f t="shared" si="11"/>
        <v>-12</v>
      </c>
      <c r="P187">
        <f t="shared" si="8"/>
        <v>7</v>
      </c>
      <c r="Q187" s="22">
        <f t="shared" si="9"/>
        <v>46357</v>
      </c>
      <c r="R187" s="22">
        <f t="shared" si="9"/>
        <v>46357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2065.2436599644466</v>
      </c>
      <c r="AE187" s="17">
        <v>2065.2436599644466</v>
      </c>
    </row>
    <row r="188" spans="1:31">
      <c r="A188" t="s">
        <v>104</v>
      </c>
      <c r="B188" t="s">
        <v>32</v>
      </c>
      <c r="C188" t="s">
        <v>81</v>
      </c>
      <c r="D188" t="s">
        <v>82</v>
      </c>
      <c r="E188" t="s">
        <v>122</v>
      </c>
      <c r="F188" s="22">
        <v>46363</v>
      </c>
      <c r="G188" s="22">
        <v>46369</v>
      </c>
      <c r="H188" s="23">
        <v>58.98</v>
      </c>
      <c r="I188" s="23">
        <v>69.98</v>
      </c>
      <c r="J188" s="23">
        <v>11</v>
      </c>
      <c r="K188">
        <v>200</v>
      </c>
      <c r="L188" s="23">
        <v>2200</v>
      </c>
      <c r="M188" s="24">
        <f t="shared" si="10"/>
        <v>9.0909090909090912E-2</v>
      </c>
      <c r="N188" s="23">
        <f xml:space="preserve"> $AI$6 * L188</f>
        <v>2019.3493564096811</v>
      </c>
      <c r="O188" s="25">
        <f t="shared" si="11"/>
        <v>-16</v>
      </c>
      <c r="P188">
        <f t="shared" si="8"/>
        <v>7</v>
      </c>
      <c r="Q188" s="22">
        <f t="shared" si="9"/>
        <v>46357</v>
      </c>
      <c r="R188" s="22">
        <f t="shared" si="9"/>
        <v>46357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2019.3493564096811</v>
      </c>
      <c r="AE188" s="17">
        <v>2019.3493564096811</v>
      </c>
    </row>
    <row r="189" spans="1:31">
      <c r="A189" t="s">
        <v>102</v>
      </c>
      <c r="B189" t="s">
        <v>50</v>
      </c>
      <c r="C189" t="s">
        <v>81</v>
      </c>
      <c r="D189" t="s">
        <v>82</v>
      </c>
      <c r="E189" t="s">
        <v>122</v>
      </c>
      <c r="F189" s="22">
        <v>46363</v>
      </c>
      <c r="G189" s="22">
        <v>46369</v>
      </c>
      <c r="H189" s="23">
        <v>49.98</v>
      </c>
      <c r="I189" s="23">
        <v>59.98</v>
      </c>
      <c r="J189" s="23">
        <v>10</v>
      </c>
      <c r="K189">
        <v>300</v>
      </c>
      <c r="L189" s="23">
        <v>3000</v>
      </c>
      <c r="M189" s="24">
        <f t="shared" si="10"/>
        <v>0.1</v>
      </c>
      <c r="N189" s="23">
        <f xml:space="preserve"> $AI$6 * L189</f>
        <v>2753.6582132859289</v>
      </c>
      <c r="O189" s="25">
        <f t="shared" si="11"/>
        <v>-25</v>
      </c>
      <c r="P189">
        <f t="shared" si="8"/>
        <v>7</v>
      </c>
      <c r="Q189" s="22">
        <f t="shared" si="9"/>
        <v>46357</v>
      </c>
      <c r="R189" s="22">
        <f t="shared" si="9"/>
        <v>46357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2753.6582132859289</v>
      </c>
      <c r="AE189" s="17">
        <v>2753.6582132859289</v>
      </c>
    </row>
    <row r="190" spans="1:31">
      <c r="A190" t="s">
        <v>105</v>
      </c>
      <c r="B190" t="s">
        <v>106</v>
      </c>
      <c r="C190" t="s">
        <v>81</v>
      </c>
      <c r="D190" t="s">
        <v>82</v>
      </c>
      <c r="E190" t="s">
        <v>122</v>
      </c>
      <c r="F190" s="22">
        <v>46363</v>
      </c>
      <c r="G190" s="22">
        <v>46369</v>
      </c>
      <c r="H190" s="23">
        <v>64.98</v>
      </c>
      <c r="I190" s="23">
        <v>79.98</v>
      </c>
      <c r="J190" s="23">
        <v>15</v>
      </c>
      <c r="K190">
        <v>200</v>
      </c>
      <c r="L190" s="23">
        <v>3000</v>
      </c>
      <c r="M190" s="24">
        <f t="shared" si="10"/>
        <v>6.6666666666666666E-2</v>
      </c>
      <c r="N190" s="23">
        <f xml:space="preserve"> $AI$6 * L190</f>
        <v>2753.6582132859289</v>
      </c>
      <c r="O190" s="25">
        <f t="shared" si="11"/>
        <v>-16</v>
      </c>
      <c r="P190">
        <f t="shared" si="8"/>
        <v>7</v>
      </c>
      <c r="Q190" s="22">
        <f t="shared" si="9"/>
        <v>46357</v>
      </c>
      <c r="R190" s="22">
        <f t="shared" si="9"/>
        <v>46357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2753.6582132859289</v>
      </c>
      <c r="AE190" s="17">
        <v>2753.6582132859289</v>
      </c>
    </row>
    <row r="191" spans="1:31">
      <c r="A191" t="s">
        <v>107</v>
      </c>
      <c r="B191" t="s">
        <v>108</v>
      </c>
      <c r="C191" t="s">
        <v>81</v>
      </c>
      <c r="D191" t="s">
        <v>82</v>
      </c>
      <c r="E191" t="s">
        <v>122</v>
      </c>
      <c r="F191" s="22">
        <v>46363</v>
      </c>
      <c r="G191" s="22">
        <v>46369</v>
      </c>
      <c r="H191" s="23">
        <v>119.98</v>
      </c>
      <c r="I191" s="23">
        <v>149.97999999999999</v>
      </c>
      <c r="J191" s="23">
        <v>30</v>
      </c>
      <c r="K191">
        <v>250</v>
      </c>
      <c r="L191" s="23">
        <v>7500</v>
      </c>
      <c r="M191" s="24">
        <f t="shared" si="10"/>
        <v>3.3333333333333333E-2</v>
      </c>
      <c r="N191" s="23">
        <f xml:space="preserve"> $AI$6 * L191</f>
        <v>6884.1455332148225</v>
      </c>
      <c r="O191" s="25">
        <f t="shared" si="11"/>
        <v>-21</v>
      </c>
      <c r="P191">
        <f t="shared" si="8"/>
        <v>7</v>
      </c>
      <c r="Q191" s="22">
        <f t="shared" si="9"/>
        <v>46357</v>
      </c>
      <c r="R191" s="22">
        <f t="shared" si="9"/>
        <v>46357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6884.1455332148225</v>
      </c>
      <c r="AE191" s="17">
        <v>6884.1455332148225</v>
      </c>
    </row>
    <row r="192" spans="1:31">
      <c r="A192" t="s">
        <v>112</v>
      </c>
      <c r="B192" t="s">
        <v>113</v>
      </c>
      <c r="C192" t="s">
        <v>81</v>
      </c>
      <c r="D192" t="s">
        <v>82</v>
      </c>
      <c r="E192" t="s">
        <v>122</v>
      </c>
      <c r="F192" s="22">
        <v>46363</v>
      </c>
      <c r="G192" s="22">
        <v>46369</v>
      </c>
      <c r="H192" s="23">
        <v>19.98</v>
      </c>
      <c r="I192" s="23">
        <v>29.98</v>
      </c>
      <c r="J192" s="23">
        <v>10</v>
      </c>
      <c r="K192">
        <v>300</v>
      </c>
      <c r="L192" s="23">
        <v>3000</v>
      </c>
      <c r="M192" s="24">
        <f t="shared" si="10"/>
        <v>0.1</v>
      </c>
      <c r="N192" s="23">
        <f xml:space="preserve"> $AI$6 * L192</f>
        <v>2753.6582132859289</v>
      </c>
      <c r="O192" s="25">
        <f t="shared" si="11"/>
        <v>-25</v>
      </c>
      <c r="P192">
        <f t="shared" si="8"/>
        <v>7</v>
      </c>
      <c r="Q192" s="22">
        <f t="shared" si="9"/>
        <v>46357</v>
      </c>
      <c r="R192" s="22">
        <f t="shared" si="9"/>
        <v>46357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2753.6582132859289</v>
      </c>
      <c r="AE192" s="17">
        <v>2753.6582132859289</v>
      </c>
    </row>
    <row r="193" spans="1:31">
      <c r="A193" t="s">
        <v>109</v>
      </c>
      <c r="B193" t="s">
        <v>110</v>
      </c>
      <c r="C193" t="s">
        <v>81</v>
      </c>
      <c r="D193" t="s">
        <v>82</v>
      </c>
      <c r="E193" t="s">
        <v>122</v>
      </c>
      <c r="F193" s="22">
        <v>46363</v>
      </c>
      <c r="G193" s="22">
        <v>46369</v>
      </c>
      <c r="H193" s="23">
        <v>19.98</v>
      </c>
      <c r="I193" s="23">
        <v>29.98</v>
      </c>
      <c r="J193" s="23">
        <v>10</v>
      </c>
      <c r="K193">
        <v>500</v>
      </c>
      <c r="L193" s="23">
        <v>5000</v>
      </c>
      <c r="M193" s="24">
        <f t="shared" si="10"/>
        <v>0.1</v>
      </c>
      <c r="N193" s="23">
        <f xml:space="preserve"> $AI$6 * L193</f>
        <v>4589.4303554765484</v>
      </c>
      <c r="O193" s="25">
        <f t="shared" si="11"/>
        <v>-41</v>
      </c>
      <c r="P193">
        <f t="shared" si="8"/>
        <v>7</v>
      </c>
      <c r="Q193" s="22">
        <f t="shared" si="9"/>
        <v>46357</v>
      </c>
      <c r="R193" s="22">
        <f t="shared" si="9"/>
        <v>46357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4589.4303554765484</v>
      </c>
      <c r="AE193" s="17">
        <v>4589.4303554765484</v>
      </c>
    </row>
    <row r="194" spans="1:31">
      <c r="A194" t="s">
        <v>90</v>
      </c>
      <c r="B194" t="s">
        <v>115</v>
      </c>
      <c r="C194" t="s">
        <v>81</v>
      </c>
      <c r="D194" t="s">
        <v>82</v>
      </c>
      <c r="E194" t="s">
        <v>122</v>
      </c>
      <c r="F194" s="22">
        <v>46363</v>
      </c>
      <c r="G194" s="22">
        <v>46369</v>
      </c>
      <c r="H194" s="23">
        <v>25.98</v>
      </c>
      <c r="I194" s="23">
        <v>35.979999999999997</v>
      </c>
      <c r="J194" s="23">
        <v>10</v>
      </c>
      <c r="K194">
        <v>200</v>
      </c>
      <c r="L194" s="23">
        <v>2000</v>
      </c>
      <c r="M194" s="24">
        <f t="shared" si="10"/>
        <v>0.1</v>
      </c>
      <c r="N194" s="23">
        <f xml:space="preserve"> $AI$6 * L194</f>
        <v>1835.7721421906192</v>
      </c>
      <c r="O194" s="25">
        <f t="shared" si="11"/>
        <v>-16</v>
      </c>
      <c r="P194">
        <f t="shared" ref="P194:P208" si="12" xml:space="preserve"> G194 - F194 + 1</f>
        <v>7</v>
      </c>
      <c r="Q194" s="22">
        <f t="shared" ref="Q194:R208" si="13" xml:space="preserve"> EOMONTH(F194, -1) + 1</f>
        <v>46357</v>
      </c>
      <c r="R194" s="22">
        <f t="shared" si="13"/>
        <v>46357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1835.7721421906192</v>
      </c>
      <c r="AE194" s="17">
        <v>1835.7721421906192</v>
      </c>
    </row>
    <row r="195" spans="1:31">
      <c r="A195" t="s">
        <v>92</v>
      </c>
      <c r="B195" t="s">
        <v>116</v>
      </c>
      <c r="C195" t="s">
        <v>81</v>
      </c>
      <c r="D195" t="s">
        <v>82</v>
      </c>
      <c r="E195" t="s">
        <v>122</v>
      </c>
      <c r="F195" s="22">
        <v>46363</v>
      </c>
      <c r="G195" s="22">
        <v>46369</v>
      </c>
      <c r="H195" s="23">
        <v>25.98</v>
      </c>
      <c r="I195" s="23">
        <v>35.979999999999997</v>
      </c>
      <c r="J195" s="23">
        <v>10</v>
      </c>
      <c r="K195">
        <v>150</v>
      </c>
      <c r="L195" s="23">
        <v>1500</v>
      </c>
      <c r="M195" s="24">
        <f t="shared" ref="M195:M208" si="14" xml:space="preserve"> K195 / L195</f>
        <v>0.1</v>
      </c>
      <c r="N195" s="23">
        <f xml:space="preserve"> $AI$6 * L195</f>
        <v>1376.8291066429645</v>
      </c>
      <c r="O195" s="25">
        <f t="shared" ref="O195:O208" si="15" xml:space="preserve"> ROUND((N195 - L195) * M195, 0)</f>
        <v>-12</v>
      </c>
      <c r="P195">
        <f t="shared" si="12"/>
        <v>7</v>
      </c>
      <c r="Q195" s="22">
        <f t="shared" si="13"/>
        <v>46357</v>
      </c>
      <c r="R195" s="22">
        <f t="shared" si="13"/>
        <v>46357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1376.8291066429645</v>
      </c>
      <c r="AE195" s="17">
        <v>1376.8291066429645</v>
      </c>
    </row>
    <row r="196" spans="1:31">
      <c r="A196" t="s">
        <v>27</v>
      </c>
      <c r="B196" t="s">
        <v>117</v>
      </c>
      <c r="C196" t="s">
        <v>81</v>
      </c>
      <c r="D196" t="s">
        <v>82</v>
      </c>
      <c r="E196" t="s">
        <v>122</v>
      </c>
      <c r="F196" s="22">
        <v>46363</v>
      </c>
      <c r="G196" s="22">
        <v>46369</v>
      </c>
      <c r="H196" s="23">
        <v>25.98</v>
      </c>
      <c r="I196" s="23">
        <v>35.979999999999997</v>
      </c>
      <c r="J196" s="23">
        <v>10</v>
      </c>
      <c r="K196">
        <v>400</v>
      </c>
      <c r="L196" s="23">
        <v>4000</v>
      </c>
      <c r="M196" s="24">
        <f t="shared" si="14"/>
        <v>0.1</v>
      </c>
      <c r="N196" s="23">
        <f xml:space="preserve"> $AI$6 * L196</f>
        <v>3671.5442843812384</v>
      </c>
      <c r="O196" s="25">
        <f t="shared" si="15"/>
        <v>-33</v>
      </c>
      <c r="P196">
        <f t="shared" si="12"/>
        <v>7</v>
      </c>
      <c r="Q196" s="22">
        <f t="shared" si="13"/>
        <v>46357</v>
      </c>
      <c r="R196" s="22">
        <f t="shared" si="13"/>
        <v>46357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3671.5442843812384</v>
      </c>
      <c r="AE196" s="17">
        <v>3671.5442843812384</v>
      </c>
    </row>
    <row r="197" spans="1:31">
      <c r="A197" t="s">
        <v>87</v>
      </c>
      <c r="B197" t="s">
        <v>88</v>
      </c>
      <c r="C197" t="s">
        <v>81</v>
      </c>
      <c r="D197" t="s">
        <v>10</v>
      </c>
      <c r="E197" t="s">
        <v>122</v>
      </c>
      <c r="F197" s="22">
        <v>46363</v>
      </c>
      <c r="G197" s="22">
        <v>46369</v>
      </c>
      <c r="H197" s="23">
        <v>55.98</v>
      </c>
      <c r="I197" s="23">
        <v>65.98</v>
      </c>
      <c r="J197" s="23">
        <v>10</v>
      </c>
      <c r="K197">
        <v>500</v>
      </c>
      <c r="L197" s="23">
        <v>5000</v>
      </c>
      <c r="M197" s="24">
        <f t="shared" si="14"/>
        <v>0.1</v>
      </c>
      <c r="N197" s="23">
        <f xml:space="preserve"> $AI$6 * L197</f>
        <v>4589.4303554765484</v>
      </c>
      <c r="O197" s="25">
        <f t="shared" si="15"/>
        <v>-41</v>
      </c>
      <c r="P197">
        <f t="shared" si="12"/>
        <v>7</v>
      </c>
      <c r="Q197" s="22">
        <f t="shared" si="13"/>
        <v>46357</v>
      </c>
      <c r="R197" s="22">
        <f t="shared" si="13"/>
        <v>46357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4589.4303554765484</v>
      </c>
      <c r="AE197" s="17">
        <v>4589.4303554765484</v>
      </c>
    </row>
    <row r="198" spans="1:31">
      <c r="A198" t="s">
        <v>47</v>
      </c>
      <c r="B198" t="s">
        <v>48</v>
      </c>
      <c r="C198" t="s">
        <v>81</v>
      </c>
      <c r="D198" t="s">
        <v>10</v>
      </c>
      <c r="E198" t="s">
        <v>122</v>
      </c>
      <c r="F198" s="22">
        <v>46363</v>
      </c>
      <c r="G198" s="22">
        <v>46369</v>
      </c>
      <c r="H198" s="23">
        <v>43.98</v>
      </c>
      <c r="I198" s="23">
        <v>49.98</v>
      </c>
      <c r="J198" s="23">
        <v>6</v>
      </c>
      <c r="K198">
        <v>1000</v>
      </c>
      <c r="L198" s="23">
        <v>6000</v>
      </c>
      <c r="M198" s="24">
        <f t="shared" si="14"/>
        <v>0.16666666666666666</v>
      </c>
      <c r="N198" s="23">
        <f xml:space="preserve"> $AI$6 * L198</f>
        <v>5507.3164265718578</v>
      </c>
      <c r="O198" s="25">
        <f t="shared" si="15"/>
        <v>-82</v>
      </c>
      <c r="P198">
        <f t="shared" si="12"/>
        <v>7</v>
      </c>
      <c r="Q198" s="22">
        <f t="shared" si="13"/>
        <v>46357</v>
      </c>
      <c r="R198" s="22">
        <f t="shared" si="13"/>
        <v>46357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5507.3164265718578</v>
      </c>
      <c r="AE198" s="17">
        <v>5507.3164265718578</v>
      </c>
    </row>
    <row r="199" spans="1:31">
      <c r="A199" t="s">
        <v>33</v>
      </c>
      <c r="B199" t="s">
        <v>34</v>
      </c>
      <c r="C199" t="s">
        <v>81</v>
      </c>
      <c r="D199" t="s">
        <v>10</v>
      </c>
      <c r="E199" t="s">
        <v>122</v>
      </c>
      <c r="F199" s="22">
        <v>46363</v>
      </c>
      <c r="G199" s="22">
        <v>46369</v>
      </c>
      <c r="H199" s="23">
        <v>50.98</v>
      </c>
      <c r="I199" s="23">
        <v>59.98</v>
      </c>
      <c r="J199" s="23">
        <v>9</v>
      </c>
      <c r="K199">
        <v>500</v>
      </c>
      <c r="L199" s="23">
        <v>4500</v>
      </c>
      <c r="M199" s="24">
        <f t="shared" si="14"/>
        <v>0.1111111111111111</v>
      </c>
      <c r="N199" s="23">
        <f xml:space="preserve"> $AI$6 * L199</f>
        <v>4130.4873199288932</v>
      </c>
      <c r="O199" s="25">
        <f t="shared" si="15"/>
        <v>-41</v>
      </c>
      <c r="P199">
        <f t="shared" si="12"/>
        <v>7</v>
      </c>
      <c r="Q199" s="22">
        <f t="shared" si="13"/>
        <v>46357</v>
      </c>
      <c r="R199" s="22">
        <f t="shared" si="13"/>
        <v>46357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4130.4873199288932</v>
      </c>
      <c r="AE199" s="17">
        <v>4130.4873199288932</v>
      </c>
    </row>
    <row r="200" spans="1:31">
      <c r="A200" t="s">
        <v>94</v>
      </c>
      <c r="B200" t="s">
        <v>95</v>
      </c>
      <c r="C200" t="s">
        <v>81</v>
      </c>
      <c r="D200" t="s">
        <v>10</v>
      </c>
      <c r="E200" t="s">
        <v>122</v>
      </c>
      <c r="F200" s="22">
        <v>46363</v>
      </c>
      <c r="G200" s="22">
        <v>46369</v>
      </c>
      <c r="H200" s="23">
        <v>89.98</v>
      </c>
      <c r="I200" s="23">
        <v>109.98</v>
      </c>
      <c r="J200" s="23">
        <v>20</v>
      </c>
      <c r="K200">
        <v>300</v>
      </c>
      <c r="L200" s="23">
        <v>6000</v>
      </c>
      <c r="M200" s="24">
        <f t="shared" si="14"/>
        <v>0.05</v>
      </c>
      <c r="N200" s="23">
        <f xml:space="preserve"> $AI$6 * L200</f>
        <v>5507.3164265718578</v>
      </c>
      <c r="O200" s="25">
        <f t="shared" si="15"/>
        <v>-25</v>
      </c>
      <c r="P200">
        <f t="shared" si="12"/>
        <v>7</v>
      </c>
      <c r="Q200" s="22">
        <f t="shared" si="13"/>
        <v>46357</v>
      </c>
      <c r="R200" s="22">
        <f t="shared" si="13"/>
        <v>46357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5507.3164265718578</v>
      </c>
      <c r="AE200" s="17">
        <v>5507.3164265718578</v>
      </c>
    </row>
    <row r="201" spans="1:31">
      <c r="A201" t="s">
        <v>100</v>
      </c>
      <c r="B201" t="s">
        <v>44</v>
      </c>
      <c r="C201" t="s">
        <v>81</v>
      </c>
      <c r="D201" t="s">
        <v>10</v>
      </c>
      <c r="E201" t="s">
        <v>122</v>
      </c>
      <c r="F201" s="22">
        <v>46363</v>
      </c>
      <c r="G201" s="22">
        <v>46369</v>
      </c>
      <c r="H201" s="23">
        <v>84.98</v>
      </c>
      <c r="I201" s="23">
        <v>99.98</v>
      </c>
      <c r="J201" s="23">
        <v>15</v>
      </c>
      <c r="K201">
        <v>2500</v>
      </c>
      <c r="L201" s="23">
        <v>37500</v>
      </c>
      <c r="M201" s="24">
        <f t="shared" si="14"/>
        <v>6.6666666666666666E-2</v>
      </c>
      <c r="N201" s="23">
        <f xml:space="preserve"> $AI$6 * L201</f>
        <v>34420.727666074112</v>
      </c>
      <c r="O201" s="25">
        <f t="shared" si="15"/>
        <v>-205</v>
      </c>
      <c r="P201">
        <f t="shared" si="12"/>
        <v>7</v>
      </c>
      <c r="Q201" s="22">
        <f t="shared" si="13"/>
        <v>46357</v>
      </c>
      <c r="R201" s="22">
        <f t="shared" si="13"/>
        <v>46357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34420.727666074112</v>
      </c>
      <c r="AE201" s="17">
        <v>34420.727666074112</v>
      </c>
    </row>
    <row r="202" spans="1:31">
      <c r="A202" t="s">
        <v>43</v>
      </c>
      <c r="B202" t="s">
        <v>101</v>
      </c>
      <c r="C202" t="s">
        <v>81</v>
      </c>
      <c r="D202" t="s">
        <v>10</v>
      </c>
      <c r="E202" t="s">
        <v>122</v>
      </c>
      <c r="F202" s="22">
        <v>46363</v>
      </c>
      <c r="G202" s="22">
        <v>46369</v>
      </c>
      <c r="H202" s="23">
        <v>84.98</v>
      </c>
      <c r="I202" s="23">
        <v>99.98</v>
      </c>
      <c r="J202" s="23">
        <v>15</v>
      </c>
      <c r="K202">
        <v>2000</v>
      </c>
      <c r="L202" s="23">
        <v>30000</v>
      </c>
      <c r="M202" s="24">
        <f t="shared" si="14"/>
        <v>6.6666666666666666E-2</v>
      </c>
      <c r="N202" s="23">
        <f xml:space="preserve"> $AI$6 * L202</f>
        <v>27536.58213285929</v>
      </c>
      <c r="O202" s="25">
        <f t="shared" si="15"/>
        <v>-164</v>
      </c>
      <c r="P202">
        <f t="shared" si="12"/>
        <v>7</v>
      </c>
      <c r="Q202" s="22">
        <f t="shared" si="13"/>
        <v>46357</v>
      </c>
      <c r="R202" s="22">
        <f t="shared" si="13"/>
        <v>46357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27536.58213285929</v>
      </c>
      <c r="AE202" s="17">
        <v>27536.58213285929</v>
      </c>
    </row>
    <row r="203" spans="1:31">
      <c r="A203" t="s">
        <v>104</v>
      </c>
      <c r="B203" t="s">
        <v>32</v>
      </c>
      <c r="C203" t="s">
        <v>81</v>
      </c>
      <c r="D203" t="s">
        <v>10</v>
      </c>
      <c r="E203" t="s">
        <v>122</v>
      </c>
      <c r="F203" s="22">
        <v>46363</v>
      </c>
      <c r="G203" s="22">
        <v>46369</v>
      </c>
      <c r="H203" s="23">
        <v>58.98</v>
      </c>
      <c r="I203" s="23">
        <v>69.98</v>
      </c>
      <c r="J203" s="23">
        <v>11</v>
      </c>
      <c r="K203">
        <v>2500</v>
      </c>
      <c r="L203" s="23">
        <v>27500</v>
      </c>
      <c r="M203" s="24">
        <f t="shared" si="14"/>
        <v>9.0909090909090912E-2</v>
      </c>
      <c r="N203" s="23">
        <f xml:space="preserve"> $AI$6 * L203</f>
        <v>25241.866955121015</v>
      </c>
      <c r="O203" s="25">
        <f t="shared" si="15"/>
        <v>-205</v>
      </c>
      <c r="P203">
        <f t="shared" si="12"/>
        <v>7</v>
      </c>
      <c r="Q203" s="22">
        <f t="shared" si="13"/>
        <v>46357</v>
      </c>
      <c r="R203" s="22">
        <f t="shared" si="13"/>
        <v>46357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25241.866955121015</v>
      </c>
      <c r="AE203" s="17">
        <v>25241.866955121015</v>
      </c>
    </row>
    <row r="204" spans="1:31">
      <c r="A204" t="s">
        <v>102</v>
      </c>
      <c r="B204" t="s">
        <v>50</v>
      </c>
      <c r="C204" t="s">
        <v>81</v>
      </c>
      <c r="D204" t="s">
        <v>10</v>
      </c>
      <c r="E204" t="s">
        <v>122</v>
      </c>
      <c r="F204" s="22">
        <v>46363</v>
      </c>
      <c r="G204" s="22">
        <v>46369</v>
      </c>
      <c r="H204" s="23">
        <v>49.98</v>
      </c>
      <c r="I204" s="23">
        <v>59.98</v>
      </c>
      <c r="J204" s="23">
        <v>10</v>
      </c>
      <c r="K204">
        <v>2600</v>
      </c>
      <c r="L204" s="23">
        <v>26000</v>
      </c>
      <c r="M204" s="24">
        <f t="shared" si="14"/>
        <v>0.1</v>
      </c>
      <c r="N204" s="23">
        <f xml:space="preserve"> $AI$6 * L204</f>
        <v>23865.037848478049</v>
      </c>
      <c r="O204" s="25">
        <f t="shared" si="15"/>
        <v>-213</v>
      </c>
      <c r="P204">
        <f t="shared" si="12"/>
        <v>7</v>
      </c>
      <c r="Q204" s="22">
        <f t="shared" si="13"/>
        <v>46357</v>
      </c>
      <c r="R204" s="22">
        <f t="shared" si="13"/>
        <v>46357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23865.037848478049</v>
      </c>
      <c r="AE204" s="17">
        <v>23865.037848478049</v>
      </c>
    </row>
    <row r="205" spans="1:31">
      <c r="A205" t="s">
        <v>105</v>
      </c>
      <c r="B205" t="s">
        <v>106</v>
      </c>
      <c r="C205" t="s">
        <v>81</v>
      </c>
      <c r="D205" t="s">
        <v>10</v>
      </c>
      <c r="E205" t="s">
        <v>122</v>
      </c>
      <c r="F205" s="22">
        <v>46363</v>
      </c>
      <c r="G205" s="22">
        <v>46369</v>
      </c>
      <c r="H205" s="23">
        <v>67.98</v>
      </c>
      <c r="I205" s="23">
        <v>79.98</v>
      </c>
      <c r="J205" s="23">
        <v>12</v>
      </c>
      <c r="K205">
        <v>2200</v>
      </c>
      <c r="L205" s="23">
        <v>26400</v>
      </c>
      <c r="M205" s="24">
        <f t="shared" si="14"/>
        <v>8.3333333333333329E-2</v>
      </c>
      <c r="N205" s="23">
        <f xml:space="preserve"> $AI$6 * L205</f>
        <v>24232.192276916176</v>
      </c>
      <c r="O205" s="25">
        <f t="shared" si="15"/>
        <v>-181</v>
      </c>
      <c r="P205">
        <f t="shared" si="12"/>
        <v>7</v>
      </c>
      <c r="Q205" s="22">
        <f t="shared" si="13"/>
        <v>46357</v>
      </c>
      <c r="R205" s="22">
        <f t="shared" si="13"/>
        <v>46357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24232.192276916176</v>
      </c>
      <c r="AE205" s="17">
        <v>24232.192276916176</v>
      </c>
    </row>
    <row r="206" spans="1:31">
      <c r="A206" t="s">
        <v>107</v>
      </c>
      <c r="B206" t="s">
        <v>108</v>
      </c>
      <c r="C206" t="s">
        <v>81</v>
      </c>
      <c r="D206" t="s">
        <v>10</v>
      </c>
      <c r="E206" t="s">
        <v>122</v>
      </c>
      <c r="F206" s="22">
        <v>46363</v>
      </c>
      <c r="G206" s="22">
        <v>46369</v>
      </c>
      <c r="H206" s="23">
        <v>119.98</v>
      </c>
      <c r="I206" s="23">
        <v>149.97999999999999</v>
      </c>
      <c r="J206" s="23">
        <v>30</v>
      </c>
      <c r="K206">
        <v>2300</v>
      </c>
      <c r="L206" s="23">
        <v>69000</v>
      </c>
      <c r="M206" s="24">
        <f t="shared" si="14"/>
        <v>3.3333333333333333E-2</v>
      </c>
      <c r="N206" s="23">
        <f xml:space="preserve"> $AI$6 * L206</f>
        <v>63334.138905576365</v>
      </c>
      <c r="O206" s="25">
        <f t="shared" si="15"/>
        <v>-189</v>
      </c>
      <c r="P206">
        <f t="shared" si="12"/>
        <v>7</v>
      </c>
      <c r="Q206" s="22">
        <f t="shared" si="13"/>
        <v>46357</v>
      </c>
      <c r="R206" s="22">
        <f t="shared" si="13"/>
        <v>46357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63334.138905576365</v>
      </c>
      <c r="AE206" s="17">
        <v>63334.138905576365</v>
      </c>
    </row>
    <row r="207" spans="1:31">
      <c r="A207" t="s">
        <v>109</v>
      </c>
      <c r="B207" t="s">
        <v>110</v>
      </c>
      <c r="C207" t="s">
        <v>81</v>
      </c>
      <c r="D207" t="s">
        <v>10</v>
      </c>
      <c r="E207" t="s">
        <v>122</v>
      </c>
      <c r="F207" s="22">
        <v>46363</v>
      </c>
      <c r="G207" s="22">
        <v>46369</v>
      </c>
      <c r="H207" s="23">
        <v>24.98</v>
      </c>
      <c r="I207" s="23">
        <v>29.98</v>
      </c>
      <c r="J207" s="23">
        <v>5</v>
      </c>
      <c r="K207">
        <v>25000</v>
      </c>
      <c r="L207" s="23">
        <v>125000</v>
      </c>
      <c r="M207" s="24">
        <f t="shared" si="14"/>
        <v>0.2</v>
      </c>
      <c r="N207" s="23">
        <f xml:space="preserve"> $AI$6 * L207</f>
        <v>114735.7588869137</v>
      </c>
      <c r="O207" s="25">
        <f t="shared" si="15"/>
        <v>-2053</v>
      </c>
      <c r="P207">
        <f t="shared" si="12"/>
        <v>7</v>
      </c>
      <c r="Q207" s="22">
        <f t="shared" si="13"/>
        <v>46357</v>
      </c>
      <c r="R207" s="22">
        <f t="shared" si="13"/>
        <v>46357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114735.7588869137</v>
      </c>
      <c r="AE207" s="17">
        <v>114735.7588869137</v>
      </c>
    </row>
    <row r="208" spans="1:31">
      <c r="A208" t="s">
        <v>27</v>
      </c>
      <c r="B208" t="s">
        <v>117</v>
      </c>
      <c r="C208" t="s">
        <v>81</v>
      </c>
      <c r="D208" t="s">
        <v>10</v>
      </c>
      <c r="E208" t="s">
        <v>122</v>
      </c>
      <c r="F208" s="22">
        <v>46363</v>
      </c>
      <c r="G208" s="22">
        <v>46369</v>
      </c>
      <c r="H208" s="23">
        <v>29.98</v>
      </c>
      <c r="I208" s="23">
        <v>35.979999999999997</v>
      </c>
      <c r="J208" s="23">
        <v>6</v>
      </c>
      <c r="K208">
        <v>8000</v>
      </c>
      <c r="L208" s="23">
        <v>48000</v>
      </c>
      <c r="M208" s="24">
        <f t="shared" si="14"/>
        <v>0.16666666666666666</v>
      </c>
      <c r="N208" s="23">
        <f xml:space="preserve"> $AI$6 * L208</f>
        <v>44058.531412574863</v>
      </c>
      <c r="O208" s="25">
        <f t="shared" si="15"/>
        <v>-657</v>
      </c>
      <c r="P208">
        <f t="shared" si="12"/>
        <v>7</v>
      </c>
      <c r="Q208" s="22">
        <f t="shared" si="13"/>
        <v>46357</v>
      </c>
      <c r="R208" s="22">
        <f t="shared" si="13"/>
        <v>46357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44058.531412574863</v>
      </c>
      <c r="AE208" s="17">
        <v>44058.531412574863</v>
      </c>
    </row>
  </sheetData>
  <autoFilter ref="A1:AE208" xr:uid="{2005A951-4E4C-4ED8-9DD4-B81E28D36C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0051-903C-44E1-B8A0-EF251801B9D8}">
  <dimension ref="A1:AA55"/>
  <sheetViews>
    <sheetView workbookViewId="0"/>
  </sheetViews>
  <sheetFormatPr defaultRowHeight="14.25"/>
  <cols>
    <col min="4" max="4" width="22.85546875" bestFit="1" customWidth="1"/>
    <col min="5" max="6" width="10" bestFit="1" customWidth="1"/>
  </cols>
  <sheetData>
    <row r="1" spans="1:27">
      <c r="A1" s="19" t="s">
        <v>62</v>
      </c>
      <c r="B1" s="19" t="s">
        <v>63</v>
      </c>
      <c r="C1" s="19" t="s">
        <v>64</v>
      </c>
      <c r="D1" s="19" t="s">
        <v>66</v>
      </c>
      <c r="E1" s="19" t="s">
        <v>67</v>
      </c>
      <c r="F1" s="19" t="s">
        <v>68</v>
      </c>
      <c r="G1" s="19" t="s">
        <v>69</v>
      </c>
      <c r="H1" s="19" t="s">
        <v>70</v>
      </c>
      <c r="I1" s="19" t="s">
        <v>71</v>
      </c>
      <c r="J1" s="19" t="s">
        <v>72</v>
      </c>
      <c r="K1" s="19" t="s">
        <v>73</v>
      </c>
      <c r="L1" s="20" t="s">
        <v>77</v>
      </c>
      <c r="M1" s="20" t="s">
        <v>78</v>
      </c>
      <c r="N1" s="20" t="s">
        <v>79</v>
      </c>
      <c r="O1" s="4">
        <v>46023</v>
      </c>
      <c r="P1" s="4">
        <v>46054</v>
      </c>
      <c r="Q1" s="4">
        <v>46082</v>
      </c>
      <c r="R1" s="4">
        <v>46113</v>
      </c>
      <c r="S1" s="4">
        <v>46143</v>
      </c>
      <c r="T1" s="4">
        <v>46174</v>
      </c>
      <c r="U1" s="4">
        <v>46204</v>
      </c>
      <c r="V1" s="4">
        <v>46235</v>
      </c>
      <c r="W1" s="4">
        <v>46266</v>
      </c>
      <c r="X1" s="4">
        <v>46296</v>
      </c>
      <c r="Y1" s="4">
        <v>46327</v>
      </c>
      <c r="Z1" s="4">
        <v>46357</v>
      </c>
      <c r="AA1" s="4" t="s">
        <v>7</v>
      </c>
    </row>
    <row r="2" spans="1:27">
      <c r="A2" t="s">
        <v>39</v>
      </c>
      <c r="B2" t="s">
        <v>80</v>
      </c>
      <c r="C2" t="s">
        <v>81</v>
      </c>
      <c r="D2" t="s">
        <v>83</v>
      </c>
      <c r="E2" s="22">
        <v>46104</v>
      </c>
      <c r="F2" s="22">
        <v>46110</v>
      </c>
      <c r="G2" s="23">
        <v>74.98</v>
      </c>
      <c r="H2" s="23">
        <v>89.98</v>
      </c>
      <c r="I2" s="23">
        <v>15</v>
      </c>
      <c r="K2" s="23">
        <v>0</v>
      </c>
      <c r="L2">
        <v>7</v>
      </c>
      <c r="M2" s="22">
        <v>46082</v>
      </c>
      <c r="N2" s="22">
        <v>46082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</row>
    <row r="3" spans="1:27">
      <c r="A3" t="s">
        <v>87</v>
      </c>
      <c r="B3" t="s">
        <v>88</v>
      </c>
      <c r="C3" t="s">
        <v>81</v>
      </c>
      <c r="D3" t="s">
        <v>83</v>
      </c>
      <c r="E3" s="22">
        <v>46104</v>
      </c>
      <c r="F3" s="22">
        <v>46110</v>
      </c>
      <c r="G3" s="23">
        <v>55.98</v>
      </c>
      <c r="H3" s="23">
        <v>65.98</v>
      </c>
      <c r="I3" s="23">
        <v>10</v>
      </c>
      <c r="J3">
        <v>800</v>
      </c>
      <c r="K3" s="23">
        <v>8000</v>
      </c>
      <c r="L3">
        <v>7</v>
      </c>
      <c r="M3" s="22">
        <v>46082</v>
      </c>
      <c r="N3" s="22">
        <v>46082</v>
      </c>
      <c r="O3" s="17">
        <v>0</v>
      </c>
      <c r="P3" s="17">
        <v>0</v>
      </c>
      <c r="Q3" s="17">
        <v>8000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8000</v>
      </c>
    </row>
    <row r="4" spans="1:27">
      <c r="A4" t="s">
        <v>92</v>
      </c>
      <c r="B4" t="s">
        <v>28</v>
      </c>
      <c r="C4" t="s">
        <v>81</v>
      </c>
      <c r="D4" t="s">
        <v>83</v>
      </c>
      <c r="E4" s="22">
        <v>46104</v>
      </c>
      <c r="F4" s="22">
        <v>46110</v>
      </c>
      <c r="G4" s="23">
        <v>29.98</v>
      </c>
      <c r="H4" s="23">
        <v>35.979999999999997</v>
      </c>
      <c r="I4" s="23">
        <v>6</v>
      </c>
      <c r="J4">
        <v>1900</v>
      </c>
      <c r="K4" s="23">
        <v>11400</v>
      </c>
      <c r="L4">
        <v>7</v>
      </c>
      <c r="M4" s="22">
        <v>46082</v>
      </c>
      <c r="N4" s="22">
        <v>46082</v>
      </c>
      <c r="O4" s="17">
        <v>0</v>
      </c>
      <c r="P4" s="17">
        <v>0</v>
      </c>
      <c r="Q4" s="17">
        <v>11400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11400</v>
      </c>
    </row>
    <row r="5" spans="1:27">
      <c r="A5" t="s">
        <v>27</v>
      </c>
      <c r="B5" t="s">
        <v>28</v>
      </c>
      <c r="C5" t="s">
        <v>81</v>
      </c>
      <c r="D5" t="s">
        <v>83</v>
      </c>
      <c r="E5" s="22">
        <v>46104</v>
      </c>
      <c r="F5" s="22">
        <v>46110</v>
      </c>
      <c r="G5" s="23">
        <v>29.98</v>
      </c>
      <c r="H5" s="23">
        <v>35.979999999999997</v>
      </c>
      <c r="I5" s="23">
        <v>6</v>
      </c>
      <c r="J5">
        <v>1900</v>
      </c>
      <c r="K5" s="23">
        <v>11400</v>
      </c>
      <c r="L5">
        <v>7</v>
      </c>
      <c r="M5" s="22">
        <v>46082</v>
      </c>
      <c r="N5" s="22">
        <v>46082</v>
      </c>
      <c r="O5" s="17">
        <v>0</v>
      </c>
      <c r="P5" s="17">
        <v>0</v>
      </c>
      <c r="Q5" s="17">
        <v>11400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11400</v>
      </c>
    </row>
    <row r="6" spans="1:27">
      <c r="A6" t="s">
        <v>102</v>
      </c>
      <c r="B6" t="s">
        <v>50</v>
      </c>
      <c r="C6" t="s">
        <v>81</v>
      </c>
      <c r="D6" t="s">
        <v>83</v>
      </c>
      <c r="E6" s="22">
        <v>46104</v>
      </c>
      <c r="F6" s="22">
        <v>46110</v>
      </c>
      <c r="G6" s="23">
        <v>49.98</v>
      </c>
      <c r="H6" s="23">
        <v>59.98</v>
      </c>
      <c r="I6" s="23">
        <v>10</v>
      </c>
      <c r="J6">
        <v>2100</v>
      </c>
      <c r="K6" s="23">
        <v>21000</v>
      </c>
      <c r="L6">
        <v>7</v>
      </c>
      <c r="M6" s="22">
        <v>46082</v>
      </c>
      <c r="N6" s="22">
        <v>46082</v>
      </c>
      <c r="O6" s="17">
        <v>0</v>
      </c>
      <c r="P6" s="17">
        <v>0</v>
      </c>
      <c r="Q6" s="17">
        <v>21000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21000</v>
      </c>
    </row>
    <row r="7" spans="1:27">
      <c r="A7" t="s">
        <v>87</v>
      </c>
      <c r="B7" t="s">
        <v>88</v>
      </c>
      <c r="C7" t="s">
        <v>81</v>
      </c>
      <c r="D7" t="s">
        <v>103</v>
      </c>
      <c r="E7" s="22">
        <v>46125</v>
      </c>
      <c r="F7" s="22">
        <v>46131</v>
      </c>
      <c r="G7" s="23">
        <v>55.98</v>
      </c>
      <c r="H7" s="23">
        <v>65.98</v>
      </c>
      <c r="I7" s="23">
        <v>10</v>
      </c>
      <c r="J7">
        <v>800</v>
      </c>
      <c r="K7" s="23">
        <v>8000</v>
      </c>
      <c r="L7">
        <v>7</v>
      </c>
      <c r="M7" s="22">
        <v>46113</v>
      </c>
      <c r="N7" s="22">
        <v>46113</v>
      </c>
      <c r="O7" s="17">
        <v>0</v>
      </c>
      <c r="P7" s="17">
        <v>0</v>
      </c>
      <c r="Q7" s="17">
        <v>0</v>
      </c>
      <c r="R7" s="17">
        <v>8000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8000</v>
      </c>
    </row>
    <row r="8" spans="1:27">
      <c r="A8" t="s">
        <v>102</v>
      </c>
      <c r="B8" t="s">
        <v>50</v>
      </c>
      <c r="C8" t="s">
        <v>81</v>
      </c>
      <c r="D8" t="s">
        <v>103</v>
      </c>
      <c r="E8" s="22">
        <v>46125</v>
      </c>
      <c r="F8" s="22">
        <v>46131</v>
      </c>
      <c r="G8" s="23">
        <v>49.98</v>
      </c>
      <c r="H8" s="23">
        <v>59.98</v>
      </c>
      <c r="I8" s="23">
        <v>10</v>
      </c>
      <c r="J8">
        <v>2100</v>
      </c>
      <c r="K8" s="23">
        <v>21000</v>
      </c>
      <c r="L8">
        <v>7</v>
      </c>
      <c r="M8" s="22">
        <v>46113</v>
      </c>
      <c r="N8" s="22">
        <v>46113</v>
      </c>
      <c r="O8" s="17">
        <v>0</v>
      </c>
      <c r="P8" s="17">
        <v>0</v>
      </c>
      <c r="Q8" s="17">
        <v>0</v>
      </c>
      <c r="R8" s="17">
        <v>21000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21000</v>
      </c>
    </row>
    <row r="9" spans="1:27">
      <c r="A9" t="s">
        <v>104</v>
      </c>
      <c r="B9" t="s">
        <v>32</v>
      </c>
      <c r="C9" t="s">
        <v>81</v>
      </c>
      <c r="D9" t="s">
        <v>103</v>
      </c>
      <c r="E9" s="22">
        <v>46125</v>
      </c>
      <c r="F9" s="22">
        <v>46131</v>
      </c>
      <c r="G9" s="23">
        <v>59.98</v>
      </c>
      <c r="H9" s="23">
        <v>69.98</v>
      </c>
      <c r="I9" s="23">
        <v>10</v>
      </c>
      <c r="J9">
        <v>1100</v>
      </c>
      <c r="K9" s="23">
        <v>11000</v>
      </c>
      <c r="L9">
        <v>7</v>
      </c>
      <c r="M9" s="22">
        <v>46113</v>
      </c>
      <c r="N9" s="22">
        <v>46113</v>
      </c>
      <c r="O9" s="17">
        <v>0</v>
      </c>
      <c r="P9" s="17">
        <v>0</v>
      </c>
      <c r="Q9" s="17">
        <v>0</v>
      </c>
      <c r="R9" s="17">
        <v>11000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11000</v>
      </c>
    </row>
    <row r="10" spans="1:27">
      <c r="A10" t="s">
        <v>92</v>
      </c>
      <c r="B10" t="s">
        <v>28</v>
      </c>
      <c r="C10" t="s">
        <v>81</v>
      </c>
      <c r="D10" t="s">
        <v>103</v>
      </c>
      <c r="E10" s="22">
        <v>46125</v>
      </c>
      <c r="F10" s="22">
        <v>46131</v>
      </c>
      <c r="G10" s="23">
        <v>29.98</v>
      </c>
      <c r="H10" s="23">
        <v>35.979999999999997</v>
      </c>
      <c r="I10" s="23">
        <v>6</v>
      </c>
      <c r="J10">
        <v>1900</v>
      </c>
      <c r="K10" s="23">
        <v>11400</v>
      </c>
      <c r="L10">
        <v>7</v>
      </c>
      <c r="M10" s="22">
        <v>46113</v>
      </c>
      <c r="N10" s="22">
        <v>46113</v>
      </c>
      <c r="O10" s="17">
        <v>0</v>
      </c>
      <c r="P10" s="17">
        <v>0</v>
      </c>
      <c r="Q10" s="17">
        <v>0</v>
      </c>
      <c r="R10" s="17">
        <v>11400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11400</v>
      </c>
    </row>
    <row r="11" spans="1:27">
      <c r="A11" t="s">
        <v>27</v>
      </c>
      <c r="B11" t="s">
        <v>28</v>
      </c>
      <c r="C11" t="s">
        <v>81</v>
      </c>
      <c r="D11" t="s">
        <v>103</v>
      </c>
      <c r="E11" s="22">
        <v>46125</v>
      </c>
      <c r="F11" s="22">
        <v>46131</v>
      </c>
      <c r="G11" s="23">
        <v>29.98</v>
      </c>
      <c r="H11" s="23">
        <v>35.979999999999997</v>
      </c>
      <c r="I11" s="23">
        <v>6</v>
      </c>
      <c r="J11">
        <v>1900</v>
      </c>
      <c r="K11" s="23">
        <v>11400</v>
      </c>
      <c r="L11">
        <v>7</v>
      </c>
      <c r="M11" s="22">
        <v>46113</v>
      </c>
      <c r="N11" s="22">
        <v>46113</v>
      </c>
      <c r="O11" s="17">
        <v>0</v>
      </c>
      <c r="P11" s="17">
        <v>0</v>
      </c>
      <c r="Q11" s="17">
        <v>0</v>
      </c>
      <c r="R11" s="17">
        <v>11400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11400</v>
      </c>
    </row>
    <row r="12" spans="1:27">
      <c r="A12" t="s">
        <v>25</v>
      </c>
      <c r="B12" t="s">
        <v>26</v>
      </c>
      <c r="C12" t="s">
        <v>81</v>
      </c>
      <c r="D12" t="s">
        <v>103</v>
      </c>
      <c r="E12" s="22">
        <v>46125</v>
      </c>
      <c r="F12" s="22">
        <v>46131</v>
      </c>
      <c r="G12" s="23">
        <v>24.98</v>
      </c>
      <c r="H12" s="23">
        <v>29.98</v>
      </c>
      <c r="I12" s="23">
        <v>5</v>
      </c>
      <c r="J12">
        <v>2400</v>
      </c>
      <c r="K12" s="23">
        <v>12000</v>
      </c>
      <c r="L12">
        <v>7</v>
      </c>
      <c r="M12" s="22">
        <v>46113</v>
      </c>
      <c r="N12" s="22">
        <v>46113</v>
      </c>
      <c r="O12" s="17">
        <v>0</v>
      </c>
      <c r="P12" s="17">
        <v>0</v>
      </c>
      <c r="Q12" s="17">
        <v>0</v>
      </c>
      <c r="R12" s="17">
        <v>12000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12000</v>
      </c>
    </row>
    <row r="13" spans="1:27">
      <c r="A13" t="s">
        <v>25</v>
      </c>
      <c r="B13" t="s">
        <v>26</v>
      </c>
      <c r="C13" t="s">
        <v>81</v>
      </c>
      <c r="D13" t="s">
        <v>111</v>
      </c>
      <c r="E13" s="22">
        <v>46160</v>
      </c>
      <c r="F13" s="22">
        <v>46167</v>
      </c>
      <c r="G13" s="23">
        <v>24.98</v>
      </c>
      <c r="H13" s="23">
        <v>29.98</v>
      </c>
      <c r="I13" s="23">
        <v>5</v>
      </c>
      <c r="J13">
        <v>2300</v>
      </c>
      <c r="K13" s="23">
        <v>11500</v>
      </c>
      <c r="L13">
        <v>8</v>
      </c>
      <c r="M13" s="22">
        <v>46143</v>
      </c>
      <c r="N13" s="22">
        <v>46143</v>
      </c>
      <c r="O13" s="17">
        <v>0</v>
      </c>
      <c r="P13" s="17">
        <v>0</v>
      </c>
      <c r="Q13" s="17">
        <v>0</v>
      </c>
      <c r="R13" s="17">
        <v>0</v>
      </c>
      <c r="S13" s="17">
        <v>11500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11500</v>
      </c>
    </row>
    <row r="14" spans="1:27">
      <c r="A14" t="s">
        <v>104</v>
      </c>
      <c r="B14" t="s">
        <v>32</v>
      </c>
      <c r="C14" t="s">
        <v>81</v>
      </c>
      <c r="D14" t="s">
        <v>111</v>
      </c>
      <c r="E14" s="22">
        <v>46160</v>
      </c>
      <c r="F14" s="22">
        <v>46167</v>
      </c>
      <c r="G14" s="23">
        <v>58.98</v>
      </c>
      <c r="H14" s="23">
        <v>69.98</v>
      </c>
      <c r="I14" s="23">
        <v>11</v>
      </c>
      <c r="J14">
        <v>1100</v>
      </c>
      <c r="K14" s="23">
        <v>12100</v>
      </c>
      <c r="L14">
        <v>8</v>
      </c>
      <c r="M14" s="22">
        <v>46143</v>
      </c>
      <c r="N14" s="22">
        <v>46143</v>
      </c>
      <c r="O14" s="17">
        <v>0</v>
      </c>
      <c r="P14" s="17">
        <v>0</v>
      </c>
      <c r="Q14" s="17">
        <v>0</v>
      </c>
      <c r="R14" s="17">
        <v>0</v>
      </c>
      <c r="S14" s="17">
        <v>12100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12100</v>
      </c>
    </row>
    <row r="15" spans="1:27">
      <c r="A15" t="s">
        <v>87</v>
      </c>
      <c r="B15" t="s">
        <v>88</v>
      </c>
      <c r="C15" t="s">
        <v>81</v>
      </c>
      <c r="D15" t="s">
        <v>111</v>
      </c>
      <c r="E15" s="22">
        <v>46160</v>
      </c>
      <c r="F15" s="22">
        <v>46167</v>
      </c>
      <c r="G15" s="23">
        <v>55.98</v>
      </c>
      <c r="H15" s="23">
        <v>65.98</v>
      </c>
      <c r="I15" s="23">
        <v>10</v>
      </c>
      <c r="J15">
        <v>750</v>
      </c>
      <c r="K15" s="23">
        <v>7500</v>
      </c>
      <c r="L15">
        <v>8</v>
      </c>
      <c r="M15" s="22">
        <v>46143</v>
      </c>
      <c r="N15" s="22">
        <v>46143</v>
      </c>
      <c r="O15" s="17">
        <v>0</v>
      </c>
      <c r="P15" s="17">
        <v>0</v>
      </c>
      <c r="Q15" s="17">
        <v>0</v>
      </c>
      <c r="R15" s="17">
        <v>0</v>
      </c>
      <c r="S15" s="17">
        <v>7500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7500</v>
      </c>
    </row>
    <row r="16" spans="1:27">
      <c r="A16" t="s">
        <v>105</v>
      </c>
      <c r="B16" t="s">
        <v>106</v>
      </c>
      <c r="C16" t="s">
        <v>81</v>
      </c>
      <c r="D16" t="s">
        <v>111</v>
      </c>
      <c r="E16" s="22">
        <v>46160</v>
      </c>
      <c r="F16" s="22">
        <v>46167</v>
      </c>
      <c r="G16" s="23">
        <v>67.98</v>
      </c>
      <c r="H16" s="23">
        <v>79.98</v>
      </c>
      <c r="I16" s="23">
        <v>12</v>
      </c>
      <c r="J16">
        <v>1800</v>
      </c>
      <c r="K16" s="23">
        <v>21600</v>
      </c>
      <c r="L16">
        <v>8</v>
      </c>
      <c r="M16" s="22">
        <v>46143</v>
      </c>
      <c r="N16" s="22">
        <v>46143</v>
      </c>
      <c r="O16" s="17">
        <v>0</v>
      </c>
      <c r="P16" s="17">
        <v>0</v>
      </c>
      <c r="Q16" s="17">
        <v>0</v>
      </c>
      <c r="R16" s="17">
        <v>0</v>
      </c>
      <c r="S16" s="17">
        <v>21600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21600</v>
      </c>
    </row>
    <row r="17" spans="1:27">
      <c r="A17" t="s">
        <v>47</v>
      </c>
      <c r="B17" t="s">
        <v>123</v>
      </c>
      <c r="C17" t="s">
        <v>81</v>
      </c>
      <c r="D17" t="s">
        <v>111</v>
      </c>
      <c r="E17" s="22">
        <v>46160</v>
      </c>
      <c r="F17" s="22">
        <v>46167</v>
      </c>
      <c r="G17" s="23">
        <v>41.98</v>
      </c>
      <c r="H17" s="23">
        <v>49.98</v>
      </c>
      <c r="I17" s="23">
        <v>8</v>
      </c>
      <c r="J17">
        <v>1500</v>
      </c>
      <c r="K17" s="23">
        <v>12000</v>
      </c>
      <c r="L17">
        <v>8</v>
      </c>
      <c r="M17" s="22">
        <v>46143</v>
      </c>
      <c r="N17" s="22">
        <v>46143</v>
      </c>
      <c r="O17" s="17">
        <v>0</v>
      </c>
      <c r="P17" s="17">
        <v>0</v>
      </c>
      <c r="Q17" s="17">
        <v>0</v>
      </c>
      <c r="R17" s="17">
        <v>0</v>
      </c>
      <c r="S17" s="17">
        <v>12000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12000</v>
      </c>
    </row>
    <row r="18" spans="1:27">
      <c r="A18" t="s">
        <v>100</v>
      </c>
      <c r="B18" t="s">
        <v>44</v>
      </c>
      <c r="C18" t="s">
        <v>81</v>
      </c>
      <c r="D18" t="s">
        <v>111</v>
      </c>
      <c r="E18" s="22">
        <v>46160</v>
      </c>
      <c r="F18" s="22">
        <v>46167</v>
      </c>
      <c r="G18" s="23">
        <v>84.98</v>
      </c>
      <c r="H18" s="23">
        <v>99.98</v>
      </c>
      <c r="I18" s="23">
        <v>15</v>
      </c>
      <c r="J18">
        <v>600</v>
      </c>
      <c r="K18" s="23">
        <v>9000</v>
      </c>
      <c r="L18">
        <v>8</v>
      </c>
      <c r="M18" s="22">
        <v>46143</v>
      </c>
      <c r="N18" s="22">
        <v>46143</v>
      </c>
      <c r="O18" s="17">
        <v>0</v>
      </c>
      <c r="P18" s="17">
        <v>0</v>
      </c>
      <c r="Q18" s="17">
        <v>0</v>
      </c>
      <c r="R18" s="17">
        <v>0</v>
      </c>
      <c r="S18" s="17">
        <v>9000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9000</v>
      </c>
    </row>
    <row r="19" spans="1:27">
      <c r="A19" t="s">
        <v>27</v>
      </c>
      <c r="B19" t="s">
        <v>28</v>
      </c>
      <c r="C19" t="s">
        <v>81</v>
      </c>
      <c r="D19" t="s">
        <v>114</v>
      </c>
      <c r="E19" s="22">
        <v>46188</v>
      </c>
      <c r="F19" s="22">
        <v>46194</v>
      </c>
      <c r="G19" s="23">
        <v>29.98</v>
      </c>
      <c r="H19" s="23">
        <v>35.979999999999997</v>
      </c>
      <c r="I19" s="23">
        <v>6</v>
      </c>
      <c r="J19">
        <v>1600</v>
      </c>
      <c r="K19" s="23">
        <v>9600</v>
      </c>
      <c r="L19">
        <v>7</v>
      </c>
      <c r="M19" s="22">
        <v>46174</v>
      </c>
      <c r="N19" s="22">
        <v>46174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9600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9600</v>
      </c>
    </row>
    <row r="20" spans="1:27">
      <c r="A20" t="s">
        <v>92</v>
      </c>
      <c r="B20" t="s">
        <v>28</v>
      </c>
      <c r="C20" t="s">
        <v>81</v>
      </c>
      <c r="D20" t="s">
        <v>114</v>
      </c>
      <c r="E20" s="22">
        <v>46188</v>
      </c>
      <c r="F20" s="22">
        <v>46194</v>
      </c>
      <c r="G20" s="23">
        <v>29.98</v>
      </c>
      <c r="H20" s="23">
        <v>35.979999999999997</v>
      </c>
      <c r="I20" s="23">
        <v>6</v>
      </c>
      <c r="J20">
        <v>1600</v>
      </c>
      <c r="K20" s="23">
        <v>9600</v>
      </c>
      <c r="L20">
        <v>7</v>
      </c>
      <c r="M20" s="22">
        <v>46174</v>
      </c>
      <c r="N20" s="22">
        <v>46174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9600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9600</v>
      </c>
    </row>
    <row r="21" spans="1:27">
      <c r="A21" t="s">
        <v>87</v>
      </c>
      <c r="B21" t="s">
        <v>88</v>
      </c>
      <c r="C21" t="s">
        <v>81</v>
      </c>
      <c r="D21" t="s">
        <v>114</v>
      </c>
      <c r="E21" s="22">
        <v>46188</v>
      </c>
      <c r="F21" s="22">
        <v>46194</v>
      </c>
      <c r="G21" s="23">
        <v>55.98</v>
      </c>
      <c r="H21" s="23">
        <v>65.98</v>
      </c>
      <c r="I21" s="23">
        <v>10</v>
      </c>
      <c r="J21">
        <v>750</v>
      </c>
      <c r="K21" s="23">
        <v>7500</v>
      </c>
      <c r="L21">
        <v>7</v>
      </c>
      <c r="M21" s="22">
        <v>46174</v>
      </c>
      <c r="N21" s="22">
        <v>46174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7500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7500</v>
      </c>
    </row>
    <row r="22" spans="1:27">
      <c r="A22" t="s">
        <v>100</v>
      </c>
      <c r="B22" t="s">
        <v>44</v>
      </c>
      <c r="C22" t="s">
        <v>81</v>
      </c>
      <c r="D22" t="s">
        <v>114</v>
      </c>
      <c r="E22" s="22">
        <v>46188</v>
      </c>
      <c r="F22" s="22">
        <v>46194</v>
      </c>
      <c r="G22" s="23">
        <v>84.98</v>
      </c>
      <c r="H22" s="23">
        <v>99.98</v>
      </c>
      <c r="I22" s="23">
        <v>15</v>
      </c>
      <c r="J22">
        <v>600</v>
      </c>
      <c r="K22" s="23">
        <v>9000</v>
      </c>
      <c r="L22">
        <v>7</v>
      </c>
      <c r="M22" s="22">
        <v>46174</v>
      </c>
      <c r="N22" s="22">
        <v>46174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9000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9000</v>
      </c>
    </row>
    <row r="23" spans="1:27">
      <c r="A23" t="s">
        <v>102</v>
      </c>
      <c r="B23" t="s">
        <v>50</v>
      </c>
      <c r="C23" t="s">
        <v>81</v>
      </c>
      <c r="D23" t="s">
        <v>114</v>
      </c>
      <c r="E23" s="22">
        <v>46188</v>
      </c>
      <c r="F23" s="22">
        <v>46194</v>
      </c>
      <c r="G23" s="23">
        <v>49.98</v>
      </c>
      <c r="H23" s="23">
        <v>59.98</v>
      </c>
      <c r="I23" s="23">
        <v>10</v>
      </c>
      <c r="J23">
        <v>2100</v>
      </c>
      <c r="K23" s="23">
        <v>21000</v>
      </c>
      <c r="L23">
        <v>7</v>
      </c>
      <c r="M23" s="22">
        <v>46174</v>
      </c>
      <c r="N23" s="22">
        <v>46174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21000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21000</v>
      </c>
    </row>
    <row r="24" spans="1:27">
      <c r="A24" t="s">
        <v>25</v>
      </c>
      <c r="B24" t="s">
        <v>26</v>
      </c>
      <c r="C24" t="s">
        <v>81</v>
      </c>
      <c r="D24" t="s">
        <v>118</v>
      </c>
      <c r="E24" s="22">
        <v>46202</v>
      </c>
      <c r="F24" s="22">
        <v>46211</v>
      </c>
      <c r="G24" s="23">
        <v>23.98</v>
      </c>
      <c r="H24" s="23">
        <v>29.98</v>
      </c>
      <c r="I24" s="23">
        <v>6</v>
      </c>
      <c r="J24">
        <v>4000</v>
      </c>
      <c r="K24" s="23">
        <v>24000</v>
      </c>
      <c r="L24">
        <v>10</v>
      </c>
      <c r="M24" s="22">
        <v>46174</v>
      </c>
      <c r="N24" s="22">
        <v>46204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4800</v>
      </c>
      <c r="U24" s="17">
        <v>19200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24000</v>
      </c>
    </row>
    <row r="25" spans="1:27">
      <c r="A25" t="s">
        <v>92</v>
      </c>
      <c r="B25" t="s">
        <v>28</v>
      </c>
      <c r="C25" t="s">
        <v>81</v>
      </c>
      <c r="D25" t="s">
        <v>118</v>
      </c>
      <c r="E25" s="22">
        <v>46202</v>
      </c>
      <c r="F25" s="22">
        <v>46211</v>
      </c>
      <c r="G25" s="23">
        <v>29.98</v>
      </c>
      <c r="H25" s="23">
        <v>35.979999999999997</v>
      </c>
      <c r="I25" s="23">
        <v>6</v>
      </c>
      <c r="J25">
        <v>1600</v>
      </c>
      <c r="K25" s="23">
        <v>9600</v>
      </c>
      <c r="L25">
        <v>10</v>
      </c>
      <c r="M25" s="22">
        <v>46174</v>
      </c>
      <c r="N25" s="22">
        <v>46204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1920</v>
      </c>
      <c r="U25" s="17">
        <v>7680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9600</v>
      </c>
    </row>
    <row r="26" spans="1:27">
      <c r="A26" t="s">
        <v>27</v>
      </c>
      <c r="B26" t="s">
        <v>28</v>
      </c>
      <c r="C26" t="s">
        <v>81</v>
      </c>
      <c r="D26" t="s">
        <v>118</v>
      </c>
      <c r="E26" s="22">
        <v>46202</v>
      </c>
      <c r="F26" s="22">
        <v>46211</v>
      </c>
      <c r="G26" s="23">
        <v>29.98</v>
      </c>
      <c r="H26" s="23">
        <v>35.979999999999997</v>
      </c>
      <c r="I26" s="23">
        <v>6</v>
      </c>
      <c r="J26">
        <v>1600</v>
      </c>
      <c r="K26" s="23">
        <v>9600</v>
      </c>
      <c r="L26">
        <v>10</v>
      </c>
      <c r="M26" s="22">
        <v>46174</v>
      </c>
      <c r="N26" s="22">
        <v>46204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1920</v>
      </c>
      <c r="U26" s="17">
        <v>7680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9600</v>
      </c>
    </row>
    <row r="27" spans="1:27">
      <c r="A27" t="s">
        <v>104</v>
      </c>
      <c r="B27" t="s">
        <v>32</v>
      </c>
      <c r="C27" t="s">
        <v>81</v>
      </c>
      <c r="D27" t="s">
        <v>118</v>
      </c>
      <c r="E27" s="22">
        <v>46202</v>
      </c>
      <c r="F27" s="22">
        <v>46211</v>
      </c>
      <c r="G27" s="23">
        <v>58.98</v>
      </c>
      <c r="H27" s="23">
        <v>69.98</v>
      </c>
      <c r="I27" s="23">
        <v>11</v>
      </c>
      <c r="J27">
        <v>1200</v>
      </c>
      <c r="K27" s="23">
        <v>13200</v>
      </c>
      <c r="L27">
        <v>10</v>
      </c>
      <c r="M27" s="22">
        <v>46174</v>
      </c>
      <c r="N27" s="22">
        <v>46204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2640</v>
      </c>
      <c r="U27" s="17">
        <v>10560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13200</v>
      </c>
    </row>
    <row r="28" spans="1:27">
      <c r="A28" t="s">
        <v>87</v>
      </c>
      <c r="B28" t="s">
        <v>88</v>
      </c>
      <c r="C28" t="s">
        <v>81</v>
      </c>
      <c r="D28" t="s">
        <v>118</v>
      </c>
      <c r="E28" s="22">
        <v>46202</v>
      </c>
      <c r="F28" s="22">
        <v>46211</v>
      </c>
      <c r="G28" s="23">
        <v>55.98</v>
      </c>
      <c r="H28" s="23">
        <v>65.98</v>
      </c>
      <c r="I28" s="23">
        <v>10</v>
      </c>
      <c r="J28">
        <v>750</v>
      </c>
      <c r="K28" s="23">
        <v>7500</v>
      </c>
      <c r="L28">
        <v>10</v>
      </c>
      <c r="M28" s="22">
        <v>46174</v>
      </c>
      <c r="N28" s="22">
        <v>46204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1500</v>
      </c>
      <c r="U28" s="17">
        <v>6000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7500</v>
      </c>
    </row>
    <row r="29" spans="1:27">
      <c r="A29" t="s">
        <v>105</v>
      </c>
      <c r="B29" t="s">
        <v>106</v>
      </c>
      <c r="C29" t="s">
        <v>81</v>
      </c>
      <c r="D29" t="s">
        <v>118</v>
      </c>
      <c r="E29" s="22">
        <v>46202</v>
      </c>
      <c r="F29" s="22">
        <v>46211</v>
      </c>
      <c r="G29" s="23">
        <v>67.98</v>
      </c>
      <c r="H29" s="23">
        <v>79.98</v>
      </c>
      <c r="I29" s="23">
        <v>12</v>
      </c>
      <c r="J29">
        <v>1800</v>
      </c>
      <c r="K29" s="23">
        <v>21600</v>
      </c>
      <c r="L29">
        <v>10</v>
      </c>
      <c r="M29" s="22">
        <v>46174</v>
      </c>
      <c r="N29" s="22">
        <v>46204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4320</v>
      </c>
      <c r="U29" s="17">
        <v>17280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21600</v>
      </c>
    </row>
    <row r="30" spans="1:27">
      <c r="A30" t="s">
        <v>100</v>
      </c>
      <c r="B30" t="s">
        <v>44</v>
      </c>
      <c r="C30" t="s">
        <v>81</v>
      </c>
      <c r="D30" t="s">
        <v>118</v>
      </c>
      <c r="E30" s="22">
        <v>46202</v>
      </c>
      <c r="F30" s="22">
        <v>46211</v>
      </c>
      <c r="G30" s="23">
        <v>79.98</v>
      </c>
      <c r="H30" s="23">
        <v>99.98</v>
      </c>
      <c r="I30" s="23">
        <v>20</v>
      </c>
      <c r="J30">
        <v>600</v>
      </c>
      <c r="K30" s="23">
        <v>12000</v>
      </c>
      <c r="L30">
        <v>10</v>
      </c>
      <c r="M30" s="22">
        <v>46174</v>
      </c>
      <c r="N30" s="22">
        <v>46204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2400</v>
      </c>
      <c r="U30" s="17">
        <v>9600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12000</v>
      </c>
    </row>
    <row r="31" spans="1:27">
      <c r="A31" t="s">
        <v>47</v>
      </c>
      <c r="B31" t="s">
        <v>123</v>
      </c>
      <c r="C31" t="s">
        <v>81</v>
      </c>
      <c r="D31" t="s">
        <v>118</v>
      </c>
      <c r="E31" s="22">
        <v>46202</v>
      </c>
      <c r="F31" s="22">
        <v>46211</v>
      </c>
      <c r="G31" s="23">
        <v>41.98</v>
      </c>
      <c r="H31" s="23">
        <v>49.98</v>
      </c>
      <c r="I31" s="23">
        <v>8</v>
      </c>
      <c r="J31">
        <v>2400</v>
      </c>
      <c r="K31" s="23">
        <v>19200</v>
      </c>
      <c r="L31">
        <v>10</v>
      </c>
      <c r="M31" s="22">
        <v>46174</v>
      </c>
      <c r="N31" s="22">
        <v>46204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3840</v>
      </c>
      <c r="U31" s="17">
        <v>15360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19200</v>
      </c>
    </row>
    <row r="32" spans="1:27">
      <c r="A32" t="s">
        <v>102</v>
      </c>
      <c r="B32" t="s">
        <v>50</v>
      </c>
      <c r="C32" t="s">
        <v>81</v>
      </c>
      <c r="D32" t="s">
        <v>118</v>
      </c>
      <c r="E32" s="22">
        <v>46202</v>
      </c>
      <c r="F32" s="22">
        <v>46211</v>
      </c>
      <c r="G32" s="23">
        <v>49.98</v>
      </c>
      <c r="H32" s="23">
        <v>59.98</v>
      </c>
      <c r="I32" s="23">
        <v>10</v>
      </c>
      <c r="J32">
        <v>2100</v>
      </c>
      <c r="K32" s="23">
        <v>21000</v>
      </c>
      <c r="L32">
        <v>10</v>
      </c>
      <c r="M32" s="22">
        <v>46174</v>
      </c>
      <c r="N32" s="22">
        <v>46204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4200</v>
      </c>
      <c r="U32" s="17">
        <v>16800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21000</v>
      </c>
    </row>
    <row r="33" spans="1:27">
      <c r="A33" t="s">
        <v>25</v>
      </c>
      <c r="B33" t="s">
        <v>26</v>
      </c>
      <c r="C33" t="s">
        <v>81</v>
      </c>
      <c r="D33" t="s">
        <v>120</v>
      </c>
      <c r="E33" s="22">
        <v>46265</v>
      </c>
      <c r="F33" s="22">
        <v>46271</v>
      </c>
      <c r="G33" s="23">
        <v>23.98</v>
      </c>
      <c r="H33" s="23">
        <v>29.98</v>
      </c>
      <c r="I33" s="23">
        <v>6</v>
      </c>
      <c r="J33">
        <v>3000</v>
      </c>
      <c r="K33" s="23">
        <v>18000</v>
      </c>
      <c r="L33">
        <v>7</v>
      </c>
      <c r="M33" s="22">
        <v>46235</v>
      </c>
      <c r="N33" s="22">
        <v>46266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2571.4285714285716</v>
      </c>
      <c r="W33" s="17">
        <v>15428.571428571429</v>
      </c>
      <c r="X33" s="17">
        <v>0</v>
      </c>
      <c r="Y33" s="17">
        <v>0</v>
      </c>
      <c r="Z33" s="17">
        <v>0</v>
      </c>
      <c r="AA33" s="17">
        <v>18000</v>
      </c>
    </row>
    <row r="34" spans="1:27">
      <c r="A34" t="s">
        <v>87</v>
      </c>
      <c r="B34" t="s">
        <v>88</v>
      </c>
      <c r="C34" t="s">
        <v>81</v>
      </c>
      <c r="D34" t="s">
        <v>120</v>
      </c>
      <c r="E34" s="22">
        <v>46265</v>
      </c>
      <c r="F34" s="22">
        <v>46271</v>
      </c>
      <c r="G34" s="23">
        <v>55.98</v>
      </c>
      <c r="H34" s="23">
        <v>65.98</v>
      </c>
      <c r="I34" s="23">
        <v>10</v>
      </c>
      <c r="J34">
        <v>750</v>
      </c>
      <c r="K34" s="23">
        <v>7500</v>
      </c>
      <c r="L34">
        <v>7</v>
      </c>
      <c r="M34" s="22">
        <v>46235</v>
      </c>
      <c r="N34" s="22">
        <v>46266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1071.4285714285713</v>
      </c>
      <c r="W34" s="17">
        <v>6428.5714285714275</v>
      </c>
      <c r="X34" s="17">
        <v>0</v>
      </c>
      <c r="Y34" s="17">
        <v>0</v>
      </c>
      <c r="Z34" s="17">
        <v>0</v>
      </c>
      <c r="AA34" s="17">
        <v>7499.9999999999991</v>
      </c>
    </row>
    <row r="35" spans="1:27">
      <c r="A35" t="s">
        <v>105</v>
      </c>
      <c r="B35" t="s">
        <v>106</v>
      </c>
      <c r="C35" t="s">
        <v>81</v>
      </c>
      <c r="D35" t="s">
        <v>120</v>
      </c>
      <c r="E35" s="22">
        <v>46265</v>
      </c>
      <c r="F35" s="22">
        <v>46271</v>
      </c>
      <c r="G35" s="23">
        <v>67.98</v>
      </c>
      <c r="H35" s="23">
        <v>79.98</v>
      </c>
      <c r="I35" s="23">
        <v>12</v>
      </c>
      <c r="J35">
        <v>1600</v>
      </c>
      <c r="K35" s="23">
        <v>19200</v>
      </c>
      <c r="L35">
        <v>7</v>
      </c>
      <c r="M35" s="22">
        <v>46235</v>
      </c>
      <c r="N35" s="22">
        <v>46266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2742.8571428571427</v>
      </c>
      <c r="W35" s="17">
        <v>16457.142857142855</v>
      </c>
      <c r="X35" s="17">
        <v>0</v>
      </c>
      <c r="Y35" s="17">
        <v>0</v>
      </c>
      <c r="Z35" s="17">
        <v>0</v>
      </c>
      <c r="AA35" s="17">
        <v>19199.999999999996</v>
      </c>
    </row>
    <row r="36" spans="1:27">
      <c r="A36" t="s">
        <v>100</v>
      </c>
      <c r="B36" t="s">
        <v>44</v>
      </c>
      <c r="C36" t="s">
        <v>81</v>
      </c>
      <c r="D36" t="s">
        <v>120</v>
      </c>
      <c r="E36" s="22">
        <v>46265</v>
      </c>
      <c r="F36" s="22">
        <v>46271</v>
      </c>
      <c r="G36" s="23">
        <v>84.98</v>
      </c>
      <c r="H36" s="23">
        <v>99.98</v>
      </c>
      <c r="I36" s="23">
        <v>15</v>
      </c>
      <c r="J36">
        <v>500</v>
      </c>
      <c r="K36" s="23">
        <v>7500</v>
      </c>
      <c r="L36">
        <v>7</v>
      </c>
      <c r="M36" s="22">
        <v>46235</v>
      </c>
      <c r="N36" s="22">
        <v>46266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1071.4285714285713</v>
      </c>
      <c r="W36" s="17">
        <v>6428.5714285714275</v>
      </c>
      <c r="X36" s="17">
        <v>0</v>
      </c>
      <c r="Y36" s="17">
        <v>0</v>
      </c>
      <c r="Z36" s="17">
        <v>0</v>
      </c>
      <c r="AA36" s="17">
        <v>7499.9999999999991</v>
      </c>
    </row>
    <row r="37" spans="1:27">
      <c r="A37" t="s">
        <v>102</v>
      </c>
      <c r="B37" t="s">
        <v>50</v>
      </c>
      <c r="C37" t="s">
        <v>81</v>
      </c>
      <c r="D37" t="s">
        <v>120</v>
      </c>
      <c r="E37" s="22">
        <v>46265</v>
      </c>
      <c r="F37" s="22">
        <v>46271</v>
      </c>
      <c r="G37" s="23">
        <v>49.98</v>
      </c>
      <c r="H37" s="23">
        <v>59.98</v>
      </c>
      <c r="I37" s="23">
        <v>10</v>
      </c>
      <c r="J37">
        <v>2000</v>
      </c>
      <c r="K37" s="23">
        <v>20000</v>
      </c>
      <c r="L37">
        <v>7</v>
      </c>
      <c r="M37" s="22">
        <v>46235</v>
      </c>
      <c r="N37" s="22">
        <v>46266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2857.1428571428573</v>
      </c>
      <c r="W37" s="17">
        <v>17142.857142857145</v>
      </c>
      <c r="X37" s="17">
        <v>0</v>
      </c>
      <c r="Y37" s="17">
        <v>0</v>
      </c>
      <c r="Z37" s="17">
        <v>0</v>
      </c>
      <c r="AA37" s="17">
        <v>20000.000000000004</v>
      </c>
    </row>
    <row r="38" spans="1:27">
      <c r="A38" t="s">
        <v>104</v>
      </c>
      <c r="B38" t="s">
        <v>32</v>
      </c>
      <c r="C38" t="s">
        <v>81</v>
      </c>
      <c r="D38" t="s">
        <v>124</v>
      </c>
      <c r="E38" s="22">
        <v>46300</v>
      </c>
      <c r="F38" s="22">
        <v>46306</v>
      </c>
      <c r="G38" s="23">
        <v>58.98</v>
      </c>
      <c r="H38" s="23">
        <v>69.98</v>
      </c>
      <c r="I38" s="23">
        <v>11</v>
      </c>
      <c r="J38">
        <v>1200</v>
      </c>
      <c r="K38" s="23">
        <v>13200</v>
      </c>
      <c r="L38">
        <v>7</v>
      </c>
      <c r="M38" s="22">
        <v>46296</v>
      </c>
      <c r="N38" s="22">
        <v>46296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13200</v>
      </c>
      <c r="Y38" s="17">
        <v>0</v>
      </c>
      <c r="Z38" s="17">
        <v>0</v>
      </c>
      <c r="AA38" s="17">
        <v>13200</v>
      </c>
    </row>
    <row r="39" spans="1:27">
      <c r="A39" t="s">
        <v>87</v>
      </c>
      <c r="B39" t="s">
        <v>88</v>
      </c>
      <c r="C39" t="s">
        <v>81</v>
      </c>
      <c r="D39" t="s">
        <v>124</v>
      </c>
      <c r="E39" s="22">
        <v>46300</v>
      </c>
      <c r="F39" s="22">
        <v>46306</v>
      </c>
      <c r="G39" s="23">
        <v>55.98</v>
      </c>
      <c r="H39" s="23">
        <v>65.98</v>
      </c>
      <c r="I39" s="23">
        <v>10</v>
      </c>
      <c r="J39">
        <v>750</v>
      </c>
      <c r="K39" s="23">
        <v>7500</v>
      </c>
      <c r="L39">
        <v>7</v>
      </c>
      <c r="M39" s="22">
        <v>46296</v>
      </c>
      <c r="N39" s="22">
        <v>46296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7500</v>
      </c>
      <c r="Y39" s="17">
        <v>0</v>
      </c>
      <c r="Z39" s="17">
        <v>0</v>
      </c>
      <c r="AA39" s="17">
        <v>7500</v>
      </c>
    </row>
    <row r="40" spans="1:27">
      <c r="A40" t="s">
        <v>105</v>
      </c>
      <c r="B40" t="s">
        <v>106</v>
      </c>
      <c r="C40" t="s">
        <v>81</v>
      </c>
      <c r="D40" t="s">
        <v>124</v>
      </c>
      <c r="E40" s="22">
        <v>46300</v>
      </c>
      <c r="F40" s="22">
        <v>46306</v>
      </c>
      <c r="G40" s="23">
        <v>67.98</v>
      </c>
      <c r="H40" s="23">
        <v>79.98</v>
      </c>
      <c r="I40" s="23">
        <v>12</v>
      </c>
      <c r="J40">
        <v>1900</v>
      </c>
      <c r="K40" s="23">
        <v>22800</v>
      </c>
      <c r="L40">
        <v>7</v>
      </c>
      <c r="M40" s="22">
        <v>46296</v>
      </c>
      <c r="N40" s="22">
        <v>46296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22800</v>
      </c>
      <c r="Y40" s="17">
        <v>0</v>
      </c>
      <c r="Z40" s="17">
        <v>0</v>
      </c>
      <c r="AA40" s="17">
        <v>22800</v>
      </c>
    </row>
    <row r="41" spans="1:27">
      <c r="A41" t="s">
        <v>100</v>
      </c>
      <c r="B41" t="s">
        <v>44</v>
      </c>
      <c r="C41" t="s">
        <v>81</v>
      </c>
      <c r="D41" t="s">
        <v>124</v>
      </c>
      <c r="E41" s="22">
        <v>46300</v>
      </c>
      <c r="F41" s="22">
        <v>46306</v>
      </c>
      <c r="G41" s="23">
        <v>84.98</v>
      </c>
      <c r="H41" s="23">
        <v>99.98</v>
      </c>
      <c r="I41" s="23">
        <v>15</v>
      </c>
      <c r="J41">
        <v>500</v>
      </c>
      <c r="K41" s="23">
        <v>7500</v>
      </c>
      <c r="L41">
        <v>7</v>
      </c>
      <c r="M41" s="22">
        <v>46296</v>
      </c>
      <c r="N41" s="22">
        <v>46296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7500</v>
      </c>
      <c r="Y41" s="17">
        <v>0</v>
      </c>
      <c r="Z41" s="17">
        <v>0</v>
      </c>
      <c r="AA41" s="17">
        <v>7500</v>
      </c>
    </row>
    <row r="42" spans="1:27">
      <c r="A42" t="s">
        <v>47</v>
      </c>
      <c r="B42" t="s">
        <v>123</v>
      </c>
      <c r="C42" t="s">
        <v>81</v>
      </c>
      <c r="D42" t="s">
        <v>124</v>
      </c>
      <c r="E42" s="22">
        <v>46300</v>
      </c>
      <c r="F42" s="22">
        <v>46306</v>
      </c>
      <c r="G42" s="23">
        <v>41.98</v>
      </c>
      <c r="H42" s="23">
        <v>49.98</v>
      </c>
      <c r="I42" s="23">
        <v>8</v>
      </c>
      <c r="J42">
        <v>2400</v>
      </c>
      <c r="K42" s="23">
        <v>19200</v>
      </c>
      <c r="L42">
        <v>7</v>
      </c>
      <c r="M42" s="22">
        <v>46296</v>
      </c>
      <c r="N42" s="22">
        <v>46296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19200</v>
      </c>
      <c r="Y42" s="17">
        <v>0</v>
      </c>
      <c r="Z42" s="17">
        <v>0</v>
      </c>
      <c r="AA42" s="17">
        <v>19200</v>
      </c>
    </row>
    <row r="43" spans="1:27">
      <c r="A43" t="s">
        <v>102</v>
      </c>
      <c r="B43" t="s">
        <v>50</v>
      </c>
      <c r="C43" t="s">
        <v>81</v>
      </c>
      <c r="D43" t="s">
        <v>124</v>
      </c>
      <c r="E43" s="22">
        <v>46300</v>
      </c>
      <c r="F43" s="22">
        <v>46306</v>
      </c>
      <c r="G43" s="23">
        <v>49.98</v>
      </c>
      <c r="H43" s="23">
        <v>59.98</v>
      </c>
      <c r="I43" s="23">
        <v>10</v>
      </c>
      <c r="J43">
        <v>2200</v>
      </c>
      <c r="K43" s="23">
        <v>22000</v>
      </c>
      <c r="L43">
        <v>7</v>
      </c>
      <c r="M43" s="22">
        <v>46296</v>
      </c>
      <c r="N43" s="22">
        <v>46296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22000</v>
      </c>
      <c r="Y43" s="17">
        <v>0</v>
      </c>
      <c r="Z43" s="17">
        <v>0</v>
      </c>
      <c r="AA43" s="17">
        <v>22000</v>
      </c>
    </row>
    <row r="44" spans="1:27">
      <c r="A44" t="s">
        <v>53</v>
      </c>
      <c r="B44" t="s">
        <v>53</v>
      </c>
      <c r="C44" t="s">
        <v>81</v>
      </c>
      <c r="D44" t="s">
        <v>124</v>
      </c>
      <c r="E44" s="22">
        <v>46300</v>
      </c>
      <c r="F44" s="22">
        <v>46306</v>
      </c>
      <c r="G44" s="23">
        <v>29.98</v>
      </c>
      <c r="H44" s="23">
        <v>34.979999999999997</v>
      </c>
      <c r="I44" s="23">
        <v>5</v>
      </c>
      <c r="J44">
        <v>3000</v>
      </c>
      <c r="K44" s="23">
        <v>15000</v>
      </c>
      <c r="L44">
        <v>7</v>
      </c>
      <c r="M44" s="22">
        <v>46296</v>
      </c>
      <c r="N44" s="22">
        <v>46296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15000</v>
      </c>
      <c r="Y44" s="17">
        <v>0</v>
      </c>
      <c r="Z44" s="17">
        <v>0</v>
      </c>
      <c r="AA44" s="17">
        <v>15000</v>
      </c>
    </row>
    <row r="45" spans="1:27">
      <c r="A45" t="s">
        <v>25</v>
      </c>
      <c r="B45" t="s">
        <v>26</v>
      </c>
      <c r="C45" t="s">
        <v>81</v>
      </c>
      <c r="D45" t="s">
        <v>121</v>
      </c>
      <c r="E45" s="22">
        <v>46349</v>
      </c>
      <c r="F45" s="22">
        <v>46358</v>
      </c>
      <c r="G45" s="23">
        <v>19.98</v>
      </c>
      <c r="H45" s="23">
        <v>29.98</v>
      </c>
      <c r="I45" s="23">
        <v>10</v>
      </c>
      <c r="J45">
        <v>30000</v>
      </c>
      <c r="K45" s="23">
        <v>300000</v>
      </c>
      <c r="L45">
        <v>10</v>
      </c>
      <c r="M45" s="22">
        <v>46327</v>
      </c>
      <c r="N45" s="22">
        <v>46357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240000</v>
      </c>
      <c r="Z45" s="17">
        <v>60000</v>
      </c>
      <c r="AA45" s="17">
        <v>300000</v>
      </c>
    </row>
    <row r="46" spans="1:27">
      <c r="A46" t="s">
        <v>92</v>
      </c>
      <c r="B46" t="s">
        <v>28</v>
      </c>
      <c r="C46" t="s">
        <v>81</v>
      </c>
      <c r="D46" t="s">
        <v>121</v>
      </c>
      <c r="E46" s="22">
        <v>46349</v>
      </c>
      <c r="F46" s="22">
        <v>46358</v>
      </c>
      <c r="G46" s="23">
        <v>25.98</v>
      </c>
      <c r="H46" s="23">
        <v>35.979999999999997</v>
      </c>
      <c r="I46" s="23">
        <v>10</v>
      </c>
      <c r="J46">
        <v>2000</v>
      </c>
      <c r="K46" s="23">
        <v>20000</v>
      </c>
      <c r="L46">
        <v>10</v>
      </c>
      <c r="M46" s="22">
        <v>46327</v>
      </c>
      <c r="N46" s="22">
        <v>46357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16000</v>
      </c>
      <c r="Z46" s="17">
        <v>4000</v>
      </c>
      <c r="AA46" s="17">
        <v>20000</v>
      </c>
    </row>
    <row r="47" spans="1:27">
      <c r="A47" t="s">
        <v>27</v>
      </c>
      <c r="B47" t="s">
        <v>28</v>
      </c>
      <c r="C47" t="s">
        <v>81</v>
      </c>
      <c r="D47" t="s">
        <v>121</v>
      </c>
      <c r="E47" s="22">
        <v>46349</v>
      </c>
      <c r="F47" s="22">
        <v>46358</v>
      </c>
      <c r="G47" s="23">
        <v>25.98</v>
      </c>
      <c r="H47" s="23">
        <v>35.979999999999997</v>
      </c>
      <c r="I47" s="23">
        <v>10</v>
      </c>
      <c r="J47">
        <v>6000</v>
      </c>
      <c r="K47" s="23">
        <v>60000</v>
      </c>
      <c r="L47">
        <v>10</v>
      </c>
      <c r="M47" s="22">
        <v>46327</v>
      </c>
      <c r="N47" s="22">
        <v>46357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48000</v>
      </c>
      <c r="Z47" s="17">
        <v>12000</v>
      </c>
      <c r="AA47" s="17">
        <v>60000</v>
      </c>
    </row>
    <row r="48" spans="1:27">
      <c r="A48" t="s">
        <v>104</v>
      </c>
      <c r="B48" t="s">
        <v>32</v>
      </c>
      <c r="C48" t="s">
        <v>81</v>
      </c>
      <c r="D48" t="s">
        <v>121</v>
      </c>
      <c r="E48" s="22">
        <v>46349</v>
      </c>
      <c r="F48" s="22">
        <v>46358</v>
      </c>
      <c r="G48" s="23">
        <v>58.98</v>
      </c>
      <c r="H48" s="23">
        <v>69.98</v>
      </c>
      <c r="I48" s="23">
        <v>11</v>
      </c>
      <c r="J48">
        <v>1900</v>
      </c>
      <c r="K48" s="23">
        <v>20900</v>
      </c>
      <c r="L48">
        <v>10</v>
      </c>
      <c r="M48" s="22">
        <v>46327</v>
      </c>
      <c r="N48" s="22">
        <v>46357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16720</v>
      </c>
      <c r="Z48" s="17">
        <v>4180</v>
      </c>
      <c r="AA48" s="17">
        <v>20900</v>
      </c>
    </row>
    <row r="49" spans="1:27">
      <c r="A49" t="s">
        <v>87</v>
      </c>
      <c r="B49" t="s">
        <v>88</v>
      </c>
      <c r="C49" t="s">
        <v>81</v>
      </c>
      <c r="D49" t="s">
        <v>121</v>
      </c>
      <c r="E49" s="22">
        <v>46349</v>
      </c>
      <c r="F49" s="22">
        <v>46358</v>
      </c>
      <c r="G49" s="23">
        <v>50.98</v>
      </c>
      <c r="H49" s="23">
        <v>65.98</v>
      </c>
      <c r="I49" s="23">
        <v>15</v>
      </c>
      <c r="J49">
        <v>1400</v>
      </c>
      <c r="K49" s="23">
        <v>21000</v>
      </c>
      <c r="L49">
        <v>10</v>
      </c>
      <c r="M49" s="22">
        <v>46327</v>
      </c>
      <c r="N49" s="22">
        <v>46357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16800</v>
      </c>
      <c r="Z49" s="17">
        <v>4200</v>
      </c>
      <c r="AA49" s="17">
        <v>21000</v>
      </c>
    </row>
    <row r="50" spans="1:27">
      <c r="A50" t="s">
        <v>105</v>
      </c>
      <c r="B50" t="s">
        <v>106</v>
      </c>
      <c r="C50" t="s">
        <v>81</v>
      </c>
      <c r="D50" t="s">
        <v>121</v>
      </c>
      <c r="E50" s="22">
        <v>46349</v>
      </c>
      <c r="F50" s="22">
        <v>46358</v>
      </c>
      <c r="G50" s="23">
        <v>64.98</v>
      </c>
      <c r="H50" s="23">
        <v>79.98</v>
      </c>
      <c r="I50" s="23">
        <v>15</v>
      </c>
      <c r="J50">
        <v>5000</v>
      </c>
      <c r="K50" s="23">
        <v>75000</v>
      </c>
      <c r="L50">
        <v>10</v>
      </c>
      <c r="M50" s="22">
        <v>46327</v>
      </c>
      <c r="N50" s="22">
        <v>46357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60000</v>
      </c>
      <c r="Z50" s="17">
        <v>15000</v>
      </c>
      <c r="AA50" s="17">
        <v>75000</v>
      </c>
    </row>
    <row r="51" spans="1:27">
      <c r="A51" t="s">
        <v>100</v>
      </c>
      <c r="B51" t="s">
        <v>44</v>
      </c>
      <c r="C51" t="s">
        <v>81</v>
      </c>
      <c r="D51" t="s">
        <v>121</v>
      </c>
      <c r="E51" s="22">
        <v>46349</v>
      </c>
      <c r="F51" s="22">
        <v>46358</v>
      </c>
      <c r="G51" s="23">
        <v>79.98</v>
      </c>
      <c r="H51" s="23">
        <v>99.98</v>
      </c>
      <c r="I51" s="23">
        <v>20</v>
      </c>
      <c r="J51">
        <v>800</v>
      </c>
      <c r="K51" s="23">
        <v>16000</v>
      </c>
      <c r="L51">
        <v>10</v>
      </c>
      <c r="M51" s="22">
        <v>46327</v>
      </c>
      <c r="N51" s="22">
        <v>46357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12800</v>
      </c>
      <c r="Z51" s="17">
        <v>3200</v>
      </c>
      <c r="AA51" s="17">
        <v>16000</v>
      </c>
    </row>
    <row r="52" spans="1:27">
      <c r="A52" t="s">
        <v>47</v>
      </c>
      <c r="B52" t="s">
        <v>123</v>
      </c>
      <c r="C52" t="s">
        <v>81</v>
      </c>
      <c r="D52" t="s">
        <v>121</v>
      </c>
      <c r="E52" s="22">
        <v>46349</v>
      </c>
      <c r="F52" s="22">
        <v>46358</v>
      </c>
      <c r="G52" s="23">
        <v>39.979999999999997</v>
      </c>
      <c r="H52" s="23">
        <v>49.98</v>
      </c>
      <c r="I52" s="23">
        <v>10</v>
      </c>
      <c r="J52">
        <v>3000</v>
      </c>
      <c r="K52" s="23">
        <v>30000</v>
      </c>
      <c r="L52">
        <v>10</v>
      </c>
      <c r="M52" s="22">
        <v>46327</v>
      </c>
      <c r="N52" s="22">
        <v>46357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24000</v>
      </c>
      <c r="Z52" s="17">
        <v>6000</v>
      </c>
      <c r="AA52" s="17">
        <v>30000</v>
      </c>
    </row>
    <row r="53" spans="1:27">
      <c r="A53" t="s">
        <v>102</v>
      </c>
      <c r="B53" t="s">
        <v>50</v>
      </c>
      <c r="C53" t="s">
        <v>81</v>
      </c>
      <c r="D53" t="s">
        <v>121</v>
      </c>
      <c r="E53" s="22">
        <v>46349</v>
      </c>
      <c r="F53" s="22">
        <v>46358</v>
      </c>
      <c r="G53" s="23">
        <v>49.98</v>
      </c>
      <c r="H53" s="23">
        <v>59.98</v>
      </c>
      <c r="I53" s="23">
        <v>10</v>
      </c>
      <c r="J53">
        <v>4000</v>
      </c>
      <c r="K53" s="23">
        <v>40000</v>
      </c>
      <c r="L53">
        <v>10</v>
      </c>
      <c r="M53" s="22">
        <v>46327</v>
      </c>
      <c r="N53" s="22">
        <v>46357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32000</v>
      </c>
      <c r="Z53" s="17">
        <v>8000</v>
      </c>
      <c r="AA53" s="17">
        <v>40000</v>
      </c>
    </row>
    <row r="54" spans="1:27">
      <c r="A54" t="s">
        <v>53</v>
      </c>
      <c r="B54" t="s">
        <v>53</v>
      </c>
      <c r="C54" t="s">
        <v>81</v>
      </c>
      <c r="D54" t="s">
        <v>121</v>
      </c>
      <c r="E54" s="22">
        <v>46349</v>
      </c>
      <c r="F54" s="22">
        <v>46358</v>
      </c>
      <c r="G54" s="23">
        <v>29.98</v>
      </c>
      <c r="H54" s="23">
        <v>34.979999999999997</v>
      </c>
      <c r="I54" s="23">
        <v>5</v>
      </c>
      <c r="J54">
        <v>4000</v>
      </c>
      <c r="K54" s="23">
        <v>20000</v>
      </c>
      <c r="L54">
        <v>10</v>
      </c>
      <c r="M54" s="22">
        <v>46327</v>
      </c>
      <c r="N54" s="22">
        <v>46357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16000</v>
      </c>
      <c r="Z54" s="17">
        <v>4000</v>
      </c>
      <c r="AA54" s="17">
        <v>20000</v>
      </c>
    </row>
    <row r="55" spans="1:27">
      <c r="A55" t="s">
        <v>56</v>
      </c>
      <c r="B55" t="s">
        <v>125</v>
      </c>
      <c r="C55" t="s">
        <v>81</v>
      </c>
      <c r="D55" t="s">
        <v>121</v>
      </c>
      <c r="E55" s="22">
        <v>46349</v>
      </c>
      <c r="F55" s="22">
        <v>46358</v>
      </c>
      <c r="G55" s="23">
        <v>40.98</v>
      </c>
      <c r="H55" s="23">
        <v>49.98</v>
      </c>
      <c r="I55" s="23">
        <v>9</v>
      </c>
      <c r="J55">
        <v>5000</v>
      </c>
      <c r="K55" s="23">
        <v>45000</v>
      </c>
      <c r="L55">
        <v>10</v>
      </c>
      <c r="M55" s="22">
        <v>46327</v>
      </c>
      <c r="N55" s="22">
        <v>46357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36000</v>
      </c>
      <c r="Z55" s="17">
        <v>9000</v>
      </c>
      <c r="AA55" s="17">
        <v>45000</v>
      </c>
    </row>
  </sheetData>
  <autoFilter ref="A1:AA55" xr:uid="{2F150051-903C-44E1-B8A0-EF251801B9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D8BB-2898-4121-811D-DE24894D27A4}">
  <dimension ref="A1:AA103"/>
  <sheetViews>
    <sheetView workbookViewId="0"/>
  </sheetViews>
  <sheetFormatPr defaultRowHeight="14.25"/>
  <cols>
    <col min="4" max="4" width="22.85546875" bestFit="1" customWidth="1"/>
    <col min="5" max="5" width="11.5703125" bestFit="1" customWidth="1"/>
    <col min="6" max="6" width="10.7109375" bestFit="1" customWidth="1"/>
  </cols>
  <sheetData>
    <row r="1" spans="1:27">
      <c r="A1" s="19" t="s">
        <v>62</v>
      </c>
      <c r="B1" s="19" t="s">
        <v>63</v>
      </c>
      <c r="C1" s="19" t="s">
        <v>64</v>
      </c>
      <c r="D1" s="19" t="s">
        <v>66</v>
      </c>
      <c r="E1" s="19" t="s">
        <v>67</v>
      </c>
      <c r="F1" s="19" t="s">
        <v>68</v>
      </c>
      <c r="G1" s="19" t="s">
        <v>69</v>
      </c>
      <c r="H1" s="19" t="s">
        <v>70</v>
      </c>
      <c r="I1" s="19" t="s">
        <v>71</v>
      </c>
      <c r="J1" s="19" t="s">
        <v>72</v>
      </c>
      <c r="K1" s="19" t="s">
        <v>73</v>
      </c>
      <c r="L1" s="20" t="s">
        <v>77</v>
      </c>
      <c r="M1" s="20" t="s">
        <v>78</v>
      </c>
      <c r="N1" s="20" t="s">
        <v>79</v>
      </c>
      <c r="O1" s="4">
        <v>46023</v>
      </c>
      <c r="P1" s="4">
        <v>46054</v>
      </c>
      <c r="Q1" s="4">
        <v>46082</v>
      </c>
      <c r="R1" s="4">
        <v>46113</v>
      </c>
      <c r="S1" s="4">
        <v>46143</v>
      </c>
      <c r="T1" s="4">
        <v>46174</v>
      </c>
      <c r="U1" s="4">
        <v>46204</v>
      </c>
      <c r="V1" s="4">
        <v>46235</v>
      </c>
      <c r="W1" s="4">
        <v>46266</v>
      </c>
      <c r="X1" s="4">
        <v>46296</v>
      </c>
      <c r="Y1" s="4">
        <v>46327</v>
      </c>
      <c r="Z1" s="4">
        <v>46357</v>
      </c>
      <c r="AA1" s="4" t="s">
        <v>7</v>
      </c>
    </row>
    <row r="2" spans="1:27">
      <c r="A2" t="s">
        <v>39</v>
      </c>
      <c r="B2" t="s">
        <v>80</v>
      </c>
      <c r="C2" t="s">
        <v>81</v>
      </c>
      <c r="D2" t="s">
        <v>83</v>
      </c>
      <c r="E2" s="22">
        <v>46104</v>
      </c>
      <c r="F2" s="22">
        <v>46110</v>
      </c>
      <c r="G2" s="23">
        <v>74.98</v>
      </c>
      <c r="H2" s="23">
        <v>89.98</v>
      </c>
      <c r="I2" s="23">
        <v>15</v>
      </c>
      <c r="J2">
        <v>20</v>
      </c>
      <c r="K2" s="23">
        <v>300</v>
      </c>
      <c r="L2">
        <v>7</v>
      </c>
      <c r="M2" s="22">
        <v>46082</v>
      </c>
      <c r="N2" s="22">
        <v>46082</v>
      </c>
      <c r="O2" s="17">
        <v>0</v>
      </c>
      <c r="P2" s="17">
        <v>0</v>
      </c>
      <c r="Q2" s="17">
        <v>300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300</v>
      </c>
    </row>
    <row r="3" spans="1:27">
      <c r="A3" t="s">
        <v>87</v>
      </c>
      <c r="B3" t="s">
        <v>88</v>
      </c>
      <c r="C3" t="s">
        <v>81</v>
      </c>
      <c r="D3" t="s">
        <v>83</v>
      </c>
      <c r="E3" s="22">
        <v>46104</v>
      </c>
      <c r="F3" s="22">
        <v>46110</v>
      </c>
      <c r="G3" s="23">
        <v>55.98</v>
      </c>
      <c r="H3" s="23">
        <v>65.98</v>
      </c>
      <c r="I3" s="23">
        <v>10</v>
      </c>
      <c r="J3">
        <v>30</v>
      </c>
      <c r="K3" s="23">
        <v>300</v>
      </c>
      <c r="L3">
        <v>7</v>
      </c>
      <c r="M3" s="22">
        <v>46082</v>
      </c>
      <c r="N3" s="22">
        <v>46082</v>
      </c>
      <c r="O3" s="17">
        <v>0</v>
      </c>
      <c r="P3" s="17">
        <v>0</v>
      </c>
      <c r="Q3" s="17">
        <v>300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300</v>
      </c>
    </row>
    <row r="4" spans="1:27">
      <c r="A4" t="s">
        <v>27</v>
      </c>
      <c r="B4" t="s">
        <v>28</v>
      </c>
      <c r="C4" t="s">
        <v>81</v>
      </c>
      <c r="D4" t="s">
        <v>83</v>
      </c>
      <c r="E4" s="22">
        <v>46104</v>
      </c>
      <c r="F4" s="22">
        <v>46110</v>
      </c>
      <c r="G4" s="23">
        <v>29.98</v>
      </c>
      <c r="H4" s="23">
        <v>35.979999999999997</v>
      </c>
      <c r="I4" s="23">
        <v>6</v>
      </c>
      <c r="J4">
        <v>180</v>
      </c>
      <c r="K4" s="23">
        <v>1080</v>
      </c>
      <c r="L4">
        <v>7</v>
      </c>
      <c r="M4" s="22">
        <v>46082</v>
      </c>
      <c r="N4" s="22">
        <v>46082</v>
      </c>
      <c r="O4" s="17">
        <v>0</v>
      </c>
      <c r="P4" s="17">
        <v>0</v>
      </c>
      <c r="Q4" s="17">
        <v>1080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1080</v>
      </c>
    </row>
    <row r="5" spans="1:27">
      <c r="A5" t="s">
        <v>27</v>
      </c>
      <c r="B5" t="s">
        <v>28</v>
      </c>
      <c r="C5" t="s">
        <v>81</v>
      </c>
      <c r="D5" t="s">
        <v>83</v>
      </c>
      <c r="E5" s="22">
        <v>46104</v>
      </c>
      <c r="F5" s="22">
        <v>46110</v>
      </c>
      <c r="G5" s="23">
        <v>29.98</v>
      </c>
      <c r="H5" s="23">
        <v>35.979999999999997</v>
      </c>
      <c r="I5" s="23">
        <v>6</v>
      </c>
      <c r="J5">
        <v>180</v>
      </c>
      <c r="K5" s="23">
        <v>1080</v>
      </c>
      <c r="L5">
        <v>7</v>
      </c>
      <c r="M5" s="22">
        <v>46082</v>
      </c>
      <c r="N5" s="22">
        <v>46082</v>
      </c>
      <c r="O5" s="17">
        <v>0</v>
      </c>
      <c r="P5" s="17">
        <v>0</v>
      </c>
      <c r="Q5" s="17">
        <v>1080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1080</v>
      </c>
    </row>
    <row r="6" spans="1:27">
      <c r="A6" t="s">
        <v>102</v>
      </c>
      <c r="B6" t="s">
        <v>50</v>
      </c>
      <c r="C6" t="s">
        <v>81</v>
      </c>
      <c r="D6" t="s">
        <v>83</v>
      </c>
      <c r="E6" s="22">
        <v>46104</v>
      </c>
      <c r="F6" s="22">
        <v>46110</v>
      </c>
      <c r="G6" s="23">
        <v>49.98</v>
      </c>
      <c r="H6" s="23">
        <v>59.98</v>
      </c>
      <c r="I6" s="23">
        <v>10</v>
      </c>
      <c r="J6">
        <v>160</v>
      </c>
      <c r="K6" s="23">
        <v>1600</v>
      </c>
      <c r="L6">
        <v>7</v>
      </c>
      <c r="M6" s="22">
        <v>46082</v>
      </c>
      <c r="N6" s="22">
        <v>46082</v>
      </c>
      <c r="O6" s="17">
        <v>0</v>
      </c>
      <c r="P6" s="17">
        <v>0</v>
      </c>
      <c r="Q6" s="17">
        <v>1600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1600</v>
      </c>
    </row>
    <row r="7" spans="1:27">
      <c r="A7" t="s">
        <v>35</v>
      </c>
      <c r="B7" t="s">
        <v>126</v>
      </c>
      <c r="C7" t="s">
        <v>81</v>
      </c>
      <c r="D7" t="s">
        <v>83</v>
      </c>
      <c r="E7" s="22">
        <v>46104</v>
      </c>
      <c r="F7" s="22">
        <v>46110</v>
      </c>
      <c r="G7" s="23">
        <v>99.98</v>
      </c>
      <c r="H7" s="23">
        <v>119.98</v>
      </c>
      <c r="I7" s="23">
        <v>20</v>
      </c>
      <c r="J7">
        <v>15</v>
      </c>
      <c r="K7" s="23">
        <v>300</v>
      </c>
      <c r="L7">
        <v>7</v>
      </c>
      <c r="M7" s="22">
        <v>46082</v>
      </c>
      <c r="N7" s="22">
        <v>46082</v>
      </c>
      <c r="O7" s="17">
        <v>0</v>
      </c>
      <c r="P7" s="17">
        <v>0</v>
      </c>
      <c r="Q7" s="17">
        <v>300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300</v>
      </c>
    </row>
    <row r="8" spans="1:27">
      <c r="A8" t="s">
        <v>100</v>
      </c>
      <c r="B8" t="s">
        <v>44</v>
      </c>
      <c r="C8" t="s">
        <v>81</v>
      </c>
      <c r="D8" t="s">
        <v>83</v>
      </c>
      <c r="E8" s="22">
        <v>46104</v>
      </c>
      <c r="F8" s="22">
        <v>46110</v>
      </c>
      <c r="G8" s="23">
        <v>84.98</v>
      </c>
      <c r="H8" s="23">
        <v>99.98</v>
      </c>
      <c r="I8" s="23">
        <v>15</v>
      </c>
      <c r="J8">
        <v>20</v>
      </c>
      <c r="K8" s="23">
        <v>300</v>
      </c>
      <c r="L8">
        <v>7</v>
      </c>
      <c r="M8" s="22">
        <v>46082</v>
      </c>
      <c r="N8" s="22">
        <v>46082</v>
      </c>
      <c r="O8" s="17">
        <v>0</v>
      </c>
      <c r="P8" s="17">
        <v>0</v>
      </c>
      <c r="Q8" s="17">
        <v>300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300</v>
      </c>
    </row>
    <row r="9" spans="1:27">
      <c r="A9" t="s">
        <v>43</v>
      </c>
      <c r="B9" t="s">
        <v>44</v>
      </c>
      <c r="C9" t="s">
        <v>81</v>
      </c>
      <c r="D9" t="s">
        <v>83</v>
      </c>
      <c r="E9" s="22">
        <v>46104</v>
      </c>
      <c r="F9" s="22">
        <v>46110</v>
      </c>
      <c r="G9" s="23">
        <v>84.98</v>
      </c>
      <c r="H9" s="23">
        <v>99.98</v>
      </c>
      <c r="I9" s="23">
        <v>15</v>
      </c>
      <c r="J9">
        <v>5</v>
      </c>
      <c r="K9" s="23">
        <v>75</v>
      </c>
      <c r="L9">
        <v>7</v>
      </c>
      <c r="M9" s="22">
        <v>46082</v>
      </c>
      <c r="N9" s="22">
        <v>46082</v>
      </c>
      <c r="O9" s="17">
        <v>0</v>
      </c>
      <c r="P9" s="17">
        <v>0</v>
      </c>
      <c r="Q9" s="17">
        <v>75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75</v>
      </c>
    </row>
    <row r="10" spans="1:27">
      <c r="A10" t="s">
        <v>45</v>
      </c>
      <c r="B10" t="s">
        <v>46</v>
      </c>
      <c r="C10" t="s">
        <v>81</v>
      </c>
      <c r="D10" t="s">
        <v>83</v>
      </c>
      <c r="E10" s="22">
        <v>46104</v>
      </c>
      <c r="F10" s="22">
        <v>46110</v>
      </c>
      <c r="G10" s="23">
        <v>124.98</v>
      </c>
      <c r="H10" s="23">
        <v>149.97999999999999</v>
      </c>
      <c r="I10" s="23">
        <v>25</v>
      </c>
      <c r="J10">
        <v>15</v>
      </c>
      <c r="K10" s="23">
        <v>375</v>
      </c>
      <c r="L10">
        <v>7</v>
      </c>
      <c r="M10" s="22">
        <v>46082</v>
      </c>
      <c r="N10" s="22">
        <v>46082</v>
      </c>
      <c r="O10" s="17">
        <v>0</v>
      </c>
      <c r="P10" s="17">
        <v>0</v>
      </c>
      <c r="Q10" s="17">
        <v>375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375</v>
      </c>
    </row>
    <row r="11" spans="1:27">
      <c r="A11" t="s">
        <v>97</v>
      </c>
      <c r="B11" t="s">
        <v>46</v>
      </c>
      <c r="C11" t="s">
        <v>81</v>
      </c>
      <c r="D11" t="s">
        <v>83</v>
      </c>
      <c r="E11" s="22">
        <v>46104</v>
      </c>
      <c r="F11" s="22">
        <v>46110</v>
      </c>
      <c r="G11" s="23">
        <v>124.98</v>
      </c>
      <c r="H11" s="23">
        <v>149.97999999999999</v>
      </c>
      <c r="I11" s="23">
        <v>25</v>
      </c>
      <c r="J11">
        <v>5</v>
      </c>
      <c r="K11" s="23">
        <v>125</v>
      </c>
      <c r="L11">
        <v>7</v>
      </c>
      <c r="M11" s="22">
        <v>46082</v>
      </c>
      <c r="N11" s="22">
        <v>46082</v>
      </c>
      <c r="O11" s="17">
        <v>0</v>
      </c>
      <c r="P11" s="17">
        <v>0</v>
      </c>
      <c r="Q11" s="17">
        <v>125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125</v>
      </c>
    </row>
    <row r="12" spans="1:27">
      <c r="A12" t="s">
        <v>27</v>
      </c>
      <c r="B12" t="s">
        <v>28</v>
      </c>
      <c r="C12" t="s">
        <v>81</v>
      </c>
      <c r="D12" t="s">
        <v>103</v>
      </c>
      <c r="E12" s="22">
        <v>46125</v>
      </c>
      <c r="F12" s="22">
        <v>46131</v>
      </c>
      <c r="G12" s="23">
        <v>29.98</v>
      </c>
      <c r="H12" s="23">
        <v>35.979999999999997</v>
      </c>
      <c r="I12" s="23">
        <v>6</v>
      </c>
      <c r="J12">
        <v>180</v>
      </c>
      <c r="K12" s="23">
        <v>1080</v>
      </c>
      <c r="L12">
        <v>7</v>
      </c>
      <c r="M12" s="22">
        <v>46113</v>
      </c>
      <c r="N12" s="22">
        <v>46113</v>
      </c>
      <c r="O12" s="17">
        <v>0</v>
      </c>
      <c r="P12" s="17">
        <v>0</v>
      </c>
      <c r="Q12" s="17">
        <v>0</v>
      </c>
      <c r="R12" s="17">
        <v>1080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1080</v>
      </c>
    </row>
    <row r="13" spans="1:27">
      <c r="A13" t="s">
        <v>27</v>
      </c>
      <c r="B13" t="s">
        <v>28</v>
      </c>
      <c r="C13" t="s">
        <v>81</v>
      </c>
      <c r="D13" t="s">
        <v>103</v>
      </c>
      <c r="E13" s="22">
        <v>46125</v>
      </c>
      <c r="F13" s="22">
        <v>46131</v>
      </c>
      <c r="G13" s="23">
        <v>29.98</v>
      </c>
      <c r="H13" s="23">
        <v>35.979999999999997</v>
      </c>
      <c r="I13" s="23">
        <v>6</v>
      </c>
      <c r="J13">
        <v>180</v>
      </c>
      <c r="K13" s="23">
        <v>1080</v>
      </c>
      <c r="L13">
        <v>7</v>
      </c>
      <c r="M13" s="22">
        <v>46113</v>
      </c>
      <c r="N13" s="22">
        <v>46113</v>
      </c>
      <c r="O13" s="17">
        <v>0</v>
      </c>
      <c r="P13" s="17">
        <v>0</v>
      </c>
      <c r="Q13" s="17">
        <v>0</v>
      </c>
      <c r="R13" s="17">
        <v>1080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1080</v>
      </c>
    </row>
    <row r="14" spans="1:27">
      <c r="A14" t="s">
        <v>87</v>
      </c>
      <c r="B14" t="s">
        <v>88</v>
      </c>
      <c r="C14" t="s">
        <v>81</v>
      </c>
      <c r="D14" t="s">
        <v>103</v>
      </c>
      <c r="E14" s="22">
        <v>46125</v>
      </c>
      <c r="F14" s="22">
        <v>46131</v>
      </c>
      <c r="G14" s="23">
        <v>55.98</v>
      </c>
      <c r="H14" s="23">
        <v>65.98</v>
      </c>
      <c r="I14" s="23">
        <v>10</v>
      </c>
      <c r="J14">
        <v>30</v>
      </c>
      <c r="K14" s="23">
        <v>300</v>
      </c>
      <c r="L14">
        <v>7</v>
      </c>
      <c r="M14" s="22">
        <v>46113</v>
      </c>
      <c r="N14" s="22">
        <v>46113</v>
      </c>
      <c r="O14" s="17">
        <v>0</v>
      </c>
      <c r="P14" s="17">
        <v>0</v>
      </c>
      <c r="Q14" s="17">
        <v>0</v>
      </c>
      <c r="R14" s="17">
        <v>300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300</v>
      </c>
    </row>
    <row r="15" spans="1:27">
      <c r="A15" t="s">
        <v>104</v>
      </c>
      <c r="B15" t="s">
        <v>127</v>
      </c>
      <c r="C15" t="s">
        <v>81</v>
      </c>
      <c r="D15" t="s">
        <v>103</v>
      </c>
      <c r="E15" s="22">
        <v>46125</v>
      </c>
      <c r="F15" s="22">
        <v>46131</v>
      </c>
      <c r="G15" s="23">
        <v>59.98</v>
      </c>
      <c r="H15" s="23">
        <v>69.98</v>
      </c>
      <c r="I15" s="23">
        <v>10</v>
      </c>
      <c r="J15">
        <v>90</v>
      </c>
      <c r="K15" s="23">
        <v>900</v>
      </c>
      <c r="L15">
        <v>7</v>
      </c>
      <c r="M15" s="22">
        <v>46113</v>
      </c>
      <c r="N15" s="22">
        <v>46113</v>
      </c>
      <c r="O15" s="17">
        <v>0</v>
      </c>
      <c r="P15" s="17">
        <v>0</v>
      </c>
      <c r="Q15" s="17">
        <v>0</v>
      </c>
      <c r="R15" s="17">
        <v>900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900</v>
      </c>
    </row>
    <row r="16" spans="1:27">
      <c r="A16" t="s">
        <v>105</v>
      </c>
      <c r="B16" t="s">
        <v>106</v>
      </c>
      <c r="C16" t="s">
        <v>81</v>
      </c>
      <c r="D16" t="s">
        <v>103</v>
      </c>
      <c r="E16" s="22">
        <v>46125</v>
      </c>
      <c r="F16" s="22">
        <v>46131</v>
      </c>
      <c r="G16" s="23">
        <v>69.98</v>
      </c>
      <c r="H16" s="23">
        <v>79.98</v>
      </c>
      <c r="I16" s="23">
        <v>10</v>
      </c>
      <c r="J16">
        <v>75</v>
      </c>
      <c r="K16" s="23">
        <v>750</v>
      </c>
      <c r="L16">
        <v>7</v>
      </c>
      <c r="M16" s="22">
        <v>46113</v>
      </c>
      <c r="N16" s="22">
        <v>46113</v>
      </c>
      <c r="O16" s="17">
        <v>0</v>
      </c>
      <c r="P16" s="17">
        <v>0</v>
      </c>
      <c r="Q16" s="17">
        <v>0</v>
      </c>
      <c r="R16" s="17">
        <v>750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750</v>
      </c>
    </row>
    <row r="17" spans="1:27">
      <c r="A17" t="s">
        <v>100</v>
      </c>
      <c r="B17" t="s">
        <v>44</v>
      </c>
      <c r="C17" t="s">
        <v>81</v>
      </c>
      <c r="D17" t="s">
        <v>103</v>
      </c>
      <c r="E17" s="22">
        <v>46125</v>
      </c>
      <c r="F17" s="22">
        <v>46131</v>
      </c>
      <c r="G17" s="23">
        <v>84.98</v>
      </c>
      <c r="H17" s="23">
        <v>99.98</v>
      </c>
      <c r="I17" s="23">
        <v>15</v>
      </c>
      <c r="J17">
        <v>5</v>
      </c>
      <c r="K17" s="23">
        <v>75</v>
      </c>
      <c r="L17">
        <v>7</v>
      </c>
      <c r="M17" s="22">
        <v>46113</v>
      </c>
      <c r="N17" s="22">
        <v>46113</v>
      </c>
      <c r="O17" s="17">
        <v>0</v>
      </c>
      <c r="P17" s="17">
        <v>0</v>
      </c>
      <c r="Q17" s="17">
        <v>0</v>
      </c>
      <c r="R17" s="17">
        <v>75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75</v>
      </c>
    </row>
    <row r="18" spans="1:27">
      <c r="A18" t="s">
        <v>43</v>
      </c>
      <c r="B18" t="s">
        <v>44</v>
      </c>
      <c r="C18" t="s">
        <v>81</v>
      </c>
      <c r="D18" t="s">
        <v>103</v>
      </c>
      <c r="E18" s="22">
        <v>46125</v>
      </c>
      <c r="F18" s="22">
        <v>46131</v>
      </c>
      <c r="G18" s="23">
        <v>84.98</v>
      </c>
      <c r="H18" s="23">
        <v>99.98</v>
      </c>
      <c r="I18" s="23">
        <v>15</v>
      </c>
      <c r="J18">
        <v>20</v>
      </c>
      <c r="K18" s="23">
        <v>300</v>
      </c>
      <c r="L18">
        <v>7</v>
      </c>
      <c r="M18" s="22">
        <v>46113</v>
      </c>
      <c r="N18" s="22">
        <v>46113</v>
      </c>
      <c r="O18" s="17">
        <v>0</v>
      </c>
      <c r="P18" s="17">
        <v>0</v>
      </c>
      <c r="Q18" s="17">
        <v>0</v>
      </c>
      <c r="R18" s="17">
        <v>300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300</v>
      </c>
    </row>
    <row r="19" spans="1:27">
      <c r="A19" t="s">
        <v>45</v>
      </c>
      <c r="B19" t="s">
        <v>46</v>
      </c>
      <c r="C19" t="s">
        <v>81</v>
      </c>
      <c r="D19" t="s">
        <v>103</v>
      </c>
      <c r="E19" s="22">
        <v>46125</v>
      </c>
      <c r="F19" s="22">
        <v>46131</v>
      </c>
      <c r="G19" s="23">
        <v>124.98</v>
      </c>
      <c r="H19" s="23">
        <v>149.97999999999999</v>
      </c>
      <c r="I19" s="23">
        <v>25</v>
      </c>
      <c r="J19">
        <v>15</v>
      </c>
      <c r="K19" s="23">
        <v>375</v>
      </c>
      <c r="L19">
        <v>7</v>
      </c>
      <c r="M19" s="22">
        <v>46113</v>
      </c>
      <c r="N19" s="22">
        <v>46113</v>
      </c>
      <c r="O19" s="17">
        <v>0</v>
      </c>
      <c r="P19" s="17">
        <v>0</v>
      </c>
      <c r="Q19" s="17">
        <v>0</v>
      </c>
      <c r="R19" s="17">
        <v>375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375</v>
      </c>
    </row>
    <row r="20" spans="1:27">
      <c r="A20" t="s">
        <v>97</v>
      </c>
      <c r="B20" t="s">
        <v>46</v>
      </c>
      <c r="C20" t="s">
        <v>81</v>
      </c>
      <c r="D20" t="s">
        <v>103</v>
      </c>
      <c r="E20" s="22">
        <v>46125</v>
      </c>
      <c r="F20" s="22">
        <v>46131</v>
      </c>
      <c r="G20" s="23">
        <v>124.98</v>
      </c>
      <c r="H20" s="23">
        <v>149.97999999999999</v>
      </c>
      <c r="I20" s="23">
        <v>25</v>
      </c>
      <c r="J20">
        <v>15</v>
      </c>
      <c r="K20" s="23">
        <v>375</v>
      </c>
      <c r="L20">
        <v>7</v>
      </c>
      <c r="M20" s="22">
        <v>46113</v>
      </c>
      <c r="N20" s="22">
        <v>46113</v>
      </c>
      <c r="O20" s="17">
        <v>0</v>
      </c>
      <c r="P20" s="17">
        <v>0</v>
      </c>
      <c r="Q20" s="17">
        <v>0</v>
      </c>
      <c r="R20" s="17">
        <v>375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375</v>
      </c>
    </row>
    <row r="21" spans="1:27">
      <c r="A21" t="s">
        <v>102</v>
      </c>
      <c r="B21" t="s">
        <v>50</v>
      </c>
      <c r="C21" t="s">
        <v>81</v>
      </c>
      <c r="D21" t="s">
        <v>103</v>
      </c>
      <c r="E21" s="22">
        <v>46125</v>
      </c>
      <c r="F21" s="22">
        <v>46131</v>
      </c>
      <c r="G21" s="23">
        <v>49.98</v>
      </c>
      <c r="H21" s="23">
        <v>59.98</v>
      </c>
      <c r="I21" s="23">
        <v>10</v>
      </c>
      <c r="J21">
        <v>160</v>
      </c>
      <c r="K21" s="23">
        <v>1600</v>
      </c>
      <c r="L21">
        <v>7</v>
      </c>
      <c r="M21" s="22">
        <v>46113</v>
      </c>
      <c r="N21" s="22">
        <v>46113</v>
      </c>
      <c r="O21" s="17">
        <v>0</v>
      </c>
      <c r="P21" s="17">
        <v>0</v>
      </c>
      <c r="Q21" s="17">
        <v>0</v>
      </c>
      <c r="R21" s="17">
        <v>1600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1600</v>
      </c>
    </row>
    <row r="22" spans="1:27">
      <c r="A22" t="s">
        <v>104</v>
      </c>
      <c r="B22" t="s">
        <v>127</v>
      </c>
      <c r="C22" t="s">
        <v>81</v>
      </c>
      <c r="D22" t="s">
        <v>111</v>
      </c>
      <c r="E22" s="22">
        <v>46160</v>
      </c>
      <c r="F22" s="22">
        <v>46167</v>
      </c>
      <c r="G22" s="23">
        <v>59.98</v>
      </c>
      <c r="H22" s="23">
        <v>69.98</v>
      </c>
      <c r="I22" s="23">
        <v>10</v>
      </c>
      <c r="J22">
        <v>90</v>
      </c>
      <c r="K22" s="23">
        <v>900</v>
      </c>
      <c r="L22">
        <v>8</v>
      </c>
      <c r="M22" s="22">
        <v>46143</v>
      </c>
      <c r="N22" s="22">
        <v>46143</v>
      </c>
      <c r="O22" s="17">
        <v>0</v>
      </c>
      <c r="P22" s="17">
        <v>0</v>
      </c>
      <c r="Q22" s="17">
        <v>0</v>
      </c>
      <c r="R22" s="17">
        <v>0</v>
      </c>
      <c r="S22" s="17">
        <v>900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900</v>
      </c>
    </row>
    <row r="23" spans="1:27">
      <c r="A23" t="s">
        <v>45</v>
      </c>
      <c r="B23" t="s">
        <v>46</v>
      </c>
      <c r="C23" t="s">
        <v>81</v>
      </c>
      <c r="D23" t="s">
        <v>111</v>
      </c>
      <c r="E23" s="22">
        <v>46160</v>
      </c>
      <c r="F23" s="22">
        <v>46167</v>
      </c>
      <c r="G23" s="23">
        <v>124.98</v>
      </c>
      <c r="H23" s="23">
        <v>149.97999999999999</v>
      </c>
      <c r="I23" s="23">
        <v>25</v>
      </c>
      <c r="J23">
        <v>15</v>
      </c>
      <c r="K23" s="23">
        <v>375</v>
      </c>
      <c r="L23">
        <v>8</v>
      </c>
      <c r="M23" s="22">
        <v>46143</v>
      </c>
      <c r="N23" s="22">
        <v>46143</v>
      </c>
      <c r="O23" s="17">
        <v>0</v>
      </c>
      <c r="P23" s="17">
        <v>0</v>
      </c>
      <c r="Q23" s="17">
        <v>0</v>
      </c>
      <c r="R23" s="17">
        <v>0</v>
      </c>
      <c r="S23" s="17">
        <v>375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375</v>
      </c>
    </row>
    <row r="24" spans="1:27">
      <c r="A24" t="s">
        <v>97</v>
      </c>
      <c r="B24" t="s">
        <v>46</v>
      </c>
      <c r="C24" t="s">
        <v>81</v>
      </c>
      <c r="D24" t="s">
        <v>111</v>
      </c>
      <c r="E24" s="22">
        <v>46160</v>
      </c>
      <c r="F24" s="22">
        <v>46167</v>
      </c>
      <c r="G24" s="23">
        <v>124.98</v>
      </c>
      <c r="H24" s="23">
        <v>149.97999999999999</v>
      </c>
      <c r="I24" s="23">
        <v>25</v>
      </c>
      <c r="J24">
        <v>15</v>
      </c>
      <c r="K24" s="23">
        <v>375</v>
      </c>
      <c r="L24">
        <v>8</v>
      </c>
      <c r="M24" s="22">
        <v>46143</v>
      </c>
      <c r="N24" s="22">
        <v>46143</v>
      </c>
      <c r="O24" s="17">
        <v>0</v>
      </c>
      <c r="P24" s="17">
        <v>0</v>
      </c>
      <c r="Q24" s="17">
        <v>0</v>
      </c>
      <c r="R24" s="17">
        <v>0</v>
      </c>
      <c r="S24" s="17">
        <v>375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375</v>
      </c>
    </row>
    <row r="25" spans="1:27">
      <c r="A25" t="s">
        <v>105</v>
      </c>
      <c r="B25" t="s">
        <v>106</v>
      </c>
      <c r="C25" t="s">
        <v>81</v>
      </c>
      <c r="D25" t="s">
        <v>111</v>
      </c>
      <c r="E25" s="22">
        <v>46160</v>
      </c>
      <c r="F25" s="22">
        <v>46167</v>
      </c>
      <c r="G25" s="23">
        <v>67.98</v>
      </c>
      <c r="H25" s="23">
        <v>79.98</v>
      </c>
      <c r="I25" s="23">
        <v>12</v>
      </c>
      <c r="J25">
        <v>75</v>
      </c>
      <c r="K25" s="23">
        <v>900</v>
      </c>
      <c r="L25">
        <v>8</v>
      </c>
      <c r="M25" s="22">
        <v>46143</v>
      </c>
      <c r="N25" s="22">
        <v>46143</v>
      </c>
      <c r="O25" s="17">
        <v>0</v>
      </c>
      <c r="P25" s="17">
        <v>0</v>
      </c>
      <c r="Q25" s="17">
        <v>0</v>
      </c>
      <c r="R25" s="17">
        <v>0</v>
      </c>
      <c r="S25" s="17">
        <v>900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900</v>
      </c>
    </row>
    <row r="26" spans="1:27">
      <c r="A26" t="s">
        <v>87</v>
      </c>
      <c r="B26" t="s">
        <v>88</v>
      </c>
      <c r="C26" t="s">
        <v>81</v>
      </c>
      <c r="D26" t="s">
        <v>111</v>
      </c>
      <c r="E26" s="22">
        <v>46160</v>
      </c>
      <c r="F26" s="22">
        <v>46167</v>
      </c>
      <c r="G26" s="23">
        <v>55.98</v>
      </c>
      <c r="H26" s="23">
        <v>65.98</v>
      </c>
      <c r="I26" s="23">
        <v>10</v>
      </c>
      <c r="J26">
        <v>30</v>
      </c>
      <c r="K26" s="23">
        <v>300</v>
      </c>
      <c r="L26">
        <v>8</v>
      </c>
      <c r="M26" s="22">
        <v>46143</v>
      </c>
      <c r="N26" s="22">
        <v>46143</v>
      </c>
      <c r="O26" s="17">
        <v>0</v>
      </c>
      <c r="P26" s="17">
        <v>0</v>
      </c>
      <c r="Q26" s="17">
        <v>0</v>
      </c>
      <c r="R26" s="17">
        <v>0</v>
      </c>
      <c r="S26" s="17">
        <v>300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300</v>
      </c>
    </row>
    <row r="27" spans="1:27">
      <c r="A27" t="s">
        <v>100</v>
      </c>
      <c r="B27" t="s">
        <v>44</v>
      </c>
      <c r="C27" t="s">
        <v>81</v>
      </c>
      <c r="D27" t="s">
        <v>111</v>
      </c>
      <c r="E27" s="22">
        <v>46160</v>
      </c>
      <c r="F27" s="22">
        <v>46167</v>
      </c>
      <c r="G27" s="23">
        <v>84.98</v>
      </c>
      <c r="H27" s="23">
        <v>99.98</v>
      </c>
      <c r="I27" s="23">
        <v>15</v>
      </c>
      <c r="J27">
        <v>5</v>
      </c>
      <c r="K27" s="23">
        <v>75</v>
      </c>
      <c r="L27">
        <v>8</v>
      </c>
      <c r="M27" s="22">
        <v>46143</v>
      </c>
      <c r="N27" s="22">
        <v>46143</v>
      </c>
      <c r="O27" s="17">
        <v>0</v>
      </c>
      <c r="P27" s="17">
        <v>0</v>
      </c>
      <c r="Q27" s="17">
        <v>0</v>
      </c>
      <c r="R27" s="17">
        <v>0</v>
      </c>
      <c r="S27" s="17">
        <v>75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75</v>
      </c>
    </row>
    <row r="28" spans="1:27">
      <c r="A28" t="s">
        <v>43</v>
      </c>
      <c r="B28" t="s">
        <v>44</v>
      </c>
      <c r="C28" t="s">
        <v>81</v>
      </c>
      <c r="D28" t="s">
        <v>111</v>
      </c>
      <c r="E28" s="22">
        <v>46160</v>
      </c>
      <c r="F28" s="22">
        <v>46167</v>
      </c>
      <c r="G28" s="23">
        <v>84.98</v>
      </c>
      <c r="H28" s="23">
        <v>99.98</v>
      </c>
      <c r="I28" s="23">
        <v>15</v>
      </c>
      <c r="J28">
        <v>20</v>
      </c>
      <c r="K28" s="23">
        <v>300</v>
      </c>
      <c r="L28">
        <v>8</v>
      </c>
      <c r="M28" s="22">
        <v>46143</v>
      </c>
      <c r="N28" s="22">
        <v>46143</v>
      </c>
      <c r="O28" s="17">
        <v>0</v>
      </c>
      <c r="P28" s="17">
        <v>0</v>
      </c>
      <c r="Q28" s="17">
        <v>0</v>
      </c>
      <c r="R28" s="17">
        <v>0</v>
      </c>
      <c r="S28" s="17">
        <v>300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300</v>
      </c>
    </row>
    <row r="29" spans="1:27">
      <c r="A29" t="s">
        <v>47</v>
      </c>
      <c r="B29" t="s">
        <v>123</v>
      </c>
      <c r="C29" t="s">
        <v>81</v>
      </c>
      <c r="D29" t="s">
        <v>111</v>
      </c>
      <c r="E29" s="22">
        <v>46160</v>
      </c>
      <c r="F29" s="22">
        <v>46167</v>
      </c>
      <c r="G29" s="23">
        <v>41.98</v>
      </c>
      <c r="H29" s="23">
        <v>49.98</v>
      </c>
      <c r="I29" s="23">
        <v>8</v>
      </c>
      <c r="J29">
        <v>60</v>
      </c>
      <c r="K29" s="23">
        <v>480</v>
      </c>
      <c r="L29">
        <v>8</v>
      </c>
      <c r="M29" s="22">
        <v>46143</v>
      </c>
      <c r="N29" s="22">
        <v>46143</v>
      </c>
      <c r="O29" s="17">
        <v>0</v>
      </c>
      <c r="P29" s="17">
        <v>0</v>
      </c>
      <c r="Q29" s="17">
        <v>0</v>
      </c>
      <c r="R29" s="17">
        <v>0</v>
      </c>
      <c r="S29" s="17">
        <v>480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480</v>
      </c>
    </row>
    <row r="30" spans="1:27">
      <c r="A30" t="s">
        <v>27</v>
      </c>
      <c r="B30" t="s">
        <v>28</v>
      </c>
      <c r="C30" t="s">
        <v>81</v>
      </c>
      <c r="D30" t="s">
        <v>114</v>
      </c>
      <c r="E30" s="22">
        <v>46188</v>
      </c>
      <c r="F30" s="22">
        <v>46194</v>
      </c>
      <c r="G30" s="23">
        <v>29.98</v>
      </c>
      <c r="H30" s="23">
        <v>35.979999999999997</v>
      </c>
      <c r="I30" s="23">
        <v>6</v>
      </c>
      <c r="J30">
        <v>180</v>
      </c>
      <c r="K30" s="23">
        <v>1080</v>
      </c>
      <c r="L30">
        <v>7</v>
      </c>
      <c r="M30" s="22">
        <v>46174</v>
      </c>
      <c r="N30" s="22">
        <v>46174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1080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1080</v>
      </c>
    </row>
    <row r="31" spans="1:27">
      <c r="A31" t="s">
        <v>27</v>
      </c>
      <c r="B31" t="s">
        <v>28</v>
      </c>
      <c r="C31" t="s">
        <v>81</v>
      </c>
      <c r="D31" t="s">
        <v>114</v>
      </c>
      <c r="E31" s="22">
        <v>46188</v>
      </c>
      <c r="F31" s="22">
        <v>46194</v>
      </c>
      <c r="G31" s="23">
        <v>29.98</v>
      </c>
      <c r="H31" s="23">
        <v>35.979999999999997</v>
      </c>
      <c r="I31" s="23">
        <v>6</v>
      </c>
      <c r="J31">
        <v>180</v>
      </c>
      <c r="K31" s="23">
        <v>1080</v>
      </c>
      <c r="L31">
        <v>7</v>
      </c>
      <c r="M31" s="22">
        <v>46174</v>
      </c>
      <c r="N31" s="22">
        <v>46174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1080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1080</v>
      </c>
    </row>
    <row r="32" spans="1:27">
      <c r="A32" t="s">
        <v>45</v>
      </c>
      <c r="B32" t="s">
        <v>46</v>
      </c>
      <c r="C32" t="s">
        <v>81</v>
      </c>
      <c r="D32" t="s">
        <v>114</v>
      </c>
      <c r="E32" s="22">
        <v>46188</v>
      </c>
      <c r="F32" s="22">
        <v>46194</v>
      </c>
      <c r="G32" s="23">
        <v>124.98</v>
      </c>
      <c r="H32" s="23">
        <v>149.97999999999999</v>
      </c>
      <c r="I32" s="23">
        <v>25</v>
      </c>
      <c r="J32">
        <v>15</v>
      </c>
      <c r="K32" s="23">
        <v>375</v>
      </c>
      <c r="L32">
        <v>7</v>
      </c>
      <c r="M32" s="22">
        <v>46174</v>
      </c>
      <c r="N32" s="22">
        <v>46174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375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375</v>
      </c>
    </row>
    <row r="33" spans="1:27">
      <c r="A33" t="s">
        <v>87</v>
      </c>
      <c r="B33" t="s">
        <v>88</v>
      </c>
      <c r="C33" t="s">
        <v>81</v>
      </c>
      <c r="D33" t="s">
        <v>114</v>
      </c>
      <c r="E33" s="22">
        <v>46188</v>
      </c>
      <c r="F33" s="22">
        <v>46194</v>
      </c>
      <c r="G33" s="23">
        <v>55.98</v>
      </c>
      <c r="H33" s="23">
        <v>65.98</v>
      </c>
      <c r="I33" s="23">
        <v>10</v>
      </c>
      <c r="J33">
        <v>30</v>
      </c>
      <c r="K33" s="23">
        <v>300</v>
      </c>
      <c r="L33">
        <v>7</v>
      </c>
      <c r="M33" s="22">
        <v>46174</v>
      </c>
      <c r="N33" s="22">
        <v>46174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300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300</v>
      </c>
    </row>
    <row r="34" spans="1:27">
      <c r="A34" t="s">
        <v>35</v>
      </c>
      <c r="B34" t="s">
        <v>126</v>
      </c>
      <c r="C34" t="s">
        <v>81</v>
      </c>
      <c r="D34" t="s">
        <v>114</v>
      </c>
      <c r="E34" s="22">
        <v>46188</v>
      </c>
      <c r="F34" s="22">
        <v>46194</v>
      </c>
      <c r="G34" s="23">
        <v>99.98</v>
      </c>
      <c r="H34" s="23">
        <v>119.98</v>
      </c>
      <c r="I34" s="23">
        <v>20</v>
      </c>
      <c r="J34">
        <v>15</v>
      </c>
      <c r="K34" s="23">
        <v>300</v>
      </c>
      <c r="L34">
        <v>7</v>
      </c>
      <c r="M34" s="22">
        <v>46174</v>
      </c>
      <c r="N34" s="22">
        <v>46174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300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300</v>
      </c>
    </row>
    <row r="35" spans="1:27">
      <c r="A35" t="s">
        <v>97</v>
      </c>
      <c r="B35" t="s">
        <v>46</v>
      </c>
      <c r="C35" t="s">
        <v>81</v>
      </c>
      <c r="D35" t="s">
        <v>114</v>
      </c>
      <c r="E35" s="22">
        <v>46188</v>
      </c>
      <c r="F35" s="22">
        <v>46194</v>
      </c>
      <c r="G35" s="23">
        <v>124.98</v>
      </c>
      <c r="H35" s="23">
        <v>149.97999999999999</v>
      </c>
      <c r="I35" s="23">
        <v>25</v>
      </c>
      <c r="J35">
        <v>15</v>
      </c>
      <c r="K35" s="23">
        <v>375</v>
      </c>
      <c r="L35">
        <v>7</v>
      </c>
      <c r="M35" s="22">
        <v>46174</v>
      </c>
      <c r="N35" s="22">
        <v>46174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375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375</v>
      </c>
    </row>
    <row r="36" spans="1:27">
      <c r="A36" t="s">
        <v>100</v>
      </c>
      <c r="B36" t="s">
        <v>44</v>
      </c>
      <c r="C36" t="s">
        <v>81</v>
      </c>
      <c r="D36" t="s">
        <v>114</v>
      </c>
      <c r="E36" s="22">
        <v>46188</v>
      </c>
      <c r="F36" s="22">
        <v>46194</v>
      </c>
      <c r="G36" s="23">
        <v>84.98</v>
      </c>
      <c r="H36" s="23">
        <v>99.98</v>
      </c>
      <c r="I36" s="23">
        <v>15</v>
      </c>
      <c r="J36">
        <v>5</v>
      </c>
      <c r="K36" s="23">
        <v>75</v>
      </c>
      <c r="L36">
        <v>7</v>
      </c>
      <c r="M36" s="22">
        <v>46174</v>
      </c>
      <c r="N36" s="22">
        <v>46174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75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75</v>
      </c>
    </row>
    <row r="37" spans="1:27">
      <c r="A37" t="s">
        <v>43</v>
      </c>
      <c r="B37" t="s">
        <v>44</v>
      </c>
      <c r="C37" t="s">
        <v>81</v>
      </c>
      <c r="D37" t="s">
        <v>114</v>
      </c>
      <c r="E37" s="22">
        <v>46188</v>
      </c>
      <c r="F37" s="22">
        <v>46194</v>
      </c>
      <c r="G37" s="23">
        <v>84.98</v>
      </c>
      <c r="H37" s="23">
        <v>99.98</v>
      </c>
      <c r="I37" s="23">
        <v>15</v>
      </c>
      <c r="J37">
        <v>20</v>
      </c>
      <c r="K37" s="23">
        <v>300</v>
      </c>
      <c r="L37">
        <v>7</v>
      </c>
      <c r="M37" s="22">
        <v>46174</v>
      </c>
      <c r="N37" s="22">
        <v>46174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300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300</v>
      </c>
    </row>
    <row r="38" spans="1:27">
      <c r="A38" t="s">
        <v>128</v>
      </c>
      <c r="B38" t="s">
        <v>50</v>
      </c>
      <c r="C38" t="s">
        <v>81</v>
      </c>
      <c r="D38" t="s">
        <v>114</v>
      </c>
      <c r="E38" s="22">
        <v>46188</v>
      </c>
      <c r="F38" s="22">
        <v>46194</v>
      </c>
      <c r="G38" s="23">
        <v>49.98</v>
      </c>
      <c r="H38" s="23">
        <v>59.98</v>
      </c>
      <c r="I38" s="23">
        <v>10</v>
      </c>
      <c r="J38">
        <v>120</v>
      </c>
      <c r="K38" s="23">
        <v>1200</v>
      </c>
      <c r="L38">
        <v>7</v>
      </c>
      <c r="M38" s="22">
        <v>46174</v>
      </c>
      <c r="N38" s="22">
        <v>46174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1200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1200</v>
      </c>
    </row>
    <row r="39" spans="1:27">
      <c r="A39" t="s">
        <v>27</v>
      </c>
      <c r="B39" t="s">
        <v>28</v>
      </c>
      <c r="C39" t="s">
        <v>81</v>
      </c>
      <c r="D39" t="s">
        <v>118</v>
      </c>
      <c r="E39" s="22">
        <v>46202</v>
      </c>
      <c r="F39" s="22">
        <v>46211</v>
      </c>
      <c r="G39" s="23">
        <v>29.98</v>
      </c>
      <c r="H39" s="23">
        <v>35.979999999999997</v>
      </c>
      <c r="I39" s="23">
        <v>6</v>
      </c>
      <c r="J39">
        <v>240</v>
      </c>
      <c r="K39" s="23">
        <v>1440</v>
      </c>
      <c r="L39">
        <v>10</v>
      </c>
      <c r="M39" s="22">
        <v>46174</v>
      </c>
      <c r="N39" s="22">
        <v>46204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288</v>
      </c>
      <c r="U39" s="17">
        <v>1152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1440</v>
      </c>
    </row>
    <row r="40" spans="1:27">
      <c r="A40" t="s">
        <v>27</v>
      </c>
      <c r="B40" t="s">
        <v>28</v>
      </c>
      <c r="C40" t="s">
        <v>81</v>
      </c>
      <c r="D40" t="s">
        <v>118</v>
      </c>
      <c r="E40" s="22">
        <v>46202</v>
      </c>
      <c r="F40" s="22">
        <v>46211</v>
      </c>
      <c r="G40" s="23">
        <v>29.98</v>
      </c>
      <c r="H40" s="23">
        <v>35.979999999999997</v>
      </c>
      <c r="I40" s="23">
        <v>6</v>
      </c>
      <c r="J40">
        <v>240</v>
      </c>
      <c r="K40" s="23">
        <v>1440</v>
      </c>
      <c r="L40">
        <v>10</v>
      </c>
      <c r="M40" s="22">
        <v>46174</v>
      </c>
      <c r="N40" s="22">
        <v>46204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288</v>
      </c>
      <c r="U40" s="17">
        <v>1152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1440</v>
      </c>
    </row>
    <row r="41" spans="1:27">
      <c r="A41" t="s">
        <v>45</v>
      </c>
      <c r="B41" t="s">
        <v>46</v>
      </c>
      <c r="C41" t="s">
        <v>81</v>
      </c>
      <c r="D41" t="s">
        <v>118</v>
      </c>
      <c r="E41" s="22">
        <v>46202</v>
      </c>
      <c r="F41" s="22">
        <v>46211</v>
      </c>
      <c r="G41" s="23">
        <v>119.98</v>
      </c>
      <c r="H41" s="23">
        <v>149.97999999999999</v>
      </c>
      <c r="I41" s="23">
        <v>30</v>
      </c>
      <c r="J41">
        <v>15</v>
      </c>
      <c r="K41" s="23">
        <v>450</v>
      </c>
      <c r="L41">
        <v>10</v>
      </c>
      <c r="M41" s="22">
        <v>46174</v>
      </c>
      <c r="N41" s="22">
        <v>46204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90</v>
      </c>
      <c r="U41" s="17">
        <v>360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450</v>
      </c>
    </row>
    <row r="42" spans="1:27">
      <c r="A42" t="s">
        <v>97</v>
      </c>
      <c r="B42" t="s">
        <v>46</v>
      </c>
      <c r="C42" t="s">
        <v>81</v>
      </c>
      <c r="D42" t="s">
        <v>118</v>
      </c>
      <c r="E42" s="22">
        <v>46202</v>
      </c>
      <c r="F42" s="22">
        <v>46211</v>
      </c>
      <c r="G42" s="23">
        <v>119.98</v>
      </c>
      <c r="H42" s="23">
        <v>149.97999999999999</v>
      </c>
      <c r="I42" s="23">
        <v>30</v>
      </c>
      <c r="J42">
        <v>15</v>
      </c>
      <c r="K42" s="23">
        <v>450</v>
      </c>
      <c r="L42">
        <v>10</v>
      </c>
      <c r="M42" s="22">
        <v>46174</v>
      </c>
      <c r="N42" s="22">
        <v>46204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90</v>
      </c>
      <c r="U42" s="17">
        <v>360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450</v>
      </c>
    </row>
    <row r="43" spans="1:27">
      <c r="A43" t="s">
        <v>100</v>
      </c>
      <c r="B43" t="s">
        <v>44</v>
      </c>
      <c r="C43" t="s">
        <v>81</v>
      </c>
      <c r="D43" t="s">
        <v>118</v>
      </c>
      <c r="E43" s="22">
        <v>46202</v>
      </c>
      <c r="F43" s="22">
        <v>46211</v>
      </c>
      <c r="G43" s="23">
        <v>79.98</v>
      </c>
      <c r="H43" s="23">
        <v>99.98</v>
      </c>
      <c r="I43" s="23">
        <v>20</v>
      </c>
      <c r="J43">
        <v>5</v>
      </c>
      <c r="K43" s="23">
        <v>100</v>
      </c>
      <c r="L43">
        <v>10</v>
      </c>
      <c r="M43" s="22">
        <v>46174</v>
      </c>
      <c r="N43" s="22">
        <v>46204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20</v>
      </c>
      <c r="U43" s="17">
        <v>80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100</v>
      </c>
    </row>
    <row r="44" spans="1:27">
      <c r="A44" t="s">
        <v>43</v>
      </c>
      <c r="B44" t="s">
        <v>44</v>
      </c>
      <c r="C44" t="s">
        <v>81</v>
      </c>
      <c r="D44" t="s">
        <v>118</v>
      </c>
      <c r="E44" s="22">
        <v>46202</v>
      </c>
      <c r="F44" s="22">
        <v>46211</v>
      </c>
      <c r="G44" s="23">
        <v>79.98</v>
      </c>
      <c r="H44" s="23">
        <v>99.98</v>
      </c>
      <c r="I44" s="23">
        <v>20</v>
      </c>
      <c r="J44">
        <v>20</v>
      </c>
      <c r="K44" s="23">
        <v>400</v>
      </c>
      <c r="L44">
        <v>10</v>
      </c>
      <c r="M44" s="22">
        <v>46174</v>
      </c>
      <c r="N44" s="22">
        <v>46204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80</v>
      </c>
      <c r="U44" s="17">
        <v>320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400</v>
      </c>
    </row>
    <row r="45" spans="1:27">
      <c r="A45" t="s">
        <v>47</v>
      </c>
      <c r="B45" t="s">
        <v>123</v>
      </c>
      <c r="C45" t="s">
        <v>81</v>
      </c>
      <c r="D45" t="s">
        <v>118</v>
      </c>
      <c r="E45" s="22">
        <v>46202</v>
      </c>
      <c r="F45" s="22">
        <v>46211</v>
      </c>
      <c r="G45" s="23">
        <v>41.98</v>
      </c>
      <c r="H45" s="23">
        <v>49.98</v>
      </c>
      <c r="I45" s="23">
        <v>8</v>
      </c>
      <c r="J45">
        <v>60</v>
      </c>
      <c r="K45" s="23">
        <v>480</v>
      </c>
      <c r="L45">
        <v>10</v>
      </c>
      <c r="M45" s="22">
        <v>46174</v>
      </c>
      <c r="N45" s="22">
        <v>46204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96</v>
      </c>
      <c r="U45" s="17">
        <v>384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480</v>
      </c>
    </row>
    <row r="46" spans="1:27">
      <c r="A46" t="s">
        <v>102</v>
      </c>
      <c r="B46" t="s">
        <v>50</v>
      </c>
      <c r="C46" t="s">
        <v>81</v>
      </c>
      <c r="D46" t="s">
        <v>118</v>
      </c>
      <c r="E46" s="22">
        <v>46202</v>
      </c>
      <c r="F46" s="22">
        <v>46211</v>
      </c>
      <c r="G46" s="23">
        <v>49.98</v>
      </c>
      <c r="H46" s="23">
        <v>59.98</v>
      </c>
      <c r="I46" s="23">
        <v>10</v>
      </c>
      <c r="J46">
        <v>120</v>
      </c>
      <c r="K46" s="23">
        <v>1200</v>
      </c>
      <c r="L46">
        <v>10</v>
      </c>
      <c r="M46" s="22">
        <v>46174</v>
      </c>
      <c r="N46" s="22">
        <v>46204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240</v>
      </c>
      <c r="U46" s="17">
        <v>960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1200</v>
      </c>
    </row>
    <row r="47" spans="1:27">
      <c r="A47" t="s">
        <v>105</v>
      </c>
      <c r="B47" t="s">
        <v>106</v>
      </c>
      <c r="C47" t="s">
        <v>81</v>
      </c>
      <c r="D47" t="s">
        <v>118</v>
      </c>
      <c r="E47" s="22">
        <v>46202</v>
      </c>
      <c r="F47" s="22">
        <v>46211</v>
      </c>
      <c r="G47" s="23">
        <v>67.98</v>
      </c>
      <c r="H47" s="23">
        <v>79.98</v>
      </c>
      <c r="I47" s="23">
        <v>12</v>
      </c>
      <c r="J47">
        <v>100</v>
      </c>
      <c r="K47" s="23">
        <v>1200</v>
      </c>
      <c r="L47">
        <v>10</v>
      </c>
      <c r="M47" s="22">
        <v>46174</v>
      </c>
      <c r="N47" s="22">
        <v>46204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240</v>
      </c>
      <c r="U47" s="17">
        <v>960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1200</v>
      </c>
    </row>
    <row r="48" spans="1:27">
      <c r="A48" t="s">
        <v>87</v>
      </c>
      <c r="B48" t="s">
        <v>88</v>
      </c>
      <c r="C48" t="s">
        <v>81</v>
      </c>
      <c r="D48" t="s">
        <v>118</v>
      </c>
      <c r="E48" s="22">
        <v>46202</v>
      </c>
      <c r="F48" s="22">
        <v>46211</v>
      </c>
      <c r="G48" s="23">
        <v>55.98</v>
      </c>
      <c r="H48" s="23">
        <v>65.98</v>
      </c>
      <c r="I48" s="23">
        <v>10</v>
      </c>
      <c r="J48">
        <v>30</v>
      </c>
      <c r="K48" s="23">
        <v>300</v>
      </c>
      <c r="L48">
        <v>10</v>
      </c>
      <c r="M48" s="22">
        <v>46174</v>
      </c>
      <c r="N48" s="22">
        <v>46204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60</v>
      </c>
      <c r="U48" s="17">
        <v>240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300</v>
      </c>
    </row>
    <row r="49" spans="1:27">
      <c r="A49" t="s">
        <v>35</v>
      </c>
      <c r="B49" t="s">
        <v>126</v>
      </c>
      <c r="C49" t="s">
        <v>81</v>
      </c>
      <c r="D49" t="s">
        <v>118</v>
      </c>
      <c r="E49" s="22">
        <v>46202</v>
      </c>
      <c r="F49" s="22">
        <v>46211</v>
      </c>
      <c r="G49" s="23">
        <v>99.98</v>
      </c>
      <c r="H49" s="23">
        <v>119.98</v>
      </c>
      <c r="I49" s="23">
        <v>20</v>
      </c>
      <c r="J49">
        <v>15</v>
      </c>
      <c r="K49" s="23">
        <v>300</v>
      </c>
      <c r="L49">
        <v>10</v>
      </c>
      <c r="M49" s="22">
        <v>46174</v>
      </c>
      <c r="N49" s="22">
        <v>46204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60</v>
      </c>
      <c r="U49" s="17">
        <v>240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300</v>
      </c>
    </row>
    <row r="50" spans="1:27">
      <c r="A50" t="s">
        <v>104</v>
      </c>
      <c r="B50" t="s">
        <v>127</v>
      </c>
      <c r="C50" t="s">
        <v>81</v>
      </c>
      <c r="D50" t="s">
        <v>118</v>
      </c>
      <c r="E50" s="22">
        <v>46202</v>
      </c>
      <c r="F50" s="22">
        <v>46211</v>
      </c>
      <c r="G50" s="23">
        <v>58.98</v>
      </c>
      <c r="H50" s="23">
        <v>69.98</v>
      </c>
      <c r="I50" s="23">
        <v>11</v>
      </c>
      <c r="J50">
        <v>90</v>
      </c>
      <c r="K50" s="23">
        <v>990</v>
      </c>
      <c r="L50">
        <v>10</v>
      </c>
      <c r="M50" s="22">
        <v>46174</v>
      </c>
      <c r="N50" s="22">
        <v>46204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198</v>
      </c>
      <c r="U50" s="17">
        <v>792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990</v>
      </c>
    </row>
    <row r="51" spans="1:27">
      <c r="A51" t="s">
        <v>45</v>
      </c>
      <c r="B51" t="s">
        <v>46</v>
      </c>
      <c r="C51" t="s">
        <v>81</v>
      </c>
      <c r="D51" t="s">
        <v>129</v>
      </c>
      <c r="E51" s="22">
        <v>46229</v>
      </c>
      <c r="F51" s="22">
        <v>46235</v>
      </c>
      <c r="G51" s="23">
        <v>124.98</v>
      </c>
      <c r="H51" s="23">
        <v>149.97999999999999</v>
      </c>
      <c r="I51" s="23">
        <v>25</v>
      </c>
      <c r="J51">
        <v>15</v>
      </c>
      <c r="K51" s="23">
        <v>375</v>
      </c>
      <c r="L51">
        <v>7</v>
      </c>
      <c r="M51" s="22">
        <v>46204</v>
      </c>
      <c r="N51" s="22">
        <v>46235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321.42857142857144</v>
      </c>
      <c r="V51" s="17">
        <v>53.571428571428569</v>
      </c>
      <c r="W51" s="17">
        <v>0</v>
      </c>
      <c r="X51" s="17">
        <v>0</v>
      </c>
      <c r="Y51" s="17">
        <v>0</v>
      </c>
      <c r="Z51" s="17">
        <v>0</v>
      </c>
      <c r="AA51" s="17">
        <v>375</v>
      </c>
    </row>
    <row r="52" spans="1:27">
      <c r="A52" t="s">
        <v>97</v>
      </c>
      <c r="B52" t="s">
        <v>46</v>
      </c>
      <c r="C52" t="s">
        <v>81</v>
      </c>
      <c r="D52" t="s">
        <v>129</v>
      </c>
      <c r="E52" s="22">
        <v>46229</v>
      </c>
      <c r="F52" s="22">
        <v>46235</v>
      </c>
      <c r="G52" s="23">
        <v>124.98</v>
      </c>
      <c r="H52" s="23">
        <v>149.97999999999999</v>
      </c>
      <c r="I52" s="23">
        <v>25</v>
      </c>
      <c r="J52">
        <v>15</v>
      </c>
      <c r="K52" s="23">
        <v>375</v>
      </c>
      <c r="L52">
        <v>7</v>
      </c>
      <c r="M52" s="22">
        <v>46204</v>
      </c>
      <c r="N52" s="22">
        <v>46235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321.42857142857144</v>
      </c>
      <c r="V52" s="17">
        <v>53.571428571428569</v>
      </c>
      <c r="W52" s="17">
        <v>0</v>
      </c>
      <c r="X52" s="17">
        <v>0</v>
      </c>
      <c r="Y52" s="17">
        <v>0</v>
      </c>
      <c r="Z52" s="17">
        <v>0</v>
      </c>
      <c r="AA52" s="17">
        <v>375</v>
      </c>
    </row>
    <row r="53" spans="1:27">
      <c r="A53" t="s">
        <v>100</v>
      </c>
      <c r="B53" t="s">
        <v>44</v>
      </c>
      <c r="C53" t="s">
        <v>81</v>
      </c>
      <c r="D53" t="s">
        <v>129</v>
      </c>
      <c r="E53" s="22">
        <v>46229</v>
      </c>
      <c r="F53" s="22">
        <v>46235</v>
      </c>
      <c r="G53" s="23">
        <v>84.98</v>
      </c>
      <c r="H53" s="23">
        <v>99.98</v>
      </c>
      <c r="I53" s="23">
        <v>15</v>
      </c>
      <c r="J53">
        <v>5</v>
      </c>
      <c r="K53" s="23">
        <v>75</v>
      </c>
      <c r="L53">
        <v>7</v>
      </c>
      <c r="M53" s="22">
        <v>46204</v>
      </c>
      <c r="N53" s="22">
        <v>46235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64.285714285714278</v>
      </c>
      <c r="V53" s="17">
        <v>10.714285714285714</v>
      </c>
      <c r="W53" s="17">
        <v>0</v>
      </c>
      <c r="X53" s="17">
        <v>0</v>
      </c>
      <c r="Y53" s="17">
        <v>0</v>
      </c>
      <c r="Z53" s="17">
        <v>0</v>
      </c>
      <c r="AA53" s="17">
        <v>74.999999999999986</v>
      </c>
    </row>
    <row r="54" spans="1:27">
      <c r="A54" t="s">
        <v>43</v>
      </c>
      <c r="B54" t="s">
        <v>44</v>
      </c>
      <c r="C54" t="s">
        <v>81</v>
      </c>
      <c r="D54" t="s">
        <v>129</v>
      </c>
      <c r="E54" s="22">
        <v>46229</v>
      </c>
      <c r="F54" s="22">
        <v>46235</v>
      </c>
      <c r="G54" s="23">
        <v>84.98</v>
      </c>
      <c r="H54" s="23">
        <v>99.98</v>
      </c>
      <c r="I54" s="23">
        <v>15</v>
      </c>
      <c r="J54">
        <v>20</v>
      </c>
      <c r="K54" s="23">
        <v>300</v>
      </c>
      <c r="L54">
        <v>7</v>
      </c>
      <c r="M54" s="22">
        <v>46204</v>
      </c>
      <c r="N54" s="22">
        <v>46235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257.14285714285711</v>
      </c>
      <c r="V54" s="17">
        <v>42.857142857142854</v>
      </c>
      <c r="W54" s="17">
        <v>0</v>
      </c>
      <c r="X54" s="17">
        <v>0</v>
      </c>
      <c r="Y54" s="17">
        <v>0</v>
      </c>
      <c r="Z54" s="17">
        <v>0</v>
      </c>
      <c r="AA54" s="17">
        <v>299.99999999999994</v>
      </c>
    </row>
    <row r="55" spans="1:27">
      <c r="A55" t="s">
        <v>87</v>
      </c>
      <c r="B55" t="s">
        <v>88</v>
      </c>
      <c r="C55" t="s">
        <v>81</v>
      </c>
      <c r="D55" t="s">
        <v>120</v>
      </c>
      <c r="E55" s="22">
        <v>46265</v>
      </c>
      <c r="F55" s="22">
        <v>46271</v>
      </c>
      <c r="G55" s="23">
        <v>55.98</v>
      </c>
      <c r="H55" s="23">
        <v>65.98</v>
      </c>
      <c r="I55" s="23">
        <v>10</v>
      </c>
      <c r="J55">
        <v>30</v>
      </c>
      <c r="K55" s="23">
        <v>300</v>
      </c>
      <c r="L55">
        <v>7</v>
      </c>
      <c r="M55" s="22">
        <v>46235</v>
      </c>
      <c r="N55" s="22">
        <v>46266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42.857142857142854</v>
      </c>
      <c r="W55" s="17">
        <v>257.14285714285711</v>
      </c>
      <c r="X55" s="17">
        <v>0</v>
      </c>
      <c r="Y55" s="17">
        <v>0</v>
      </c>
      <c r="Z55" s="17">
        <v>0</v>
      </c>
      <c r="AA55" s="17">
        <v>299.99999999999994</v>
      </c>
    </row>
    <row r="56" spans="1:27">
      <c r="A56" t="s">
        <v>45</v>
      </c>
      <c r="B56" t="s">
        <v>46</v>
      </c>
      <c r="C56" t="s">
        <v>81</v>
      </c>
      <c r="D56" t="s">
        <v>120</v>
      </c>
      <c r="E56" s="22">
        <v>46265</v>
      </c>
      <c r="F56" s="22">
        <v>46271</v>
      </c>
      <c r="G56" s="23">
        <v>124.98</v>
      </c>
      <c r="H56" s="23">
        <v>149.97999999999999</v>
      </c>
      <c r="I56" s="23">
        <v>25</v>
      </c>
      <c r="J56">
        <v>15</v>
      </c>
      <c r="K56" s="23">
        <v>375</v>
      </c>
      <c r="L56">
        <v>7</v>
      </c>
      <c r="M56" s="22">
        <v>46235</v>
      </c>
      <c r="N56" s="22">
        <v>46266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53.571428571428569</v>
      </c>
      <c r="W56" s="17">
        <v>321.42857142857144</v>
      </c>
      <c r="X56" s="17">
        <v>0</v>
      </c>
      <c r="Y56" s="17">
        <v>0</v>
      </c>
      <c r="Z56" s="17">
        <v>0</v>
      </c>
      <c r="AA56" s="17">
        <v>375</v>
      </c>
    </row>
    <row r="57" spans="1:27">
      <c r="A57" t="s">
        <v>97</v>
      </c>
      <c r="B57" t="s">
        <v>46</v>
      </c>
      <c r="C57" t="s">
        <v>81</v>
      </c>
      <c r="D57" t="s">
        <v>120</v>
      </c>
      <c r="E57" s="22">
        <v>46265</v>
      </c>
      <c r="F57" s="22">
        <v>46271</v>
      </c>
      <c r="G57" s="23">
        <v>124.98</v>
      </c>
      <c r="H57" s="23">
        <v>149.97999999999999</v>
      </c>
      <c r="I57" s="23">
        <v>25</v>
      </c>
      <c r="J57">
        <v>15</v>
      </c>
      <c r="K57" s="23">
        <v>375</v>
      </c>
      <c r="L57">
        <v>7</v>
      </c>
      <c r="M57" s="22">
        <v>46235</v>
      </c>
      <c r="N57" s="22">
        <v>46266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53.571428571428569</v>
      </c>
      <c r="W57" s="17">
        <v>321.42857142857144</v>
      </c>
      <c r="X57" s="17">
        <v>0</v>
      </c>
      <c r="Y57" s="17">
        <v>0</v>
      </c>
      <c r="Z57" s="17">
        <v>0</v>
      </c>
      <c r="AA57" s="17">
        <v>375</v>
      </c>
    </row>
    <row r="58" spans="1:27">
      <c r="A58" t="s">
        <v>100</v>
      </c>
      <c r="B58" t="s">
        <v>44</v>
      </c>
      <c r="C58" t="s">
        <v>81</v>
      </c>
      <c r="D58" t="s">
        <v>120</v>
      </c>
      <c r="E58" s="22">
        <v>46265</v>
      </c>
      <c r="F58" s="22">
        <v>46271</v>
      </c>
      <c r="G58" s="23">
        <v>84.98</v>
      </c>
      <c r="H58" s="23">
        <v>99.98</v>
      </c>
      <c r="I58" s="23">
        <v>15</v>
      </c>
      <c r="J58">
        <v>5</v>
      </c>
      <c r="K58" s="23">
        <v>75</v>
      </c>
      <c r="L58">
        <v>7</v>
      </c>
      <c r="M58" s="22">
        <v>46235</v>
      </c>
      <c r="N58" s="22">
        <v>46266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10.714285714285714</v>
      </c>
      <c r="W58" s="17">
        <v>64.285714285714278</v>
      </c>
      <c r="X58" s="17">
        <v>0</v>
      </c>
      <c r="Y58" s="17">
        <v>0</v>
      </c>
      <c r="Z58" s="17">
        <v>0</v>
      </c>
      <c r="AA58" s="17">
        <v>74.999999999999986</v>
      </c>
    </row>
    <row r="59" spans="1:27">
      <c r="A59" t="s">
        <v>43</v>
      </c>
      <c r="B59" t="s">
        <v>44</v>
      </c>
      <c r="C59" t="s">
        <v>81</v>
      </c>
      <c r="D59" t="s">
        <v>120</v>
      </c>
      <c r="E59" s="22">
        <v>46265</v>
      </c>
      <c r="F59" s="22">
        <v>46271</v>
      </c>
      <c r="G59" s="23">
        <v>84.98</v>
      </c>
      <c r="H59" s="23">
        <v>99.98</v>
      </c>
      <c r="I59" s="23">
        <v>15</v>
      </c>
      <c r="J59">
        <v>20</v>
      </c>
      <c r="K59" s="23">
        <v>300</v>
      </c>
      <c r="L59">
        <v>7</v>
      </c>
      <c r="M59" s="22">
        <v>46235</v>
      </c>
      <c r="N59" s="22">
        <v>46266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42.857142857142854</v>
      </c>
      <c r="W59" s="17">
        <v>257.14285714285711</v>
      </c>
      <c r="X59" s="17">
        <v>0</v>
      </c>
      <c r="Y59" s="17">
        <v>0</v>
      </c>
      <c r="Z59" s="17">
        <v>0</v>
      </c>
      <c r="AA59" s="17">
        <v>299.99999999999994</v>
      </c>
    </row>
    <row r="60" spans="1:27">
      <c r="A60" t="s">
        <v>105</v>
      </c>
      <c r="B60" t="s">
        <v>106</v>
      </c>
      <c r="C60" t="s">
        <v>81</v>
      </c>
      <c r="D60" t="s">
        <v>120</v>
      </c>
      <c r="E60" s="22">
        <v>46265</v>
      </c>
      <c r="F60" s="22">
        <v>46271</v>
      </c>
      <c r="G60" s="23">
        <v>67.98</v>
      </c>
      <c r="H60" s="23">
        <v>79.98</v>
      </c>
      <c r="I60" s="23">
        <v>12</v>
      </c>
      <c r="J60">
        <v>100</v>
      </c>
      <c r="K60" s="23">
        <v>1200</v>
      </c>
      <c r="L60">
        <v>7</v>
      </c>
      <c r="M60" s="22">
        <v>46235</v>
      </c>
      <c r="N60" s="22">
        <v>46266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171.42857142857142</v>
      </c>
      <c r="W60" s="17">
        <v>1028.5714285714284</v>
      </c>
      <c r="X60" s="17">
        <v>0</v>
      </c>
      <c r="Y60" s="17">
        <v>0</v>
      </c>
      <c r="Z60" s="17">
        <v>0</v>
      </c>
      <c r="AA60" s="17">
        <v>1199.9999999999998</v>
      </c>
    </row>
    <row r="61" spans="1:27">
      <c r="A61" t="s">
        <v>102</v>
      </c>
      <c r="B61" t="s">
        <v>50</v>
      </c>
      <c r="C61" t="s">
        <v>81</v>
      </c>
      <c r="D61" t="s">
        <v>120</v>
      </c>
      <c r="E61" s="22">
        <v>46265</v>
      </c>
      <c r="F61" s="22">
        <v>46271</v>
      </c>
      <c r="G61" s="23">
        <v>49.98</v>
      </c>
      <c r="H61" s="23">
        <v>59.98</v>
      </c>
      <c r="I61" s="23">
        <v>10</v>
      </c>
      <c r="J61">
        <v>170</v>
      </c>
      <c r="K61" s="23">
        <v>1700</v>
      </c>
      <c r="L61">
        <v>7</v>
      </c>
      <c r="M61" s="22">
        <v>46235</v>
      </c>
      <c r="N61" s="22">
        <v>46266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242.85714285714286</v>
      </c>
      <c r="W61" s="17">
        <v>1457.1428571428571</v>
      </c>
      <c r="X61" s="17">
        <v>0</v>
      </c>
      <c r="Y61" s="17">
        <v>0</v>
      </c>
      <c r="Z61" s="17">
        <v>0</v>
      </c>
      <c r="AA61" s="17">
        <v>1700</v>
      </c>
    </row>
    <row r="62" spans="1:27">
      <c r="A62" t="s">
        <v>45</v>
      </c>
      <c r="B62" t="s">
        <v>46</v>
      </c>
      <c r="C62" t="s">
        <v>81</v>
      </c>
      <c r="D62" t="s">
        <v>124</v>
      </c>
      <c r="E62" s="22">
        <v>46300</v>
      </c>
      <c r="F62" s="22">
        <v>46306</v>
      </c>
      <c r="G62" s="23">
        <v>124.98</v>
      </c>
      <c r="H62" s="23">
        <v>149.97999999999999</v>
      </c>
      <c r="I62" s="23">
        <v>25</v>
      </c>
      <c r="J62">
        <v>15</v>
      </c>
      <c r="K62" s="23">
        <v>375</v>
      </c>
      <c r="L62">
        <v>7</v>
      </c>
      <c r="M62" s="22">
        <v>46296</v>
      </c>
      <c r="N62" s="22">
        <v>46296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375</v>
      </c>
      <c r="Y62" s="17">
        <v>0</v>
      </c>
      <c r="Z62" s="17">
        <v>0</v>
      </c>
      <c r="AA62" s="17">
        <v>375</v>
      </c>
    </row>
    <row r="63" spans="1:27">
      <c r="A63" t="s">
        <v>97</v>
      </c>
      <c r="B63" t="s">
        <v>46</v>
      </c>
      <c r="C63" t="s">
        <v>81</v>
      </c>
      <c r="D63" t="s">
        <v>124</v>
      </c>
      <c r="E63" s="22">
        <v>46300</v>
      </c>
      <c r="F63" s="22">
        <v>46306</v>
      </c>
      <c r="G63" s="23">
        <v>124.98</v>
      </c>
      <c r="H63" s="23">
        <v>149.97999999999999</v>
      </c>
      <c r="I63" s="23">
        <v>25</v>
      </c>
      <c r="J63">
        <v>15</v>
      </c>
      <c r="K63" s="23">
        <v>375</v>
      </c>
      <c r="L63">
        <v>7</v>
      </c>
      <c r="M63" s="22">
        <v>46296</v>
      </c>
      <c r="N63" s="22">
        <v>46296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375</v>
      </c>
      <c r="Y63" s="17">
        <v>0</v>
      </c>
      <c r="Z63" s="17">
        <v>0</v>
      </c>
      <c r="AA63" s="17">
        <v>375</v>
      </c>
    </row>
    <row r="64" spans="1:27">
      <c r="A64" t="s">
        <v>100</v>
      </c>
      <c r="B64" t="s">
        <v>44</v>
      </c>
      <c r="C64" t="s">
        <v>81</v>
      </c>
      <c r="D64" t="s">
        <v>124</v>
      </c>
      <c r="E64" s="22">
        <v>46300</v>
      </c>
      <c r="F64" s="22">
        <v>46306</v>
      </c>
      <c r="G64" s="23">
        <v>84.98</v>
      </c>
      <c r="H64" s="23">
        <v>99.98</v>
      </c>
      <c r="I64" s="23">
        <v>15</v>
      </c>
      <c r="J64">
        <v>5</v>
      </c>
      <c r="K64" s="23">
        <v>75</v>
      </c>
      <c r="L64">
        <v>7</v>
      </c>
      <c r="M64" s="22">
        <v>46296</v>
      </c>
      <c r="N64" s="22">
        <v>46296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75</v>
      </c>
      <c r="Y64" s="17">
        <v>0</v>
      </c>
      <c r="Z64" s="17">
        <v>0</v>
      </c>
      <c r="AA64" s="17">
        <v>75</v>
      </c>
    </row>
    <row r="65" spans="1:27">
      <c r="A65" t="s">
        <v>105</v>
      </c>
      <c r="B65" t="s">
        <v>106</v>
      </c>
      <c r="C65" t="s">
        <v>81</v>
      </c>
      <c r="D65" t="s">
        <v>124</v>
      </c>
      <c r="E65" s="22">
        <v>46300</v>
      </c>
      <c r="F65" s="22">
        <v>46306</v>
      </c>
      <c r="G65" s="23">
        <v>67.98</v>
      </c>
      <c r="H65" s="23">
        <v>79.98</v>
      </c>
      <c r="I65" s="23">
        <v>12</v>
      </c>
      <c r="J65">
        <v>100</v>
      </c>
      <c r="K65" s="23">
        <v>1200</v>
      </c>
      <c r="L65">
        <v>7</v>
      </c>
      <c r="M65" s="22">
        <v>46296</v>
      </c>
      <c r="N65" s="22">
        <v>46296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1200</v>
      </c>
      <c r="Y65" s="17">
        <v>0</v>
      </c>
      <c r="Z65" s="17">
        <v>0</v>
      </c>
      <c r="AA65" s="17">
        <v>1200</v>
      </c>
    </row>
    <row r="66" spans="1:27">
      <c r="A66" t="s">
        <v>87</v>
      </c>
      <c r="B66" t="s">
        <v>88</v>
      </c>
      <c r="C66" t="s">
        <v>81</v>
      </c>
      <c r="D66" t="s">
        <v>124</v>
      </c>
      <c r="E66" s="22">
        <v>46300</v>
      </c>
      <c r="F66" s="22">
        <v>46306</v>
      </c>
      <c r="G66" s="23">
        <v>55.98</v>
      </c>
      <c r="H66" s="23">
        <v>65.98</v>
      </c>
      <c r="I66" s="23">
        <v>10</v>
      </c>
      <c r="J66">
        <v>30</v>
      </c>
      <c r="K66" s="23">
        <v>300</v>
      </c>
      <c r="L66">
        <v>7</v>
      </c>
      <c r="M66" s="22">
        <v>46296</v>
      </c>
      <c r="N66" s="22">
        <v>46296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300</v>
      </c>
      <c r="Y66" s="17">
        <v>0</v>
      </c>
      <c r="Z66" s="17">
        <v>0</v>
      </c>
      <c r="AA66" s="17">
        <v>300</v>
      </c>
    </row>
    <row r="67" spans="1:27">
      <c r="A67" t="s">
        <v>35</v>
      </c>
      <c r="B67" t="s">
        <v>126</v>
      </c>
      <c r="C67" t="s">
        <v>81</v>
      </c>
      <c r="D67" t="s">
        <v>124</v>
      </c>
      <c r="E67" s="22">
        <v>46300</v>
      </c>
      <c r="F67" s="22">
        <v>46306</v>
      </c>
      <c r="G67" s="23">
        <v>99.98</v>
      </c>
      <c r="H67" s="23">
        <v>119.98</v>
      </c>
      <c r="I67" s="23">
        <v>20</v>
      </c>
      <c r="J67">
        <v>20</v>
      </c>
      <c r="K67" s="23">
        <v>400</v>
      </c>
      <c r="L67">
        <v>7</v>
      </c>
      <c r="M67" s="22">
        <v>46296</v>
      </c>
      <c r="N67" s="22">
        <v>46296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400</v>
      </c>
      <c r="Y67" s="17">
        <v>0</v>
      </c>
      <c r="Z67" s="17">
        <v>0</v>
      </c>
      <c r="AA67" s="17">
        <v>400</v>
      </c>
    </row>
    <row r="68" spans="1:27">
      <c r="A68" t="s">
        <v>104</v>
      </c>
      <c r="B68" t="s">
        <v>127</v>
      </c>
      <c r="C68" t="s">
        <v>81</v>
      </c>
      <c r="D68" t="s">
        <v>124</v>
      </c>
      <c r="E68" s="22">
        <v>46300</v>
      </c>
      <c r="F68" s="22">
        <v>46306</v>
      </c>
      <c r="G68" s="23">
        <v>58.98</v>
      </c>
      <c r="H68" s="23">
        <v>69.98</v>
      </c>
      <c r="I68" s="23">
        <v>11</v>
      </c>
      <c r="J68">
        <v>120</v>
      </c>
      <c r="K68" s="23">
        <v>1320</v>
      </c>
      <c r="L68">
        <v>7</v>
      </c>
      <c r="M68" s="22">
        <v>46296</v>
      </c>
      <c r="N68" s="22">
        <v>46296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1320</v>
      </c>
      <c r="Y68" s="17">
        <v>0</v>
      </c>
      <c r="Z68" s="17">
        <v>0</v>
      </c>
      <c r="AA68" s="17">
        <v>1320</v>
      </c>
    </row>
    <row r="69" spans="1:27">
      <c r="A69" t="s">
        <v>43</v>
      </c>
      <c r="B69" t="s">
        <v>44</v>
      </c>
      <c r="C69" t="s">
        <v>81</v>
      </c>
      <c r="D69" t="s">
        <v>124</v>
      </c>
      <c r="E69" s="22">
        <v>46300</v>
      </c>
      <c r="F69" s="22">
        <v>46306</v>
      </c>
      <c r="G69" s="23">
        <v>84.98</v>
      </c>
      <c r="H69" s="23">
        <v>99.98</v>
      </c>
      <c r="I69" s="23">
        <v>15</v>
      </c>
      <c r="J69">
        <v>20</v>
      </c>
      <c r="K69" s="23">
        <v>300</v>
      </c>
      <c r="L69">
        <v>7</v>
      </c>
      <c r="M69" s="22">
        <v>46296</v>
      </c>
      <c r="N69" s="22">
        <v>46296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300</v>
      </c>
      <c r="Y69" s="17">
        <v>0</v>
      </c>
      <c r="Z69" s="17">
        <v>0</v>
      </c>
      <c r="AA69" s="17">
        <v>300</v>
      </c>
    </row>
    <row r="70" spans="1:27">
      <c r="A70" t="s">
        <v>53</v>
      </c>
      <c r="B70" t="s">
        <v>53</v>
      </c>
      <c r="C70" t="s">
        <v>81</v>
      </c>
      <c r="D70" t="s">
        <v>124</v>
      </c>
      <c r="E70" s="22">
        <v>46300</v>
      </c>
      <c r="F70" s="22">
        <v>46306</v>
      </c>
      <c r="G70" s="23">
        <v>28.98</v>
      </c>
      <c r="H70" s="23">
        <v>34.979999999999997</v>
      </c>
      <c r="I70" s="23">
        <v>6</v>
      </c>
      <c r="J70">
        <v>70</v>
      </c>
      <c r="K70" s="23">
        <v>420</v>
      </c>
      <c r="L70">
        <v>7</v>
      </c>
      <c r="M70" s="22">
        <v>46296</v>
      </c>
      <c r="N70" s="22">
        <v>46296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420</v>
      </c>
      <c r="Y70" s="17">
        <v>0</v>
      </c>
      <c r="Z70" s="17">
        <v>0</v>
      </c>
      <c r="AA70" s="17">
        <v>420</v>
      </c>
    </row>
    <row r="71" spans="1:27">
      <c r="A71" t="s">
        <v>47</v>
      </c>
      <c r="B71" t="s">
        <v>123</v>
      </c>
      <c r="C71" t="s">
        <v>81</v>
      </c>
      <c r="D71" t="s">
        <v>124</v>
      </c>
      <c r="E71" s="22">
        <v>46300</v>
      </c>
      <c r="F71" s="22">
        <v>46306</v>
      </c>
      <c r="G71" s="23">
        <v>41.98</v>
      </c>
      <c r="H71" s="23">
        <v>49.98</v>
      </c>
      <c r="I71" s="23">
        <v>8</v>
      </c>
      <c r="J71">
        <v>90</v>
      </c>
      <c r="K71" s="23">
        <v>720</v>
      </c>
      <c r="L71">
        <v>7</v>
      </c>
      <c r="M71" s="22">
        <v>46296</v>
      </c>
      <c r="N71" s="22">
        <v>46296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720</v>
      </c>
      <c r="Y71" s="17">
        <v>0</v>
      </c>
      <c r="Z71" s="17">
        <v>0</v>
      </c>
      <c r="AA71" s="17">
        <v>720</v>
      </c>
    </row>
    <row r="72" spans="1:27">
      <c r="A72" t="s">
        <v>102</v>
      </c>
      <c r="B72" t="s">
        <v>50</v>
      </c>
      <c r="C72" t="s">
        <v>81</v>
      </c>
      <c r="D72" t="s">
        <v>124</v>
      </c>
      <c r="E72" s="22">
        <v>46300</v>
      </c>
      <c r="F72" s="22">
        <v>46306</v>
      </c>
      <c r="G72" s="23">
        <v>49.98</v>
      </c>
      <c r="H72" s="23">
        <v>59.98</v>
      </c>
      <c r="I72" s="23">
        <v>10</v>
      </c>
      <c r="J72">
        <v>120</v>
      </c>
      <c r="K72" s="23">
        <v>1200</v>
      </c>
      <c r="L72">
        <v>7</v>
      </c>
      <c r="M72" s="22">
        <v>46296</v>
      </c>
      <c r="N72" s="22">
        <v>46296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1200</v>
      </c>
      <c r="Y72" s="17">
        <v>0</v>
      </c>
      <c r="Z72" s="17">
        <v>0</v>
      </c>
      <c r="AA72" s="17">
        <v>1200</v>
      </c>
    </row>
    <row r="73" spans="1:27">
      <c r="A73" t="s">
        <v>56</v>
      </c>
      <c r="B73" t="s">
        <v>130</v>
      </c>
      <c r="C73" t="s">
        <v>81</v>
      </c>
      <c r="D73" t="s">
        <v>124</v>
      </c>
      <c r="E73" s="22">
        <v>46300</v>
      </c>
      <c r="F73" s="22">
        <v>46306</v>
      </c>
      <c r="G73" s="23">
        <v>37.979999999999997</v>
      </c>
      <c r="H73" s="23">
        <v>49.98</v>
      </c>
      <c r="I73" s="23">
        <v>12</v>
      </c>
      <c r="J73">
        <v>100</v>
      </c>
      <c r="K73" s="23">
        <v>1200</v>
      </c>
      <c r="L73">
        <v>7</v>
      </c>
      <c r="M73" s="22">
        <v>46296</v>
      </c>
      <c r="N73" s="22">
        <v>46296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1200</v>
      </c>
      <c r="Y73" s="17">
        <v>0</v>
      </c>
      <c r="Z73" s="17">
        <v>0</v>
      </c>
      <c r="AA73" s="17">
        <v>1200</v>
      </c>
    </row>
    <row r="74" spans="1:27">
      <c r="A74" t="s">
        <v>27</v>
      </c>
      <c r="B74" t="s">
        <v>28</v>
      </c>
      <c r="C74" t="s">
        <v>81</v>
      </c>
      <c r="D74" t="s">
        <v>121</v>
      </c>
      <c r="E74" s="22">
        <v>46349</v>
      </c>
      <c r="F74" s="22">
        <v>46358</v>
      </c>
      <c r="G74" s="23">
        <v>25.98</v>
      </c>
      <c r="H74" s="23">
        <v>35.979999999999997</v>
      </c>
      <c r="I74" s="23">
        <v>10</v>
      </c>
      <c r="J74">
        <v>360</v>
      </c>
      <c r="K74" s="23">
        <v>3600</v>
      </c>
      <c r="L74">
        <v>10</v>
      </c>
      <c r="M74" s="22">
        <v>46327</v>
      </c>
      <c r="N74" s="22">
        <v>46357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2880</v>
      </c>
      <c r="Z74" s="17">
        <v>720</v>
      </c>
      <c r="AA74" s="17">
        <v>3600</v>
      </c>
    </row>
    <row r="75" spans="1:27">
      <c r="A75" t="s">
        <v>27</v>
      </c>
      <c r="B75" t="s">
        <v>28</v>
      </c>
      <c r="C75" t="s">
        <v>81</v>
      </c>
      <c r="D75" t="s">
        <v>121</v>
      </c>
      <c r="E75" s="22">
        <v>46349</v>
      </c>
      <c r="F75" s="22">
        <v>46358</v>
      </c>
      <c r="G75" s="23">
        <v>25.98</v>
      </c>
      <c r="H75" s="23">
        <v>35.979999999999997</v>
      </c>
      <c r="I75" s="23">
        <v>10</v>
      </c>
      <c r="J75">
        <v>360</v>
      </c>
      <c r="K75" s="23">
        <v>3600</v>
      </c>
      <c r="L75">
        <v>10</v>
      </c>
      <c r="M75" s="22">
        <v>46327</v>
      </c>
      <c r="N75" s="22">
        <v>46357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2880</v>
      </c>
      <c r="Z75" s="17">
        <v>720</v>
      </c>
      <c r="AA75" s="17">
        <v>3600</v>
      </c>
    </row>
    <row r="76" spans="1:27">
      <c r="A76" t="s">
        <v>51</v>
      </c>
      <c r="B76" t="s">
        <v>52</v>
      </c>
      <c r="C76" t="s">
        <v>81</v>
      </c>
      <c r="D76" t="s">
        <v>121</v>
      </c>
      <c r="E76" s="22">
        <v>46349</v>
      </c>
      <c r="F76" s="22">
        <v>46358</v>
      </c>
      <c r="G76" s="23">
        <v>109.98</v>
      </c>
      <c r="H76" s="23">
        <v>129.97999999999999</v>
      </c>
      <c r="I76" s="23">
        <v>20</v>
      </c>
      <c r="J76">
        <v>50</v>
      </c>
      <c r="K76" s="23">
        <v>1000</v>
      </c>
      <c r="L76">
        <v>10</v>
      </c>
      <c r="M76" s="22">
        <v>46327</v>
      </c>
      <c r="N76" s="22">
        <v>46357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800</v>
      </c>
      <c r="Z76" s="17">
        <v>200</v>
      </c>
      <c r="AA76" s="17">
        <v>1000</v>
      </c>
    </row>
    <row r="77" spans="1:27">
      <c r="A77" t="s">
        <v>102</v>
      </c>
      <c r="B77" t="s">
        <v>50</v>
      </c>
      <c r="C77" t="s">
        <v>81</v>
      </c>
      <c r="D77" t="s">
        <v>121</v>
      </c>
      <c r="E77" s="22">
        <v>46349</v>
      </c>
      <c r="F77" s="22">
        <v>46358</v>
      </c>
      <c r="G77" s="23">
        <v>47.98</v>
      </c>
      <c r="H77" s="23">
        <v>59.98</v>
      </c>
      <c r="I77" s="23">
        <v>12</v>
      </c>
      <c r="J77">
        <v>160</v>
      </c>
      <c r="K77" s="23">
        <v>1920</v>
      </c>
      <c r="L77">
        <v>10</v>
      </c>
      <c r="M77" s="22">
        <v>46327</v>
      </c>
      <c r="N77" s="22">
        <v>46357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1536</v>
      </c>
      <c r="Z77" s="17">
        <v>384</v>
      </c>
      <c r="AA77" s="17">
        <v>1920</v>
      </c>
    </row>
    <row r="78" spans="1:27">
      <c r="A78" t="s">
        <v>47</v>
      </c>
      <c r="B78" t="s">
        <v>123</v>
      </c>
      <c r="C78" t="s">
        <v>81</v>
      </c>
      <c r="D78" t="s">
        <v>121</v>
      </c>
      <c r="E78" s="22">
        <v>46349</v>
      </c>
      <c r="F78" s="22">
        <v>46358</v>
      </c>
      <c r="G78" s="23">
        <v>39.979999999999997</v>
      </c>
      <c r="H78" s="23">
        <v>49.98</v>
      </c>
      <c r="I78" s="23">
        <v>10</v>
      </c>
      <c r="J78">
        <v>90</v>
      </c>
      <c r="K78" s="23">
        <v>900</v>
      </c>
      <c r="L78">
        <v>10</v>
      </c>
      <c r="M78" s="22">
        <v>46327</v>
      </c>
      <c r="N78" s="22">
        <v>46357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720</v>
      </c>
      <c r="Z78" s="17">
        <v>180</v>
      </c>
      <c r="AA78" s="17">
        <v>900</v>
      </c>
    </row>
    <row r="79" spans="1:27">
      <c r="A79" t="s">
        <v>45</v>
      </c>
      <c r="B79" t="s">
        <v>46</v>
      </c>
      <c r="C79" t="s">
        <v>81</v>
      </c>
      <c r="D79" t="s">
        <v>121</v>
      </c>
      <c r="E79" s="22">
        <v>46349</v>
      </c>
      <c r="F79" s="22">
        <v>46358</v>
      </c>
      <c r="G79" s="23">
        <v>119.98</v>
      </c>
      <c r="H79" s="23">
        <v>149.97999999999999</v>
      </c>
      <c r="I79" s="23">
        <v>30</v>
      </c>
      <c r="J79">
        <v>15</v>
      </c>
      <c r="K79" s="23">
        <v>450</v>
      </c>
      <c r="L79">
        <v>10</v>
      </c>
      <c r="M79" s="22">
        <v>46327</v>
      </c>
      <c r="N79" s="22">
        <v>46357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360</v>
      </c>
      <c r="Z79" s="17">
        <v>90</v>
      </c>
      <c r="AA79" s="17">
        <v>450</v>
      </c>
    </row>
    <row r="80" spans="1:27">
      <c r="A80" t="s">
        <v>97</v>
      </c>
      <c r="B80" t="s">
        <v>46</v>
      </c>
      <c r="C80" t="s">
        <v>81</v>
      </c>
      <c r="D80" t="s">
        <v>121</v>
      </c>
      <c r="E80" s="22">
        <v>46349</v>
      </c>
      <c r="F80" s="22">
        <v>46358</v>
      </c>
      <c r="G80" s="23">
        <v>119.98</v>
      </c>
      <c r="H80" s="23">
        <v>149.97999999999999</v>
      </c>
      <c r="I80" s="23">
        <v>30</v>
      </c>
      <c r="J80">
        <v>15</v>
      </c>
      <c r="K80" s="23">
        <v>450</v>
      </c>
      <c r="L80">
        <v>10</v>
      </c>
      <c r="M80" s="22">
        <v>46327</v>
      </c>
      <c r="N80" s="22">
        <v>46357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360</v>
      </c>
      <c r="Z80" s="17">
        <v>90</v>
      </c>
      <c r="AA80" s="17">
        <v>450</v>
      </c>
    </row>
    <row r="81" spans="1:27">
      <c r="A81" t="s">
        <v>100</v>
      </c>
      <c r="B81" t="s">
        <v>44</v>
      </c>
      <c r="C81" t="s">
        <v>81</v>
      </c>
      <c r="D81" t="s">
        <v>121</v>
      </c>
      <c r="E81" s="22">
        <v>46349</v>
      </c>
      <c r="F81" s="22">
        <v>46358</v>
      </c>
      <c r="G81" s="23">
        <v>79.98</v>
      </c>
      <c r="H81" s="23">
        <v>99.98</v>
      </c>
      <c r="I81" s="23">
        <v>20</v>
      </c>
      <c r="J81">
        <v>5</v>
      </c>
      <c r="K81" s="23">
        <v>100</v>
      </c>
      <c r="L81">
        <v>10</v>
      </c>
      <c r="M81" s="22">
        <v>46327</v>
      </c>
      <c r="N81" s="22">
        <v>46357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80</v>
      </c>
      <c r="Z81" s="17">
        <v>20</v>
      </c>
      <c r="AA81" s="17">
        <v>100</v>
      </c>
    </row>
    <row r="82" spans="1:27">
      <c r="A82" t="s">
        <v>43</v>
      </c>
      <c r="B82" t="s">
        <v>44</v>
      </c>
      <c r="C82" t="s">
        <v>81</v>
      </c>
      <c r="D82" t="s">
        <v>121</v>
      </c>
      <c r="E82" s="22">
        <v>46349</v>
      </c>
      <c r="F82" s="22">
        <v>46358</v>
      </c>
      <c r="G82" s="23">
        <v>79.98</v>
      </c>
      <c r="H82" s="23">
        <v>99.98</v>
      </c>
      <c r="I82" s="23">
        <v>20</v>
      </c>
      <c r="J82">
        <v>20</v>
      </c>
      <c r="K82" s="23">
        <v>400</v>
      </c>
      <c r="L82">
        <v>10</v>
      </c>
      <c r="M82" s="22">
        <v>46327</v>
      </c>
      <c r="N82" s="22">
        <v>46357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320</v>
      </c>
      <c r="Z82" s="17">
        <v>80</v>
      </c>
      <c r="AA82" s="17">
        <v>400</v>
      </c>
    </row>
    <row r="83" spans="1:27">
      <c r="A83" t="s">
        <v>105</v>
      </c>
      <c r="B83" t="s">
        <v>106</v>
      </c>
      <c r="C83" t="s">
        <v>81</v>
      </c>
      <c r="D83" t="s">
        <v>121</v>
      </c>
      <c r="E83" s="22">
        <v>46349</v>
      </c>
      <c r="F83" s="22">
        <v>46358</v>
      </c>
      <c r="G83" s="23">
        <v>64.98</v>
      </c>
      <c r="H83" s="23">
        <v>79.98</v>
      </c>
      <c r="I83" s="23">
        <v>15</v>
      </c>
      <c r="J83">
        <v>150</v>
      </c>
      <c r="K83" s="23">
        <v>2250</v>
      </c>
      <c r="L83">
        <v>10</v>
      </c>
      <c r="M83" s="22">
        <v>46327</v>
      </c>
      <c r="N83" s="22">
        <v>46357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1800</v>
      </c>
      <c r="Z83" s="17">
        <v>450</v>
      </c>
      <c r="AA83" s="17">
        <v>2250</v>
      </c>
    </row>
    <row r="84" spans="1:27">
      <c r="A84" t="s">
        <v>87</v>
      </c>
      <c r="B84" t="s">
        <v>88</v>
      </c>
      <c r="C84" t="s">
        <v>81</v>
      </c>
      <c r="D84" t="s">
        <v>121</v>
      </c>
      <c r="E84" s="22">
        <v>46349</v>
      </c>
      <c r="F84" s="22">
        <v>46358</v>
      </c>
      <c r="G84" s="23">
        <v>49.98</v>
      </c>
      <c r="H84" s="23">
        <v>65.98</v>
      </c>
      <c r="I84" s="23">
        <v>16</v>
      </c>
      <c r="J84">
        <v>30</v>
      </c>
      <c r="K84" s="23">
        <v>480</v>
      </c>
      <c r="L84">
        <v>10</v>
      </c>
      <c r="M84" s="22">
        <v>46327</v>
      </c>
      <c r="N84" s="22">
        <v>46357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384</v>
      </c>
      <c r="Z84" s="17">
        <v>96</v>
      </c>
      <c r="AA84" s="17">
        <v>480</v>
      </c>
    </row>
    <row r="85" spans="1:27">
      <c r="A85" t="s">
        <v>35</v>
      </c>
      <c r="B85" t="s">
        <v>126</v>
      </c>
      <c r="C85" t="s">
        <v>81</v>
      </c>
      <c r="D85" t="s">
        <v>121</v>
      </c>
      <c r="E85" s="22">
        <v>46349</v>
      </c>
      <c r="F85" s="22">
        <v>46358</v>
      </c>
      <c r="G85" s="23">
        <v>99.98</v>
      </c>
      <c r="H85" s="23">
        <v>119.98</v>
      </c>
      <c r="I85" s="23">
        <v>20</v>
      </c>
      <c r="J85">
        <v>20</v>
      </c>
      <c r="K85" s="23">
        <v>400</v>
      </c>
      <c r="L85">
        <v>10</v>
      </c>
      <c r="M85" s="22">
        <v>46327</v>
      </c>
      <c r="N85" s="22">
        <v>46357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320</v>
      </c>
      <c r="Z85" s="17">
        <v>80</v>
      </c>
      <c r="AA85" s="17">
        <v>400</v>
      </c>
    </row>
    <row r="86" spans="1:27">
      <c r="A86" t="s">
        <v>104</v>
      </c>
      <c r="B86" t="s">
        <v>127</v>
      </c>
      <c r="C86" t="s">
        <v>81</v>
      </c>
      <c r="D86" t="s">
        <v>121</v>
      </c>
      <c r="E86" s="22">
        <v>46349</v>
      </c>
      <c r="F86" s="22">
        <v>46358</v>
      </c>
      <c r="G86" s="23">
        <v>58.98</v>
      </c>
      <c r="H86" s="23">
        <v>69.98</v>
      </c>
      <c r="I86" s="23">
        <v>11</v>
      </c>
      <c r="J86">
        <v>120</v>
      </c>
      <c r="K86" s="23">
        <v>1320</v>
      </c>
      <c r="L86">
        <v>10</v>
      </c>
      <c r="M86" s="22">
        <v>46327</v>
      </c>
      <c r="N86" s="22">
        <v>46357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1056</v>
      </c>
      <c r="Z86" s="17">
        <v>264</v>
      </c>
      <c r="AA86" s="17">
        <v>1320</v>
      </c>
    </row>
    <row r="87" spans="1:27">
      <c r="A87" t="s">
        <v>56</v>
      </c>
      <c r="B87" t="s">
        <v>130</v>
      </c>
      <c r="C87" t="s">
        <v>81</v>
      </c>
      <c r="D87" t="s">
        <v>121</v>
      </c>
      <c r="E87" s="22">
        <v>46349</v>
      </c>
      <c r="F87" s="22">
        <v>46358</v>
      </c>
      <c r="G87" s="23">
        <v>37.979999999999997</v>
      </c>
      <c r="H87" s="23">
        <v>49.98</v>
      </c>
      <c r="I87" s="23">
        <v>12</v>
      </c>
      <c r="J87">
        <v>100</v>
      </c>
      <c r="K87" s="23">
        <v>1200</v>
      </c>
      <c r="L87">
        <v>10</v>
      </c>
      <c r="M87" s="22">
        <v>46327</v>
      </c>
      <c r="N87" s="22">
        <v>46357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960</v>
      </c>
      <c r="Z87" s="17">
        <v>240</v>
      </c>
      <c r="AA87" s="17">
        <v>1200</v>
      </c>
    </row>
    <row r="88" spans="1:27">
      <c r="A88" t="s">
        <v>53</v>
      </c>
      <c r="B88" t="s">
        <v>53</v>
      </c>
      <c r="C88" t="s">
        <v>81</v>
      </c>
      <c r="D88" t="s">
        <v>121</v>
      </c>
      <c r="E88" s="22">
        <v>46349</v>
      </c>
      <c r="F88" s="22">
        <v>46358</v>
      </c>
      <c r="G88" s="23">
        <v>27.98</v>
      </c>
      <c r="H88" s="23">
        <v>34.979999999999997</v>
      </c>
      <c r="I88" s="23">
        <v>7</v>
      </c>
      <c r="J88">
        <v>70</v>
      </c>
      <c r="K88" s="23">
        <v>490</v>
      </c>
      <c r="L88">
        <v>10</v>
      </c>
      <c r="M88" s="22">
        <v>46327</v>
      </c>
      <c r="N88" s="22">
        <v>46357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392</v>
      </c>
      <c r="Z88" s="17">
        <v>98</v>
      </c>
      <c r="AA88" s="17">
        <v>490</v>
      </c>
    </row>
    <row r="89" spans="1:27">
      <c r="A89" t="s">
        <v>47</v>
      </c>
      <c r="B89" t="s">
        <v>123</v>
      </c>
      <c r="C89" t="s">
        <v>81</v>
      </c>
      <c r="D89" t="s">
        <v>122</v>
      </c>
      <c r="E89" s="22">
        <v>46363</v>
      </c>
      <c r="F89" s="22">
        <v>46369</v>
      </c>
      <c r="G89" s="23">
        <v>39.979999999999997</v>
      </c>
      <c r="H89" s="23">
        <v>49.98</v>
      </c>
      <c r="I89" s="23">
        <v>10</v>
      </c>
      <c r="J89">
        <v>90</v>
      </c>
      <c r="K89" s="23">
        <v>900</v>
      </c>
      <c r="L89">
        <v>7</v>
      </c>
      <c r="M89" s="22">
        <v>46357</v>
      </c>
      <c r="N89" s="22">
        <v>46357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900</v>
      </c>
      <c r="AA89" s="17">
        <v>900</v>
      </c>
    </row>
    <row r="90" spans="1:27">
      <c r="A90" t="s">
        <v>56</v>
      </c>
      <c r="B90" t="s">
        <v>130</v>
      </c>
      <c r="C90" t="s">
        <v>81</v>
      </c>
      <c r="D90" t="s">
        <v>122</v>
      </c>
      <c r="E90" s="22">
        <v>46363</v>
      </c>
      <c r="F90" s="22">
        <v>46369</v>
      </c>
      <c r="G90" s="23">
        <v>37.979999999999997</v>
      </c>
      <c r="H90" s="23">
        <v>49.98</v>
      </c>
      <c r="I90" s="23">
        <v>12</v>
      </c>
      <c r="J90">
        <v>100</v>
      </c>
      <c r="K90" s="23">
        <v>1200</v>
      </c>
      <c r="L90">
        <v>7</v>
      </c>
      <c r="M90" s="22">
        <v>46357</v>
      </c>
      <c r="N90" s="22">
        <v>46357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1200</v>
      </c>
      <c r="AA90" s="17">
        <v>1200</v>
      </c>
    </row>
    <row r="91" spans="1:27">
      <c r="A91" t="s">
        <v>87</v>
      </c>
      <c r="B91" t="s">
        <v>88</v>
      </c>
      <c r="C91" t="s">
        <v>81</v>
      </c>
      <c r="D91" t="s">
        <v>122</v>
      </c>
      <c r="E91" s="22">
        <v>46363</v>
      </c>
      <c r="F91" s="22">
        <v>46369</v>
      </c>
      <c r="G91" s="23">
        <v>49.98</v>
      </c>
      <c r="H91" s="23">
        <v>65.98</v>
      </c>
      <c r="I91" s="23">
        <v>16</v>
      </c>
      <c r="J91">
        <v>30</v>
      </c>
      <c r="K91" s="23">
        <v>480</v>
      </c>
      <c r="L91">
        <v>7</v>
      </c>
      <c r="M91" s="22">
        <v>46357</v>
      </c>
      <c r="N91" s="22">
        <v>46357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480</v>
      </c>
      <c r="AA91" s="17">
        <v>480</v>
      </c>
    </row>
    <row r="92" spans="1:27">
      <c r="A92" t="s">
        <v>27</v>
      </c>
      <c r="B92" t="s">
        <v>28</v>
      </c>
      <c r="C92" t="s">
        <v>81</v>
      </c>
      <c r="D92" t="s">
        <v>122</v>
      </c>
      <c r="E92" s="22">
        <v>46363</v>
      </c>
      <c r="F92" s="22">
        <v>46369</v>
      </c>
      <c r="G92" s="23">
        <v>25.98</v>
      </c>
      <c r="H92" s="23">
        <v>35.979999999999997</v>
      </c>
      <c r="I92" s="23">
        <v>10</v>
      </c>
      <c r="J92">
        <v>360</v>
      </c>
      <c r="K92" s="23">
        <v>3600</v>
      </c>
      <c r="L92">
        <v>7</v>
      </c>
      <c r="M92" s="22">
        <v>46357</v>
      </c>
      <c r="N92" s="22">
        <v>46357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3600</v>
      </c>
      <c r="AA92" s="17">
        <v>3600</v>
      </c>
    </row>
    <row r="93" spans="1:27">
      <c r="A93" t="s">
        <v>27</v>
      </c>
      <c r="B93" t="s">
        <v>28</v>
      </c>
      <c r="C93" t="s">
        <v>81</v>
      </c>
      <c r="D93" t="s">
        <v>122</v>
      </c>
      <c r="E93" s="22">
        <v>46363</v>
      </c>
      <c r="F93" s="22">
        <v>46369</v>
      </c>
      <c r="G93" s="23">
        <v>25.98</v>
      </c>
      <c r="H93" s="23">
        <v>35.979999999999997</v>
      </c>
      <c r="I93" s="23">
        <v>10</v>
      </c>
      <c r="J93">
        <v>360</v>
      </c>
      <c r="K93" s="23">
        <v>3600</v>
      </c>
      <c r="L93">
        <v>7</v>
      </c>
      <c r="M93" s="22">
        <v>46357</v>
      </c>
      <c r="N93" s="22">
        <v>46357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3600</v>
      </c>
      <c r="AA93" s="17">
        <v>3600</v>
      </c>
    </row>
    <row r="94" spans="1:27">
      <c r="A94" t="s">
        <v>35</v>
      </c>
      <c r="B94" t="s">
        <v>126</v>
      </c>
      <c r="C94" t="s">
        <v>81</v>
      </c>
      <c r="D94" t="s">
        <v>122</v>
      </c>
      <c r="E94" s="22">
        <v>46363</v>
      </c>
      <c r="F94" s="22">
        <v>46369</v>
      </c>
      <c r="G94" s="23">
        <v>99.98</v>
      </c>
      <c r="H94" s="23">
        <v>119.98</v>
      </c>
      <c r="I94" s="23">
        <v>20</v>
      </c>
      <c r="J94">
        <v>20</v>
      </c>
      <c r="K94" s="23">
        <v>400</v>
      </c>
      <c r="L94">
        <v>7</v>
      </c>
      <c r="M94" s="22">
        <v>46357</v>
      </c>
      <c r="N94" s="22">
        <v>46357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400</v>
      </c>
      <c r="AA94" s="17">
        <v>400</v>
      </c>
    </row>
    <row r="95" spans="1:27">
      <c r="A95" t="s">
        <v>104</v>
      </c>
      <c r="B95" t="s">
        <v>127</v>
      </c>
      <c r="C95" t="s">
        <v>81</v>
      </c>
      <c r="D95" t="s">
        <v>122</v>
      </c>
      <c r="E95" s="22">
        <v>46363</v>
      </c>
      <c r="F95" s="22">
        <v>46369</v>
      </c>
      <c r="G95" s="23">
        <v>58.98</v>
      </c>
      <c r="H95" s="23">
        <v>69.98</v>
      </c>
      <c r="I95" s="23">
        <v>11</v>
      </c>
      <c r="J95">
        <v>120</v>
      </c>
      <c r="K95" s="23">
        <v>1320</v>
      </c>
      <c r="L95">
        <v>7</v>
      </c>
      <c r="M95" s="22">
        <v>46357</v>
      </c>
      <c r="N95" s="22">
        <v>46357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1320</v>
      </c>
      <c r="AA95" s="17">
        <v>1320</v>
      </c>
    </row>
    <row r="96" spans="1:27">
      <c r="A96" t="s">
        <v>45</v>
      </c>
      <c r="B96" t="s">
        <v>46</v>
      </c>
      <c r="C96" t="s">
        <v>81</v>
      </c>
      <c r="D96" t="s">
        <v>122</v>
      </c>
      <c r="E96" s="22">
        <v>46363</v>
      </c>
      <c r="F96" s="22">
        <v>46369</v>
      </c>
      <c r="G96" s="23">
        <v>119.98</v>
      </c>
      <c r="H96" s="23">
        <v>149.97999999999999</v>
      </c>
      <c r="I96" s="23">
        <v>30</v>
      </c>
      <c r="J96">
        <v>15</v>
      </c>
      <c r="K96" s="23">
        <v>450</v>
      </c>
      <c r="L96">
        <v>7</v>
      </c>
      <c r="M96" s="22">
        <v>46357</v>
      </c>
      <c r="N96" s="22">
        <v>46357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450</v>
      </c>
      <c r="AA96" s="17">
        <v>450</v>
      </c>
    </row>
    <row r="97" spans="1:27">
      <c r="A97" t="s">
        <v>97</v>
      </c>
      <c r="B97" t="s">
        <v>46</v>
      </c>
      <c r="C97" t="s">
        <v>81</v>
      </c>
      <c r="D97" t="s">
        <v>122</v>
      </c>
      <c r="E97" s="22">
        <v>46363</v>
      </c>
      <c r="F97" s="22">
        <v>46369</v>
      </c>
      <c r="G97" s="23">
        <v>119.98</v>
      </c>
      <c r="H97" s="23">
        <v>149.97999999999999</v>
      </c>
      <c r="I97" s="23">
        <v>30</v>
      </c>
      <c r="J97">
        <v>15</v>
      </c>
      <c r="K97" s="23">
        <v>450</v>
      </c>
      <c r="L97">
        <v>7</v>
      </c>
      <c r="M97" s="22">
        <v>46357</v>
      </c>
      <c r="N97" s="22">
        <v>46357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450</v>
      </c>
      <c r="AA97" s="17">
        <v>450</v>
      </c>
    </row>
    <row r="98" spans="1:27">
      <c r="A98" t="s">
        <v>100</v>
      </c>
      <c r="B98" t="s">
        <v>44</v>
      </c>
      <c r="C98" t="s">
        <v>81</v>
      </c>
      <c r="D98" t="s">
        <v>122</v>
      </c>
      <c r="E98" s="22">
        <v>46363</v>
      </c>
      <c r="F98" s="22">
        <v>46369</v>
      </c>
      <c r="G98" s="23">
        <v>79.98</v>
      </c>
      <c r="H98" s="23">
        <v>99.98</v>
      </c>
      <c r="I98" s="23">
        <v>20</v>
      </c>
      <c r="J98">
        <v>5</v>
      </c>
      <c r="K98" s="23">
        <v>100</v>
      </c>
      <c r="L98">
        <v>7</v>
      </c>
      <c r="M98" s="22">
        <v>46357</v>
      </c>
      <c r="N98" s="22">
        <v>46357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100</v>
      </c>
      <c r="AA98" s="17">
        <v>100</v>
      </c>
    </row>
    <row r="99" spans="1:27">
      <c r="A99" t="s">
        <v>43</v>
      </c>
      <c r="B99" t="s">
        <v>44</v>
      </c>
      <c r="C99" t="s">
        <v>81</v>
      </c>
      <c r="D99" t="s">
        <v>122</v>
      </c>
      <c r="E99" s="22">
        <v>46363</v>
      </c>
      <c r="F99" s="22">
        <v>46369</v>
      </c>
      <c r="G99" s="23">
        <v>79.98</v>
      </c>
      <c r="H99" s="23">
        <v>99.98</v>
      </c>
      <c r="I99" s="23">
        <v>20</v>
      </c>
      <c r="J99">
        <v>20</v>
      </c>
      <c r="K99" s="23">
        <v>400</v>
      </c>
      <c r="L99">
        <v>7</v>
      </c>
      <c r="M99" s="22">
        <v>46357</v>
      </c>
      <c r="N99" s="22">
        <v>46357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400</v>
      </c>
      <c r="AA99" s="17">
        <v>400</v>
      </c>
    </row>
    <row r="100" spans="1:27">
      <c r="A100" t="s">
        <v>51</v>
      </c>
      <c r="B100" t="s">
        <v>52</v>
      </c>
      <c r="C100" t="s">
        <v>81</v>
      </c>
      <c r="D100" t="s">
        <v>122</v>
      </c>
      <c r="E100" s="22">
        <v>46363</v>
      </c>
      <c r="F100" s="22">
        <v>46369</v>
      </c>
      <c r="G100" s="23">
        <v>109.98</v>
      </c>
      <c r="H100" s="23">
        <v>129.97999999999999</v>
      </c>
      <c r="I100" s="23">
        <v>20</v>
      </c>
      <c r="J100">
        <v>50</v>
      </c>
      <c r="K100" s="23">
        <v>1000</v>
      </c>
      <c r="L100">
        <v>7</v>
      </c>
      <c r="M100" s="22">
        <v>46357</v>
      </c>
      <c r="N100" s="22">
        <v>46357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1000</v>
      </c>
      <c r="AA100" s="17">
        <v>1000</v>
      </c>
    </row>
    <row r="101" spans="1:27">
      <c r="A101" t="s">
        <v>53</v>
      </c>
      <c r="B101" t="s">
        <v>53</v>
      </c>
      <c r="C101" t="s">
        <v>81</v>
      </c>
      <c r="D101" t="s">
        <v>122</v>
      </c>
      <c r="E101" s="22">
        <v>46363</v>
      </c>
      <c r="F101" s="22">
        <v>46369</v>
      </c>
      <c r="G101" s="23">
        <v>27.98</v>
      </c>
      <c r="H101" s="23">
        <v>34.979999999999997</v>
      </c>
      <c r="I101" s="23">
        <v>7</v>
      </c>
      <c r="J101">
        <v>70</v>
      </c>
      <c r="K101" s="23">
        <v>490</v>
      </c>
      <c r="L101">
        <v>7</v>
      </c>
      <c r="M101" s="22">
        <v>46357</v>
      </c>
      <c r="N101" s="22">
        <v>46357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490</v>
      </c>
      <c r="AA101" s="17">
        <v>490</v>
      </c>
    </row>
    <row r="102" spans="1:27">
      <c r="A102" t="s">
        <v>102</v>
      </c>
      <c r="B102" t="s">
        <v>50</v>
      </c>
      <c r="C102" t="s">
        <v>81</v>
      </c>
      <c r="D102" t="s">
        <v>122</v>
      </c>
      <c r="E102" s="22">
        <v>46363</v>
      </c>
      <c r="F102" s="22">
        <v>46369</v>
      </c>
      <c r="G102" s="23">
        <v>47.98</v>
      </c>
      <c r="H102" s="23">
        <v>59.98</v>
      </c>
      <c r="I102" s="23">
        <v>12</v>
      </c>
      <c r="J102">
        <v>160</v>
      </c>
      <c r="K102" s="23">
        <v>1920</v>
      </c>
      <c r="L102">
        <v>7</v>
      </c>
      <c r="M102" s="22">
        <v>46357</v>
      </c>
      <c r="N102" s="22">
        <v>46357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1920</v>
      </c>
      <c r="AA102" s="17">
        <v>1920</v>
      </c>
    </row>
    <row r="103" spans="1:27">
      <c r="A103" t="s">
        <v>105</v>
      </c>
      <c r="B103" t="s">
        <v>106</v>
      </c>
      <c r="C103" t="s">
        <v>81</v>
      </c>
      <c r="D103" t="s">
        <v>122</v>
      </c>
      <c r="E103" s="22">
        <v>46363</v>
      </c>
      <c r="F103" s="22">
        <v>46369</v>
      </c>
      <c r="G103" s="23">
        <v>64.98</v>
      </c>
      <c r="H103" s="23">
        <v>79.98</v>
      </c>
      <c r="I103" s="23">
        <v>15</v>
      </c>
      <c r="J103">
        <v>150</v>
      </c>
      <c r="K103" s="23">
        <v>2250</v>
      </c>
      <c r="L103">
        <v>7</v>
      </c>
      <c r="M103" s="22">
        <v>46357</v>
      </c>
      <c r="N103" s="22">
        <v>46357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2250</v>
      </c>
      <c r="AA103" s="17">
        <v>2250</v>
      </c>
    </row>
  </sheetData>
  <autoFilter ref="A1:AA103" xr:uid="{E507D8BB-2898-4121-811D-DE24894D27A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077F-BFD5-47DA-B6B8-505C0EA3A916}">
  <dimension ref="A1:R8"/>
  <sheetViews>
    <sheetView workbookViewId="0"/>
  </sheetViews>
  <sheetFormatPr defaultRowHeight="14.25"/>
  <cols>
    <col min="1" max="1" width="30.7109375" bestFit="1" customWidth="1"/>
    <col min="2" max="16" width="11.42578125" bestFit="1" customWidth="1"/>
    <col min="17" max="18" width="13" bestFit="1" customWidth="1"/>
  </cols>
  <sheetData>
    <row r="1" spans="1:18">
      <c r="A1" s="14"/>
      <c r="B1" s="29">
        <v>46023</v>
      </c>
      <c r="C1" s="29">
        <v>46054</v>
      </c>
      <c r="D1" s="29">
        <v>46082</v>
      </c>
      <c r="E1" s="29">
        <v>46113</v>
      </c>
      <c r="F1" s="29">
        <v>46143</v>
      </c>
      <c r="G1" s="29">
        <v>46174</v>
      </c>
      <c r="H1" s="29">
        <v>46204</v>
      </c>
      <c r="I1" s="29">
        <v>46235</v>
      </c>
      <c r="J1" s="29">
        <v>46266</v>
      </c>
      <c r="K1" s="29">
        <v>46296</v>
      </c>
      <c r="L1" s="29">
        <v>46327</v>
      </c>
      <c r="M1" s="29">
        <v>46357</v>
      </c>
      <c r="N1" s="29" t="s">
        <v>3</v>
      </c>
      <c r="O1" s="29" t="s">
        <v>4</v>
      </c>
      <c r="P1" s="29" t="s">
        <v>5</v>
      </c>
      <c r="Q1" s="29" t="s">
        <v>6</v>
      </c>
      <c r="R1" s="29" t="s">
        <v>7</v>
      </c>
    </row>
    <row r="2" spans="1:18">
      <c r="A2" t="s">
        <v>131</v>
      </c>
      <c r="B2" s="17">
        <v>19678.077369033403</v>
      </c>
      <c r="C2" s="17">
        <v>-37594.934746333551</v>
      </c>
      <c r="D2" s="17">
        <v>123981.67993111053</v>
      </c>
      <c r="E2" s="17">
        <v>-37558.749693824437</v>
      </c>
      <c r="F2" s="17">
        <v>111928.79775634551</v>
      </c>
      <c r="G2" s="17">
        <v>168069.84285961851</v>
      </c>
      <c r="H2" s="17">
        <v>123977.59694687853</v>
      </c>
      <c r="I2" s="17">
        <v>-17562.071793707655</v>
      </c>
      <c r="J2" s="17">
        <v>83957.693812935468</v>
      </c>
      <c r="K2" s="17">
        <v>374372.86543920892</v>
      </c>
      <c r="L2" s="17">
        <v>197124.02398830411</v>
      </c>
      <c r="M2" s="17">
        <v>20572.918130430786</v>
      </c>
      <c r="N2" s="17">
        <v>106064.82255381037</v>
      </c>
      <c r="O2" s="17">
        <v>242439.89092213957</v>
      </c>
      <c r="P2" s="17">
        <v>190373.2189661063</v>
      </c>
      <c r="Q2" s="17">
        <v>592069.80755794374</v>
      </c>
      <c r="R2" s="17">
        <v>1130947.74</v>
      </c>
    </row>
    <row r="3" spans="1:18">
      <c r="A3" t="s">
        <v>132</v>
      </c>
      <c r="B3" s="17">
        <v>82172.417664288703</v>
      </c>
      <c r="C3" s="17">
        <v>60538.052519314573</v>
      </c>
      <c r="D3" s="17">
        <v>74024.065399099854</v>
      </c>
      <c r="E3" s="17">
        <v>59893.042670667361</v>
      </c>
      <c r="F3" s="17">
        <v>90437.116642682915</v>
      </c>
      <c r="G3" s="17">
        <v>79955.706602165679</v>
      </c>
      <c r="H3" s="17">
        <v>72858.557096639212</v>
      </c>
      <c r="I3" s="17">
        <v>69430.411397895543</v>
      </c>
      <c r="J3" s="17">
        <v>89730.871681822347</v>
      </c>
      <c r="K3" s="17">
        <v>113166.56971107234</v>
      </c>
      <c r="L3" s="17">
        <v>122612.08576998051</v>
      </c>
      <c r="M3" s="17">
        <v>85181.102844370951</v>
      </c>
      <c r="N3" s="17">
        <v>216734.53558270313</v>
      </c>
      <c r="O3" s="17">
        <v>230285.86591551595</v>
      </c>
      <c r="P3" s="17">
        <v>232019.8401763571</v>
      </c>
      <c r="Q3" s="17">
        <v>320959.75832542381</v>
      </c>
      <c r="R3" s="17">
        <v>1000000</v>
      </c>
    </row>
    <row r="4" spans="1:18">
      <c r="A4" t="s">
        <v>133</v>
      </c>
      <c r="B4" s="17">
        <v>34198.75</v>
      </c>
      <c r="C4" s="17">
        <v>34198.75</v>
      </c>
      <c r="D4" s="17">
        <v>34198.75</v>
      </c>
      <c r="E4" s="17">
        <v>34198.75</v>
      </c>
      <c r="F4" s="17">
        <v>34198.75</v>
      </c>
      <c r="G4" s="17">
        <v>34198.75</v>
      </c>
      <c r="H4" s="17">
        <v>34198.75</v>
      </c>
      <c r="I4" s="17">
        <v>34198.75</v>
      </c>
      <c r="J4" s="17">
        <v>34198.75</v>
      </c>
      <c r="K4" s="17">
        <v>34198.75</v>
      </c>
      <c r="L4" s="17">
        <v>34198.75</v>
      </c>
      <c r="M4" s="17">
        <v>34198.75</v>
      </c>
      <c r="N4" s="17">
        <v>102596.25</v>
      </c>
      <c r="O4" s="17">
        <v>102596.25</v>
      </c>
      <c r="P4" s="17">
        <v>102596.25</v>
      </c>
      <c r="Q4" s="17">
        <v>102596.25</v>
      </c>
      <c r="R4" s="17">
        <v>410385</v>
      </c>
    </row>
    <row r="5" spans="1:18">
      <c r="A5" t="s">
        <v>134</v>
      </c>
      <c r="B5" s="17">
        <v>59985.864894930761</v>
      </c>
      <c r="C5" s="17">
        <v>44192.778339099648</v>
      </c>
      <c r="D5" s="17">
        <v>54037.5677413429</v>
      </c>
      <c r="E5" s="17">
        <v>43721.921149587179</v>
      </c>
      <c r="F5" s="17">
        <v>66019.095149158544</v>
      </c>
      <c r="G5" s="17">
        <v>58367.665819580958</v>
      </c>
      <c r="H5" s="17">
        <v>53186.746680546632</v>
      </c>
      <c r="I5" s="17">
        <v>50684.200320463759</v>
      </c>
      <c r="J5" s="17">
        <v>65503.536327730326</v>
      </c>
      <c r="K5" s="17">
        <v>82611.595889082819</v>
      </c>
      <c r="L5" s="17">
        <v>89506.822612085787</v>
      </c>
      <c r="M5" s="17">
        <v>62182.205076390812</v>
      </c>
      <c r="N5" s="17">
        <v>158216.21097537331</v>
      </c>
      <c r="O5" s="17">
        <v>168108.68211832669</v>
      </c>
      <c r="P5" s="17">
        <v>169374.48332874069</v>
      </c>
      <c r="Q5" s="17">
        <v>234300.62357755943</v>
      </c>
      <c r="R5" s="17">
        <v>730000.00000000012</v>
      </c>
    </row>
    <row r="6" spans="1:18">
      <c r="A6" t="s">
        <v>135</v>
      </c>
      <c r="B6" s="17">
        <v>3418.37257483441</v>
      </c>
      <c r="C6" s="17">
        <v>2518.3829848034861</v>
      </c>
      <c r="D6" s="17">
        <v>3079.4011206025539</v>
      </c>
      <c r="E6" s="17">
        <v>2491.5505750997622</v>
      </c>
      <c r="F6" s="17">
        <v>3762.1840523356095</v>
      </c>
      <c r="G6" s="17">
        <v>3326.1573946500921</v>
      </c>
      <c r="H6" s="17">
        <v>3030.9159752201913</v>
      </c>
      <c r="I6" s="17">
        <v>2888.3051141524547</v>
      </c>
      <c r="J6" s="17">
        <v>3732.8042619638099</v>
      </c>
      <c r="K6" s="17">
        <v>4707.7292999806095</v>
      </c>
      <c r="L6" s="17">
        <v>5100.6627680311894</v>
      </c>
      <c r="M6" s="17">
        <v>3543.5338783258317</v>
      </c>
      <c r="N6" s="17">
        <v>9016.1566802404504</v>
      </c>
      <c r="O6" s="17">
        <v>9579.8920220854634</v>
      </c>
      <c r="P6" s="17">
        <v>9652.0253513364551</v>
      </c>
      <c r="Q6" s="17">
        <v>13351.925946337631</v>
      </c>
      <c r="R6" s="17">
        <v>41600</v>
      </c>
    </row>
    <row r="7" spans="1:18">
      <c r="A7" t="s">
        <v>136</v>
      </c>
      <c r="B7" s="17">
        <v>1191.5000561321863</v>
      </c>
      <c r="C7" s="17">
        <v>877.8017615300613</v>
      </c>
      <c r="D7" s="17">
        <v>1073.3489482869479</v>
      </c>
      <c r="E7" s="17">
        <v>868.44911872467674</v>
      </c>
      <c r="F7" s="17">
        <v>1311.3381913189023</v>
      </c>
      <c r="G7" s="17">
        <v>1159.3577457314022</v>
      </c>
      <c r="H7" s="17">
        <v>1056.4490779012685</v>
      </c>
      <c r="I7" s="17">
        <v>1006.7409652694854</v>
      </c>
      <c r="J7" s="17">
        <v>1301.0976393864241</v>
      </c>
      <c r="K7" s="17">
        <v>1640.9152608105489</v>
      </c>
      <c r="L7" s="17">
        <v>1777.8752436647173</v>
      </c>
      <c r="M7" s="17">
        <v>1235.1259912433788</v>
      </c>
      <c r="N7" s="17">
        <v>3142.6507659491954</v>
      </c>
      <c r="O7" s="17">
        <v>3339.1450557749813</v>
      </c>
      <c r="P7" s="17">
        <v>3364.2876825571784</v>
      </c>
      <c r="Q7" s="17">
        <v>4653.9164957186449</v>
      </c>
      <c r="R7" s="17">
        <v>14500</v>
      </c>
    </row>
    <row r="8" spans="1:18">
      <c r="A8" s="30" t="s">
        <v>137</v>
      </c>
      <c r="B8" s="31">
        <v>200644.98255921947</v>
      </c>
      <c r="C8" s="31">
        <v>104730.83085841421</v>
      </c>
      <c r="D8" s="31">
        <v>290394.81314044277</v>
      </c>
      <c r="E8" s="31">
        <v>103614.96382025455</v>
      </c>
      <c r="F8" s="31">
        <v>307657.28179184149</v>
      </c>
      <c r="G8" s="31">
        <v>345077.48042174667</v>
      </c>
      <c r="H8" s="31">
        <v>288309.01577718585</v>
      </c>
      <c r="I8" s="31">
        <v>140646.33600407359</v>
      </c>
      <c r="J8" s="31">
        <v>278424.75372383837</v>
      </c>
      <c r="K8" s="31">
        <v>610698.42560015526</v>
      </c>
      <c r="L8" s="31">
        <v>450320.22038206633</v>
      </c>
      <c r="M8" s="31">
        <v>206913.63592076176</v>
      </c>
      <c r="N8" s="31">
        <v>595770.62655807636</v>
      </c>
      <c r="O8" s="31">
        <v>756349.72603384266</v>
      </c>
      <c r="P8" s="31">
        <v>707380.10550509766</v>
      </c>
      <c r="Q8" s="31">
        <v>1267932.2819029833</v>
      </c>
      <c r="R8" s="31">
        <v>3327432.74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13E0-F0E8-4F69-983C-E3887E164390}">
  <dimension ref="A1:Z130"/>
  <sheetViews>
    <sheetView workbookViewId="0"/>
  </sheetViews>
  <sheetFormatPr defaultRowHeight="14.25"/>
  <cols>
    <col min="14" max="14" width="10.42578125" bestFit="1" customWidth="1"/>
    <col min="15" max="16" width="9.42578125" bestFit="1" customWidth="1"/>
    <col min="17" max="17" width="10.42578125" bestFit="1" customWidth="1"/>
    <col min="18" max="19" width="9.42578125" bestFit="1" customWidth="1"/>
    <col min="20" max="20" width="10.42578125" bestFit="1" customWidth="1"/>
    <col min="21" max="22" width="9.42578125" bestFit="1" customWidth="1"/>
    <col min="23" max="25" width="10.42578125" bestFit="1" customWidth="1"/>
    <col min="26" max="26" width="11.42578125" bestFit="1" customWidth="1"/>
  </cols>
  <sheetData>
    <row r="1" spans="1:26">
      <c r="A1" s="14" t="s">
        <v>138</v>
      </c>
      <c r="B1" s="14" t="s">
        <v>2</v>
      </c>
      <c r="C1" s="14" t="s">
        <v>139</v>
      </c>
      <c r="D1" s="14" t="s">
        <v>140</v>
      </c>
      <c r="E1" s="14" t="s">
        <v>141</v>
      </c>
      <c r="F1" s="14" t="s">
        <v>142</v>
      </c>
      <c r="G1" s="14" t="s">
        <v>143</v>
      </c>
      <c r="H1" s="14" t="s">
        <v>144</v>
      </c>
      <c r="I1" s="14" t="s">
        <v>145</v>
      </c>
      <c r="J1" s="14" t="s">
        <v>146</v>
      </c>
      <c r="K1" s="14" t="s">
        <v>147</v>
      </c>
      <c r="L1" s="14" t="s">
        <v>148</v>
      </c>
      <c r="M1" s="14" t="s">
        <v>149</v>
      </c>
      <c r="N1" s="32" t="s">
        <v>150</v>
      </c>
      <c r="O1" s="32" t="s">
        <v>151</v>
      </c>
      <c r="P1" s="32" t="s">
        <v>152</v>
      </c>
      <c r="Q1" s="32" t="s">
        <v>153</v>
      </c>
      <c r="R1" s="32" t="s">
        <v>154</v>
      </c>
      <c r="S1" s="32" t="s">
        <v>155</v>
      </c>
      <c r="T1" s="32" t="s">
        <v>156</v>
      </c>
      <c r="U1" s="32" t="s">
        <v>157</v>
      </c>
      <c r="V1" s="32" t="s">
        <v>158</v>
      </c>
      <c r="W1" s="32" t="s">
        <v>159</v>
      </c>
      <c r="X1" s="32" t="s">
        <v>160</v>
      </c>
      <c r="Y1" s="32" t="s">
        <v>161</v>
      </c>
      <c r="Z1" s="32" t="s">
        <v>162</v>
      </c>
    </row>
    <row r="2" spans="1:26">
      <c r="A2" t="s">
        <v>163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164</v>
      </c>
      <c r="I2" t="s">
        <v>170</v>
      </c>
      <c r="J2" t="s">
        <v>171</v>
      </c>
      <c r="K2" t="s">
        <v>172</v>
      </c>
      <c r="L2" t="s">
        <v>170</v>
      </c>
      <c r="M2" t="s">
        <v>168</v>
      </c>
      <c r="N2" s="17">
        <v>443.75999999999993</v>
      </c>
      <c r="O2" s="17">
        <v>295.83999999999997</v>
      </c>
      <c r="P2" s="17">
        <v>295.83999999999997</v>
      </c>
      <c r="Q2" s="17">
        <v>295.83999999999997</v>
      </c>
      <c r="R2" s="17">
        <v>295.83999999999997</v>
      </c>
      <c r="S2" s="17">
        <v>295.83999999999997</v>
      </c>
      <c r="T2" s="17">
        <v>414.17599999999993</v>
      </c>
      <c r="U2" s="17">
        <v>295.83999999999997</v>
      </c>
      <c r="V2" s="17">
        <v>295.83999999999997</v>
      </c>
      <c r="W2" s="17">
        <v>414.17599999999993</v>
      </c>
      <c r="X2" s="17">
        <v>443.75999999999993</v>
      </c>
      <c r="Y2" s="17">
        <v>443.75999999999993</v>
      </c>
      <c r="Z2" s="17">
        <v>4230.5119999999997</v>
      </c>
    </row>
    <row r="3" spans="1:26">
      <c r="A3" t="s">
        <v>163</v>
      </c>
      <c r="B3" t="s">
        <v>164</v>
      </c>
      <c r="C3" t="s">
        <v>165</v>
      </c>
      <c r="D3" t="s">
        <v>173</v>
      </c>
      <c r="E3" t="s">
        <v>174</v>
      </c>
      <c r="F3" t="s">
        <v>175</v>
      </c>
      <c r="G3" t="s">
        <v>169</v>
      </c>
      <c r="H3" t="s">
        <v>164</v>
      </c>
      <c r="I3" t="s">
        <v>170</v>
      </c>
      <c r="J3" t="s">
        <v>171</v>
      </c>
      <c r="K3" t="s">
        <v>172</v>
      </c>
      <c r="L3" t="s">
        <v>170</v>
      </c>
      <c r="M3" t="s">
        <v>176</v>
      </c>
      <c r="N3" s="17">
        <v>8635.6799999999985</v>
      </c>
      <c r="O3" s="17">
        <v>5996.9999999999991</v>
      </c>
      <c r="P3" s="17">
        <v>5996.9999999999991</v>
      </c>
      <c r="Q3" s="17">
        <v>5996.9999999999991</v>
      </c>
      <c r="R3" s="17">
        <v>5996.9999999999991</v>
      </c>
      <c r="S3" s="17">
        <v>5996.9999999999991</v>
      </c>
      <c r="T3" s="17">
        <v>6716.6399999999985</v>
      </c>
      <c r="U3" s="17">
        <v>5996.9999999999991</v>
      </c>
      <c r="V3" s="17">
        <v>5996.9999999999991</v>
      </c>
      <c r="W3" s="17">
        <v>6716.6399999999985</v>
      </c>
      <c r="X3" s="17">
        <v>7196.3999999999987</v>
      </c>
      <c r="Y3" s="17">
        <v>7196.3999999999987</v>
      </c>
      <c r="Z3" s="17">
        <v>78440.75999999998</v>
      </c>
    </row>
    <row r="4" spans="1:26">
      <c r="A4" t="s">
        <v>163</v>
      </c>
      <c r="B4" t="s">
        <v>164</v>
      </c>
      <c r="C4" t="s">
        <v>165</v>
      </c>
      <c r="D4" t="s">
        <v>173</v>
      </c>
      <c r="E4" t="s">
        <v>177</v>
      </c>
      <c r="F4" t="s">
        <v>178</v>
      </c>
      <c r="G4" t="s">
        <v>169</v>
      </c>
      <c r="H4" t="s">
        <v>164</v>
      </c>
      <c r="I4" t="s">
        <v>170</v>
      </c>
      <c r="J4" t="s">
        <v>171</v>
      </c>
      <c r="K4" t="s">
        <v>172</v>
      </c>
      <c r="L4" t="s">
        <v>170</v>
      </c>
      <c r="M4" t="s">
        <v>176</v>
      </c>
      <c r="N4" s="17">
        <v>7196.3999999999987</v>
      </c>
      <c r="O4" s="17">
        <v>4797.5999999999995</v>
      </c>
      <c r="P4" s="17">
        <v>4797.5999999999995</v>
      </c>
      <c r="Q4" s="17">
        <v>4797.5999999999995</v>
      </c>
      <c r="R4" s="17">
        <v>4797.5999999999995</v>
      </c>
      <c r="S4" s="17">
        <v>4797.5999999999995</v>
      </c>
      <c r="T4" s="17">
        <v>5757.119999999999</v>
      </c>
      <c r="U4" s="17">
        <v>4797.5999999999995</v>
      </c>
      <c r="V4" s="17">
        <v>4797.5999999999995</v>
      </c>
      <c r="W4" s="17">
        <v>5517.2399999999989</v>
      </c>
      <c r="X4" s="17">
        <v>5757.119999999999</v>
      </c>
      <c r="Y4" s="17">
        <v>5757.119999999999</v>
      </c>
      <c r="Z4" s="17">
        <v>63568.199999999983</v>
      </c>
    </row>
    <row r="5" spans="1:26">
      <c r="A5" t="s">
        <v>163</v>
      </c>
      <c r="B5" t="s">
        <v>164</v>
      </c>
      <c r="C5" t="s">
        <v>165</v>
      </c>
      <c r="D5" t="s">
        <v>166</v>
      </c>
      <c r="E5" t="s">
        <v>179</v>
      </c>
      <c r="F5" t="s">
        <v>180</v>
      </c>
      <c r="G5" t="s">
        <v>169</v>
      </c>
      <c r="H5" t="s">
        <v>164</v>
      </c>
      <c r="I5" t="s">
        <v>170</v>
      </c>
      <c r="J5" t="s">
        <v>171</v>
      </c>
      <c r="K5" t="s">
        <v>172</v>
      </c>
      <c r="L5" t="s">
        <v>170</v>
      </c>
      <c r="M5" t="s">
        <v>181</v>
      </c>
      <c r="N5" s="17">
        <v>979.65</v>
      </c>
      <c r="O5" s="17">
        <v>489.82499999999999</v>
      </c>
      <c r="P5" s="17">
        <v>489.82499999999999</v>
      </c>
      <c r="Q5" s="17">
        <v>489.82499999999999</v>
      </c>
      <c r="R5" s="17">
        <v>489.82499999999999</v>
      </c>
      <c r="S5" s="17">
        <v>489.82499999999999</v>
      </c>
      <c r="T5" s="17">
        <v>559.79999999999995</v>
      </c>
      <c r="U5" s="17">
        <v>489.82499999999999</v>
      </c>
      <c r="V5" s="17">
        <v>489.82499999999999</v>
      </c>
      <c r="W5" s="17">
        <v>559.79999999999995</v>
      </c>
      <c r="X5" s="17">
        <v>699.75</v>
      </c>
      <c r="Y5" s="17">
        <v>699.75</v>
      </c>
      <c r="Z5" s="17">
        <v>6927.5249999999996</v>
      </c>
    </row>
    <row r="6" spans="1:26">
      <c r="A6" t="s">
        <v>163</v>
      </c>
      <c r="B6" t="s">
        <v>164</v>
      </c>
      <c r="C6" t="s">
        <v>165</v>
      </c>
      <c r="D6" t="s">
        <v>166</v>
      </c>
      <c r="E6" t="s">
        <v>182</v>
      </c>
      <c r="F6" t="s">
        <v>183</v>
      </c>
      <c r="G6" t="s">
        <v>169</v>
      </c>
      <c r="H6" t="s">
        <v>164</v>
      </c>
      <c r="I6" t="s">
        <v>170</v>
      </c>
      <c r="J6" t="s">
        <v>171</v>
      </c>
      <c r="K6" t="s">
        <v>172</v>
      </c>
      <c r="L6" t="s">
        <v>170</v>
      </c>
      <c r="M6" t="s">
        <v>181</v>
      </c>
      <c r="N6" s="17">
        <v>349.875</v>
      </c>
      <c r="O6" s="17">
        <v>167.94</v>
      </c>
      <c r="P6" s="17">
        <v>167.94</v>
      </c>
      <c r="Q6" s="17">
        <v>167.94</v>
      </c>
      <c r="R6" s="17">
        <v>167.94</v>
      </c>
      <c r="S6" s="17">
        <v>167.94</v>
      </c>
      <c r="T6" s="17">
        <v>209.92499999999998</v>
      </c>
      <c r="U6" s="17">
        <v>167.94</v>
      </c>
      <c r="V6" s="17">
        <v>167.94</v>
      </c>
      <c r="W6" s="17">
        <v>209.92499999999998</v>
      </c>
      <c r="X6" s="17">
        <v>279.89999999999998</v>
      </c>
      <c r="Y6" s="17">
        <v>279.89999999999998</v>
      </c>
      <c r="Z6" s="17">
        <v>2505.1050000000005</v>
      </c>
    </row>
    <row r="7" spans="1:26">
      <c r="A7" t="s">
        <v>163</v>
      </c>
      <c r="B7" t="s">
        <v>164</v>
      </c>
      <c r="C7" t="s">
        <v>165</v>
      </c>
      <c r="D7" t="s">
        <v>166</v>
      </c>
      <c r="E7" t="s">
        <v>184</v>
      </c>
      <c r="F7" t="s">
        <v>185</v>
      </c>
      <c r="G7" t="s">
        <v>169</v>
      </c>
      <c r="H7" t="s">
        <v>164</v>
      </c>
      <c r="I7" t="s">
        <v>170</v>
      </c>
      <c r="J7" t="s">
        <v>171</v>
      </c>
      <c r="K7" t="s">
        <v>172</v>
      </c>
      <c r="L7" t="s">
        <v>170</v>
      </c>
      <c r="M7" t="s">
        <v>186</v>
      </c>
      <c r="N7" s="17">
        <v>10495.8</v>
      </c>
      <c r="O7" s="17">
        <v>7796.8799999999992</v>
      </c>
      <c r="P7" s="17">
        <v>7796.8799999999992</v>
      </c>
      <c r="Q7" s="17">
        <v>7796.8799999999992</v>
      </c>
      <c r="R7" s="17">
        <v>7796.8799999999992</v>
      </c>
      <c r="S7" s="17">
        <v>7796.8799999999992</v>
      </c>
      <c r="T7" s="17">
        <v>8996.4</v>
      </c>
      <c r="U7" s="17">
        <v>7796.8799999999992</v>
      </c>
      <c r="V7" s="17">
        <v>7796.8799999999992</v>
      </c>
      <c r="W7" s="17">
        <v>8996.4</v>
      </c>
      <c r="X7" s="17">
        <v>9896.0399999999991</v>
      </c>
      <c r="Y7" s="17">
        <v>9896.0399999999991</v>
      </c>
      <c r="Z7" s="17">
        <v>102858.83999999998</v>
      </c>
    </row>
    <row r="8" spans="1:26">
      <c r="A8" t="s">
        <v>163</v>
      </c>
      <c r="B8" t="s">
        <v>164</v>
      </c>
      <c r="C8" t="s">
        <v>165</v>
      </c>
      <c r="D8" t="s">
        <v>166</v>
      </c>
      <c r="E8" t="s">
        <v>187</v>
      </c>
      <c r="F8" t="s">
        <v>188</v>
      </c>
      <c r="G8" t="s">
        <v>169</v>
      </c>
      <c r="H8" t="s">
        <v>164</v>
      </c>
      <c r="I8" t="s">
        <v>170</v>
      </c>
      <c r="J8" t="s">
        <v>171</v>
      </c>
      <c r="K8" t="s">
        <v>172</v>
      </c>
      <c r="L8" t="s">
        <v>170</v>
      </c>
      <c r="M8" t="s">
        <v>186</v>
      </c>
      <c r="N8" s="17">
        <v>4498.2</v>
      </c>
      <c r="O8" s="17">
        <v>2399.04</v>
      </c>
      <c r="P8" s="17">
        <v>2399.04</v>
      </c>
      <c r="Q8" s="17">
        <v>2399.04</v>
      </c>
      <c r="R8" s="17">
        <v>2399.04</v>
      </c>
      <c r="S8" s="17">
        <v>2399.04</v>
      </c>
      <c r="T8" s="17">
        <v>3598.5599999999995</v>
      </c>
      <c r="U8" s="17">
        <v>2399.04</v>
      </c>
      <c r="V8" s="17">
        <v>2399.04</v>
      </c>
      <c r="W8" s="17">
        <v>3598.5599999999995</v>
      </c>
      <c r="X8" s="17">
        <v>3898.4399999999996</v>
      </c>
      <c r="Y8" s="17">
        <v>3898.4399999999996</v>
      </c>
      <c r="Z8" s="17">
        <v>36285.479999999996</v>
      </c>
    </row>
    <row r="9" spans="1:26">
      <c r="A9" t="s">
        <v>163</v>
      </c>
      <c r="B9" t="s">
        <v>164</v>
      </c>
      <c r="C9" t="s">
        <v>165</v>
      </c>
      <c r="D9" t="s">
        <v>166</v>
      </c>
      <c r="E9" t="s">
        <v>189</v>
      </c>
      <c r="F9" t="s">
        <v>190</v>
      </c>
      <c r="G9" t="s">
        <v>169</v>
      </c>
      <c r="H9" t="s">
        <v>164</v>
      </c>
      <c r="I9" t="s">
        <v>170</v>
      </c>
      <c r="J9" t="s">
        <v>171</v>
      </c>
      <c r="K9" t="s">
        <v>191</v>
      </c>
      <c r="L9" t="s">
        <v>170</v>
      </c>
      <c r="M9" t="s">
        <v>176</v>
      </c>
      <c r="N9" s="17">
        <v>3838.0799999999995</v>
      </c>
      <c r="O9" s="17">
        <v>2398.7999999999997</v>
      </c>
      <c r="P9" s="17">
        <v>2398.7999999999997</v>
      </c>
      <c r="Q9" s="17">
        <v>2398.7999999999997</v>
      </c>
      <c r="R9" s="17">
        <v>2398.7999999999997</v>
      </c>
      <c r="S9" s="17">
        <v>2398.7999999999997</v>
      </c>
      <c r="T9" s="17">
        <v>2878.5599999999995</v>
      </c>
      <c r="U9" s="17">
        <v>2398.7999999999997</v>
      </c>
      <c r="V9" s="17">
        <v>2398.7999999999997</v>
      </c>
      <c r="W9" s="17">
        <v>2878.5599999999995</v>
      </c>
      <c r="X9" s="17">
        <v>3358.3199999999993</v>
      </c>
      <c r="Y9" s="17">
        <v>3358.3199999999993</v>
      </c>
      <c r="Z9" s="17">
        <v>33103.439999999995</v>
      </c>
    </row>
    <row r="10" spans="1:26">
      <c r="A10" t="s">
        <v>163</v>
      </c>
      <c r="B10" t="s">
        <v>164</v>
      </c>
      <c r="C10" t="s">
        <v>165</v>
      </c>
      <c r="D10" t="s">
        <v>166</v>
      </c>
      <c r="E10" t="s">
        <v>192</v>
      </c>
      <c r="F10" t="s">
        <v>193</v>
      </c>
      <c r="G10" t="s">
        <v>169</v>
      </c>
      <c r="H10" t="s">
        <v>164</v>
      </c>
      <c r="I10" t="s">
        <v>170</v>
      </c>
      <c r="J10" t="s">
        <v>171</v>
      </c>
      <c r="K10" t="s">
        <v>191</v>
      </c>
      <c r="L10" t="s">
        <v>170</v>
      </c>
      <c r="M10" t="s">
        <v>176</v>
      </c>
      <c r="N10" s="17">
        <v>3358.3199999999993</v>
      </c>
      <c r="O10" s="17">
        <v>2014.9919999999997</v>
      </c>
      <c r="P10" s="17">
        <v>2014.9919999999997</v>
      </c>
      <c r="Q10" s="17">
        <v>2014.9919999999997</v>
      </c>
      <c r="R10" s="17">
        <v>2014.9919999999997</v>
      </c>
      <c r="S10" s="17">
        <v>2014.9919999999997</v>
      </c>
      <c r="T10" s="17">
        <v>2350.8239999999996</v>
      </c>
      <c r="U10" s="17">
        <v>2014.9919999999997</v>
      </c>
      <c r="V10" s="17">
        <v>2014.9919999999997</v>
      </c>
      <c r="W10" s="17">
        <v>2350.8239999999996</v>
      </c>
      <c r="X10" s="17">
        <v>3022.4879999999994</v>
      </c>
      <c r="Y10" s="17">
        <v>3022.4879999999994</v>
      </c>
      <c r="Z10" s="17">
        <v>28209.887999999992</v>
      </c>
    </row>
    <row r="11" spans="1:26">
      <c r="A11" t="s">
        <v>163</v>
      </c>
      <c r="B11" t="s">
        <v>164</v>
      </c>
      <c r="C11" t="s">
        <v>165</v>
      </c>
      <c r="D11" t="s">
        <v>166</v>
      </c>
      <c r="E11" t="s">
        <v>194</v>
      </c>
      <c r="F11" t="s">
        <v>195</v>
      </c>
      <c r="G11" t="s">
        <v>169</v>
      </c>
      <c r="H11" t="s">
        <v>164</v>
      </c>
      <c r="I11" t="s">
        <v>170</v>
      </c>
      <c r="J11" t="s">
        <v>171</v>
      </c>
      <c r="K11" t="s">
        <v>191</v>
      </c>
      <c r="L11" t="s">
        <v>170</v>
      </c>
      <c r="M11" t="s">
        <v>196</v>
      </c>
      <c r="N11" s="17">
        <v>14397.6</v>
      </c>
      <c r="O11" s="17">
        <v>9502.4159999999993</v>
      </c>
      <c r="P11" s="17">
        <v>9502.4159999999993</v>
      </c>
      <c r="Q11" s="17">
        <v>7678.72</v>
      </c>
      <c r="R11" s="17">
        <v>7678.72</v>
      </c>
      <c r="S11" s="17">
        <v>8638.56</v>
      </c>
      <c r="T11" s="17">
        <v>11518.08</v>
      </c>
      <c r="U11" s="17">
        <v>8638.56</v>
      </c>
      <c r="V11" s="17">
        <v>8638.56</v>
      </c>
      <c r="W11" s="17">
        <v>11518.08</v>
      </c>
      <c r="X11" s="17">
        <v>12477.92</v>
      </c>
      <c r="Y11" s="17">
        <v>12477.92</v>
      </c>
      <c r="Z11" s="17">
        <v>122667.552</v>
      </c>
    </row>
    <row r="12" spans="1:26">
      <c r="A12" t="s">
        <v>163</v>
      </c>
      <c r="B12" t="s">
        <v>164</v>
      </c>
      <c r="C12" t="s">
        <v>165</v>
      </c>
      <c r="D12" t="s">
        <v>166</v>
      </c>
      <c r="E12" t="s">
        <v>197</v>
      </c>
      <c r="F12" t="s">
        <v>198</v>
      </c>
      <c r="G12" t="s">
        <v>169</v>
      </c>
      <c r="H12" t="s">
        <v>164</v>
      </c>
      <c r="I12" t="s">
        <v>170</v>
      </c>
      <c r="J12" t="s">
        <v>171</v>
      </c>
      <c r="K12" t="s">
        <v>191</v>
      </c>
      <c r="L12" t="s">
        <v>170</v>
      </c>
      <c r="M12" t="s">
        <v>196</v>
      </c>
      <c r="N12" s="17">
        <v>7198.8</v>
      </c>
      <c r="O12" s="17">
        <v>4607.232</v>
      </c>
      <c r="P12" s="17">
        <v>4607.232</v>
      </c>
      <c r="Q12" s="17">
        <v>3839.36</v>
      </c>
      <c r="R12" s="17">
        <v>3839.36</v>
      </c>
      <c r="S12" s="17">
        <v>4319.28</v>
      </c>
      <c r="T12" s="17">
        <v>5759.04</v>
      </c>
      <c r="U12" s="17">
        <v>4319.28</v>
      </c>
      <c r="V12" s="17">
        <v>4319.28</v>
      </c>
      <c r="W12" s="17">
        <v>5759.04</v>
      </c>
      <c r="X12" s="17">
        <v>7198.8</v>
      </c>
      <c r="Y12" s="17">
        <v>7198.8</v>
      </c>
      <c r="Z12" s="17">
        <v>62965.504000000001</v>
      </c>
    </row>
    <row r="13" spans="1:26">
      <c r="A13" t="s">
        <v>163</v>
      </c>
      <c r="B13" t="s">
        <v>164</v>
      </c>
      <c r="C13" t="s">
        <v>165</v>
      </c>
      <c r="D13" t="s">
        <v>173</v>
      </c>
      <c r="E13" t="s">
        <v>199</v>
      </c>
      <c r="F13" t="s">
        <v>200</v>
      </c>
      <c r="G13" t="s">
        <v>169</v>
      </c>
      <c r="H13" t="s">
        <v>164</v>
      </c>
      <c r="I13" t="s">
        <v>201</v>
      </c>
      <c r="J13" t="s">
        <v>202</v>
      </c>
      <c r="K13" t="s">
        <v>172</v>
      </c>
      <c r="L13" t="s">
        <v>201</v>
      </c>
      <c r="M13" t="s">
        <v>203</v>
      </c>
      <c r="N13" s="17">
        <v>872.00000000000011</v>
      </c>
      <c r="O13" s="17">
        <v>872.00000000000011</v>
      </c>
      <c r="P13" s="17">
        <v>763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2507</v>
      </c>
    </row>
    <row r="14" spans="1:26">
      <c r="A14" t="s">
        <v>163</v>
      </c>
      <c r="B14" t="s">
        <v>164</v>
      </c>
      <c r="C14" t="s">
        <v>165</v>
      </c>
      <c r="D14" t="s">
        <v>173</v>
      </c>
      <c r="E14" t="s">
        <v>204</v>
      </c>
      <c r="F14" t="s">
        <v>205</v>
      </c>
      <c r="G14" t="s">
        <v>169</v>
      </c>
      <c r="H14" t="s">
        <v>164</v>
      </c>
      <c r="I14" t="s">
        <v>201</v>
      </c>
      <c r="J14" t="s">
        <v>206</v>
      </c>
      <c r="K14" t="s">
        <v>172</v>
      </c>
      <c r="L14" t="s">
        <v>201</v>
      </c>
      <c r="M14" t="s">
        <v>206</v>
      </c>
      <c r="N14" s="17">
        <v>83.99</v>
      </c>
      <c r="O14" s="17">
        <v>83.99</v>
      </c>
      <c r="P14" s="17">
        <v>83.99</v>
      </c>
      <c r="Q14" s="17">
        <v>83.99</v>
      </c>
      <c r="R14" s="17">
        <v>83.99</v>
      </c>
      <c r="S14" s="17">
        <v>83.99</v>
      </c>
      <c r="T14" s="17">
        <v>117.586</v>
      </c>
      <c r="U14" s="17">
        <v>83.99</v>
      </c>
      <c r="V14" s="17">
        <v>83.99</v>
      </c>
      <c r="W14" s="17">
        <v>117.586</v>
      </c>
      <c r="X14" s="17">
        <v>117.586</v>
      </c>
      <c r="Y14" s="17">
        <v>117.586</v>
      </c>
      <c r="Z14" s="17">
        <v>1142.2639999999999</v>
      </c>
    </row>
    <row r="15" spans="1:26">
      <c r="A15" t="s">
        <v>163</v>
      </c>
      <c r="B15" t="s">
        <v>164</v>
      </c>
      <c r="C15" t="s">
        <v>165</v>
      </c>
      <c r="D15" t="s">
        <v>173</v>
      </c>
      <c r="E15" t="s">
        <v>207</v>
      </c>
      <c r="F15" t="s">
        <v>208</v>
      </c>
      <c r="G15" t="s">
        <v>169</v>
      </c>
      <c r="H15" t="s">
        <v>164</v>
      </c>
      <c r="I15" t="s">
        <v>201</v>
      </c>
      <c r="J15" t="s">
        <v>206</v>
      </c>
      <c r="K15" t="s">
        <v>172</v>
      </c>
      <c r="L15" t="s">
        <v>201</v>
      </c>
      <c r="M15" t="s">
        <v>206</v>
      </c>
      <c r="N15" s="17">
        <v>43.747500000000002</v>
      </c>
      <c r="O15" s="17">
        <v>43.747500000000002</v>
      </c>
      <c r="P15" s="17">
        <v>43.747500000000002</v>
      </c>
      <c r="Q15" s="17">
        <v>43.747500000000002</v>
      </c>
      <c r="R15" s="17">
        <v>43.747500000000002</v>
      </c>
      <c r="S15" s="17">
        <v>43.747500000000002</v>
      </c>
      <c r="T15" s="17">
        <v>61.246500000000012</v>
      </c>
      <c r="U15" s="17">
        <v>43.747500000000002</v>
      </c>
      <c r="V15" s="17">
        <v>43.747500000000002</v>
      </c>
      <c r="W15" s="17">
        <v>61.246500000000012</v>
      </c>
      <c r="X15" s="17">
        <v>61.246500000000012</v>
      </c>
      <c r="Y15" s="17">
        <v>61.246500000000012</v>
      </c>
      <c r="Z15" s="17">
        <v>594.96600000000001</v>
      </c>
    </row>
    <row r="16" spans="1:26">
      <c r="A16" t="s">
        <v>163</v>
      </c>
      <c r="B16" t="s">
        <v>164</v>
      </c>
      <c r="C16" t="s">
        <v>165</v>
      </c>
      <c r="D16" t="s">
        <v>173</v>
      </c>
      <c r="E16" t="s">
        <v>209</v>
      </c>
      <c r="F16" t="s">
        <v>210</v>
      </c>
      <c r="G16" t="s">
        <v>169</v>
      </c>
      <c r="H16" t="s">
        <v>164</v>
      </c>
      <c r="I16" t="s">
        <v>201</v>
      </c>
      <c r="J16" t="s">
        <v>206</v>
      </c>
      <c r="K16" t="s">
        <v>172</v>
      </c>
      <c r="L16" t="s">
        <v>201</v>
      </c>
      <c r="M16" t="s">
        <v>206</v>
      </c>
      <c r="N16" s="17">
        <v>68.246500000000012</v>
      </c>
      <c r="O16" s="17">
        <v>68.246500000000012</v>
      </c>
      <c r="P16" s="17">
        <v>68.246500000000012</v>
      </c>
      <c r="Q16" s="17">
        <v>68.246500000000012</v>
      </c>
      <c r="R16" s="17">
        <v>68.246500000000012</v>
      </c>
      <c r="S16" s="17">
        <v>68.246500000000012</v>
      </c>
      <c r="T16" s="17">
        <v>97.495000000000005</v>
      </c>
      <c r="U16" s="17">
        <v>68.246500000000012</v>
      </c>
      <c r="V16" s="17">
        <v>68.246500000000012</v>
      </c>
      <c r="W16" s="17">
        <v>97.495000000000005</v>
      </c>
      <c r="X16" s="17">
        <v>97.495000000000005</v>
      </c>
      <c r="Y16" s="17">
        <v>97.495000000000005</v>
      </c>
      <c r="Z16" s="17">
        <v>935.95200000000011</v>
      </c>
    </row>
    <row r="17" spans="1:26">
      <c r="A17" t="s">
        <v>163</v>
      </c>
      <c r="B17" t="s">
        <v>164</v>
      </c>
      <c r="C17" t="s">
        <v>165</v>
      </c>
      <c r="D17" t="s">
        <v>173</v>
      </c>
      <c r="E17" t="s">
        <v>211</v>
      </c>
      <c r="F17" t="s">
        <v>212</v>
      </c>
      <c r="G17" t="s">
        <v>169</v>
      </c>
      <c r="H17" t="s">
        <v>164</v>
      </c>
      <c r="I17" t="s">
        <v>213</v>
      </c>
      <c r="J17" t="s">
        <v>214</v>
      </c>
      <c r="K17" t="s">
        <v>172</v>
      </c>
      <c r="L17" t="s">
        <v>213</v>
      </c>
      <c r="M17" t="s">
        <v>214</v>
      </c>
      <c r="N17" s="17">
        <v>419.79</v>
      </c>
      <c r="O17" s="17">
        <v>419.79</v>
      </c>
      <c r="P17" s="17">
        <v>419.79</v>
      </c>
      <c r="Q17" s="17">
        <v>419.79</v>
      </c>
      <c r="R17" s="17">
        <v>419.79</v>
      </c>
      <c r="S17" s="17">
        <v>419.79</v>
      </c>
      <c r="T17" s="17">
        <v>475.762</v>
      </c>
      <c r="U17" s="17">
        <v>335.83199999999999</v>
      </c>
      <c r="V17" s="17">
        <v>335.83199999999999</v>
      </c>
      <c r="W17" s="17">
        <v>475.762</v>
      </c>
      <c r="X17" s="17">
        <v>475.762</v>
      </c>
      <c r="Y17" s="17">
        <v>475.762</v>
      </c>
      <c r="Z17" s="17">
        <v>5093.4519999999993</v>
      </c>
    </row>
    <row r="18" spans="1:26">
      <c r="A18" t="s">
        <v>163</v>
      </c>
      <c r="B18" t="s">
        <v>164</v>
      </c>
      <c r="C18" t="s">
        <v>165</v>
      </c>
      <c r="D18" t="s">
        <v>173</v>
      </c>
      <c r="E18" t="s">
        <v>215</v>
      </c>
      <c r="F18" t="s">
        <v>216</v>
      </c>
      <c r="G18" t="s">
        <v>169</v>
      </c>
      <c r="H18" t="s">
        <v>164</v>
      </c>
      <c r="I18" t="s">
        <v>213</v>
      </c>
      <c r="J18" t="s">
        <v>214</v>
      </c>
      <c r="K18" t="s">
        <v>172</v>
      </c>
      <c r="L18" t="s">
        <v>213</v>
      </c>
      <c r="M18" t="s">
        <v>214</v>
      </c>
      <c r="N18" s="17">
        <v>137.14399999999998</v>
      </c>
      <c r="O18" s="17">
        <v>137.14399999999998</v>
      </c>
      <c r="P18" s="17">
        <v>137.14399999999998</v>
      </c>
      <c r="Q18" s="17">
        <v>137.14399999999998</v>
      </c>
      <c r="R18" s="17">
        <v>137.14399999999998</v>
      </c>
      <c r="S18" s="17">
        <v>137.14399999999998</v>
      </c>
      <c r="T18" s="17">
        <v>195.92</v>
      </c>
      <c r="U18" s="17">
        <v>137.14399999999998</v>
      </c>
      <c r="V18" s="17">
        <v>137.14399999999998</v>
      </c>
      <c r="W18" s="17">
        <v>195.92</v>
      </c>
      <c r="X18" s="17">
        <v>195.92</v>
      </c>
      <c r="Y18" s="17">
        <v>195.92</v>
      </c>
      <c r="Z18" s="17">
        <v>1880.8320000000001</v>
      </c>
    </row>
    <row r="19" spans="1:26">
      <c r="A19" t="s">
        <v>163</v>
      </c>
      <c r="B19" t="s">
        <v>164</v>
      </c>
      <c r="C19" t="s">
        <v>165</v>
      </c>
      <c r="D19" t="s">
        <v>173</v>
      </c>
      <c r="E19" t="s">
        <v>217</v>
      </c>
      <c r="F19" t="s">
        <v>218</v>
      </c>
      <c r="G19" t="s">
        <v>169</v>
      </c>
      <c r="H19" t="s">
        <v>164</v>
      </c>
      <c r="I19" t="s">
        <v>213</v>
      </c>
      <c r="J19" t="s">
        <v>214</v>
      </c>
      <c r="K19" t="s">
        <v>172</v>
      </c>
      <c r="L19" t="s">
        <v>213</v>
      </c>
      <c r="M19" t="s">
        <v>214</v>
      </c>
      <c r="N19" s="17">
        <v>158.352</v>
      </c>
      <c r="O19" s="17">
        <v>158.352</v>
      </c>
      <c r="P19" s="17">
        <v>158.352</v>
      </c>
      <c r="Q19" s="17">
        <v>158.352</v>
      </c>
      <c r="R19" s="17">
        <v>158.352</v>
      </c>
      <c r="S19" s="17">
        <v>158.352</v>
      </c>
      <c r="T19" s="17">
        <v>188.04300000000001</v>
      </c>
      <c r="U19" s="17">
        <v>158.352</v>
      </c>
      <c r="V19" s="17">
        <v>158.352</v>
      </c>
      <c r="W19" s="17">
        <v>188.04300000000001</v>
      </c>
      <c r="X19" s="17">
        <v>188.04300000000001</v>
      </c>
      <c r="Y19" s="17">
        <v>188.04300000000001</v>
      </c>
      <c r="Z19" s="17">
        <v>2018.9880000000003</v>
      </c>
    </row>
    <row r="20" spans="1:26">
      <c r="A20" t="s">
        <v>219</v>
      </c>
      <c r="B20" t="s">
        <v>164</v>
      </c>
      <c r="C20" t="s">
        <v>165</v>
      </c>
      <c r="D20" t="s">
        <v>173</v>
      </c>
      <c r="E20" t="s">
        <v>220</v>
      </c>
      <c r="F20" t="s">
        <v>221</v>
      </c>
      <c r="G20" t="s">
        <v>169</v>
      </c>
      <c r="H20" t="s">
        <v>164</v>
      </c>
      <c r="I20" t="s">
        <v>213</v>
      </c>
      <c r="J20" t="s">
        <v>222</v>
      </c>
      <c r="K20" t="s">
        <v>172</v>
      </c>
      <c r="L20" t="s">
        <v>213</v>
      </c>
      <c r="M20" t="s">
        <v>222</v>
      </c>
      <c r="N20" s="17">
        <v>49.974999999999994</v>
      </c>
      <c r="O20" s="17">
        <v>49.974999999999994</v>
      </c>
      <c r="P20" s="17">
        <v>49.974999999999994</v>
      </c>
      <c r="Q20" s="17">
        <v>49.974999999999994</v>
      </c>
      <c r="R20" s="17">
        <v>49.974999999999994</v>
      </c>
      <c r="S20" s="17">
        <v>49.974999999999994</v>
      </c>
      <c r="T20" s="17">
        <v>119.94</v>
      </c>
      <c r="U20" s="17">
        <v>49.974999999999994</v>
      </c>
      <c r="V20" s="17">
        <v>49.974999999999994</v>
      </c>
      <c r="W20" s="17">
        <v>79.959999999999994</v>
      </c>
      <c r="X20" s="17">
        <v>79.959999999999994</v>
      </c>
      <c r="Y20" s="17">
        <v>79.959999999999994</v>
      </c>
      <c r="Z20" s="17">
        <v>759.62000000000012</v>
      </c>
    </row>
    <row r="21" spans="1:26">
      <c r="A21" t="s">
        <v>219</v>
      </c>
      <c r="B21" t="s">
        <v>164</v>
      </c>
      <c r="C21" t="s">
        <v>165</v>
      </c>
      <c r="D21" t="s">
        <v>173</v>
      </c>
      <c r="E21" t="s">
        <v>223</v>
      </c>
      <c r="F21" t="s">
        <v>221</v>
      </c>
      <c r="G21" t="s">
        <v>169</v>
      </c>
      <c r="H21" t="s">
        <v>164</v>
      </c>
      <c r="I21" t="s">
        <v>213</v>
      </c>
      <c r="J21" t="s">
        <v>222</v>
      </c>
      <c r="K21" t="s">
        <v>172</v>
      </c>
      <c r="L21" t="s">
        <v>213</v>
      </c>
      <c r="M21" t="s">
        <v>222</v>
      </c>
      <c r="N21" s="17">
        <v>49.974999999999994</v>
      </c>
      <c r="O21" s="17">
        <v>49.974999999999994</v>
      </c>
      <c r="P21" s="17">
        <v>49.974999999999994</v>
      </c>
      <c r="Q21" s="17">
        <v>49.974999999999994</v>
      </c>
      <c r="R21" s="17">
        <v>49.974999999999994</v>
      </c>
      <c r="S21" s="17">
        <v>49.974999999999994</v>
      </c>
      <c r="T21" s="17">
        <v>119.94</v>
      </c>
      <c r="U21" s="17">
        <v>49.974999999999994</v>
      </c>
      <c r="V21" s="17">
        <v>49.974999999999994</v>
      </c>
      <c r="W21" s="17">
        <v>79.959999999999994</v>
      </c>
      <c r="X21" s="17">
        <v>79.959999999999994</v>
      </c>
      <c r="Y21" s="17">
        <v>79.959999999999994</v>
      </c>
      <c r="Z21" s="17">
        <v>759.62000000000012</v>
      </c>
    </row>
    <row r="22" spans="1:26">
      <c r="A22" t="s">
        <v>219</v>
      </c>
      <c r="B22" t="s">
        <v>164</v>
      </c>
      <c r="C22" t="s">
        <v>165</v>
      </c>
      <c r="D22" t="s">
        <v>173</v>
      </c>
      <c r="E22" t="s">
        <v>224</v>
      </c>
      <c r="F22" t="s">
        <v>225</v>
      </c>
      <c r="G22" t="s">
        <v>169</v>
      </c>
      <c r="H22" t="s">
        <v>164</v>
      </c>
      <c r="I22" t="s">
        <v>213</v>
      </c>
      <c r="J22" t="s">
        <v>222</v>
      </c>
      <c r="K22" t="s">
        <v>172</v>
      </c>
      <c r="L22" t="s">
        <v>213</v>
      </c>
      <c r="M22" t="s">
        <v>222</v>
      </c>
      <c r="N22" s="17">
        <v>59.920000000000009</v>
      </c>
      <c r="O22" s="17">
        <v>59.920000000000009</v>
      </c>
      <c r="P22" s="17">
        <v>59.920000000000009</v>
      </c>
      <c r="Q22" s="17">
        <v>59.920000000000009</v>
      </c>
      <c r="R22" s="17">
        <v>59.920000000000009</v>
      </c>
      <c r="S22" s="17">
        <v>59.920000000000009</v>
      </c>
      <c r="T22" s="17">
        <v>119.84000000000002</v>
      </c>
      <c r="U22" s="17">
        <v>59.920000000000009</v>
      </c>
      <c r="V22" s="17">
        <v>59.920000000000009</v>
      </c>
      <c r="W22" s="17">
        <v>74.900000000000006</v>
      </c>
      <c r="X22" s="17">
        <v>74.900000000000006</v>
      </c>
      <c r="Y22" s="17">
        <v>74.900000000000006</v>
      </c>
      <c r="Z22" s="17">
        <v>823.9</v>
      </c>
    </row>
    <row r="23" spans="1:26">
      <c r="A23" t="s">
        <v>219</v>
      </c>
      <c r="B23" t="s">
        <v>164</v>
      </c>
      <c r="C23" t="s">
        <v>165</v>
      </c>
      <c r="D23" t="s">
        <v>173</v>
      </c>
      <c r="E23" t="s">
        <v>226</v>
      </c>
      <c r="F23" t="s">
        <v>227</v>
      </c>
      <c r="G23" t="s">
        <v>169</v>
      </c>
      <c r="H23" t="s">
        <v>164</v>
      </c>
      <c r="I23" t="s">
        <v>228</v>
      </c>
      <c r="J23" t="s">
        <v>229</v>
      </c>
      <c r="K23" t="s">
        <v>230</v>
      </c>
      <c r="L23" t="s">
        <v>228</v>
      </c>
      <c r="M23" t="s">
        <v>229</v>
      </c>
      <c r="N23" s="17">
        <v>72.921599999999998</v>
      </c>
      <c r="O23" s="17">
        <v>72.921599999999998</v>
      </c>
      <c r="P23" s="17">
        <v>72.921599999999998</v>
      </c>
      <c r="Q23" s="17">
        <v>72.921599999999998</v>
      </c>
      <c r="R23" s="17">
        <v>72.921599999999998</v>
      </c>
      <c r="S23" s="17">
        <v>72.921599999999998</v>
      </c>
      <c r="T23" s="17">
        <v>145.8432</v>
      </c>
      <c r="U23" s="17">
        <v>72.921599999999998</v>
      </c>
      <c r="V23" s="17">
        <v>72.921599999999998</v>
      </c>
      <c r="W23" s="17">
        <v>72.921599999999998</v>
      </c>
      <c r="X23" s="17">
        <v>145.8432</v>
      </c>
      <c r="Y23" s="17">
        <v>145.8432</v>
      </c>
      <c r="Z23" s="17">
        <v>1093.8240000000001</v>
      </c>
    </row>
    <row r="24" spans="1:26">
      <c r="A24" t="s">
        <v>219</v>
      </c>
      <c r="B24" t="s">
        <v>164</v>
      </c>
      <c r="C24" t="s">
        <v>165</v>
      </c>
      <c r="D24" t="s">
        <v>173</v>
      </c>
      <c r="E24" t="s">
        <v>231</v>
      </c>
      <c r="F24" t="s">
        <v>232</v>
      </c>
      <c r="G24" t="s">
        <v>169</v>
      </c>
      <c r="H24" t="s">
        <v>164</v>
      </c>
      <c r="I24" t="s">
        <v>228</v>
      </c>
      <c r="J24" t="s">
        <v>229</v>
      </c>
      <c r="K24" t="s">
        <v>230</v>
      </c>
      <c r="L24" t="s">
        <v>228</v>
      </c>
      <c r="M24" t="s">
        <v>229</v>
      </c>
      <c r="N24" s="17">
        <v>839.7600000000001</v>
      </c>
      <c r="O24" s="17">
        <v>839.7600000000001</v>
      </c>
      <c r="P24" s="17">
        <v>839.7600000000001</v>
      </c>
      <c r="Q24" s="17">
        <v>839.7600000000001</v>
      </c>
      <c r="R24" s="17">
        <v>839.7600000000001</v>
      </c>
      <c r="S24" s="17">
        <v>839.7600000000001</v>
      </c>
      <c r="T24" s="17">
        <v>1343.6160000000002</v>
      </c>
      <c r="U24" s="17">
        <v>671.80800000000011</v>
      </c>
      <c r="V24" s="17">
        <v>671.80800000000011</v>
      </c>
      <c r="W24" s="17">
        <v>839.7600000000001</v>
      </c>
      <c r="X24" s="17">
        <v>839.7600000000001</v>
      </c>
      <c r="Y24" s="17">
        <v>839.7600000000001</v>
      </c>
      <c r="Z24" s="17">
        <v>10245.072</v>
      </c>
    </row>
    <row r="25" spans="1:26">
      <c r="A25" t="s">
        <v>219</v>
      </c>
      <c r="B25" t="s">
        <v>164</v>
      </c>
      <c r="C25" t="s">
        <v>165</v>
      </c>
      <c r="D25" t="s">
        <v>173</v>
      </c>
      <c r="E25" t="s">
        <v>233</v>
      </c>
      <c r="F25" t="s">
        <v>234</v>
      </c>
      <c r="G25" t="s">
        <v>169</v>
      </c>
      <c r="H25" t="s">
        <v>164</v>
      </c>
      <c r="I25" t="s">
        <v>228</v>
      </c>
      <c r="J25" t="s">
        <v>229</v>
      </c>
      <c r="K25" t="s">
        <v>230</v>
      </c>
      <c r="L25" t="s">
        <v>228</v>
      </c>
      <c r="M25" t="s">
        <v>229</v>
      </c>
      <c r="N25" s="17">
        <v>215.89199999999997</v>
      </c>
      <c r="O25" s="17">
        <v>215.89199999999997</v>
      </c>
      <c r="P25" s="17">
        <v>215.89199999999997</v>
      </c>
      <c r="Q25" s="17">
        <v>215.89199999999997</v>
      </c>
      <c r="R25" s="17">
        <v>215.89199999999997</v>
      </c>
      <c r="S25" s="17">
        <v>215.89199999999997</v>
      </c>
      <c r="T25" s="17">
        <v>287.85599999999994</v>
      </c>
      <c r="U25" s="17">
        <v>215.89199999999997</v>
      </c>
      <c r="V25" s="17">
        <v>215.89199999999997</v>
      </c>
      <c r="W25" s="17">
        <v>215.89199999999997</v>
      </c>
      <c r="X25" s="17">
        <v>287.85599999999994</v>
      </c>
      <c r="Y25" s="17">
        <v>287.85599999999994</v>
      </c>
      <c r="Z25" s="17">
        <v>2806.5959999999995</v>
      </c>
    </row>
    <row r="26" spans="1:26">
      <c r="A26" t="s">
        <v>219</v>
      </c>
      <c r="B26" t="s">
        <v>164</v>
      </c>
      <c r="C26" t="s">
        <v>165</v>
      </c>
      <c r="D26" t="s">
        <v>173</v>
      </c>
      <c r="E26" t="s">
        <v>235</v>
      </c>
      <c r="F26" t="s">
        <v>234</v>
      </c>
      <c r="G26" t="s">
        <v>169</v>
      </c>
      <c r="H26" t="s">
        <v>164</v>
      </c>
      <c r="I26" t="s">
        <v>228</v>
      </c>
      <c r="J26" t="s">
        <v>229</v>
      </c>
      <c r="K26" t="s">
        <v>230</v>
      </c>
      <c r="L26" t="s">
        <v>228</v>
      </c>
      <c r="M26" t="s">
        <v>229</v>
      </c>
      <c r="N26" s="17">
        <v>62.974799999999995</v>
      </c>
      <c r="O26" s="17">
        <v>62.974799999999995</v>
      </c>
      <c r="P26" s="17">
        <v>62.974799999999995</v>
      </c>
      <c r="Q26" s="17">
        <v>62.974799999999995</v>
      </c>
      <c r="R26" s="17">
        <v>62.974799999999995</v>
      </c>
      <c r="S26" s="17">
        <v>62.974799999999995</v>
      </c>
      <c r="T26" s="17">
        <v>71.971199999999996</v>
      </c>
      <c r="U26" s="17">
        <v>62.974799999999995</v>
      </c>
      <c r="V26" s="17">
        <v>62.974799999999995</v>
      </c>
      <c r="W26" s="17">
        <v>62.974799999999995</v>
      </c>
      <c r="X26" s="17">
        <v>71.971199999999996</v>
      </c>
      <c r="Y26" s="17">
        <v>71.971199999999996</v>
      </c>
      <c r="Z26" s="17">
        <v>782.68679999999983</v>
      </c>
    </row>
    <row r="27" spans="1:26">
      <c r="A27" t="s">
        <v>219</v>
      </c>
      <c r="B27" t="s">
        <v>164</v>
      </c>
      <c r="C27" t="s">
        <v>165</v>
      </c>
      <c r="D27" t="s">
        <v>173</v>
      </c>
      <c r="E27" t="s">
        <v>236</v>
      </c>
      <c r="F27" t="s">
        <v>234</v>
      </c>
      <c r="G27" t="s">
        <v>169</v>
      </c>
      <c r="H27" t="s">
        <v>164</v>
      </c>
      <c r="I27" t="s">
        <v>228</v>
      </c>
      <c r="J27" t="s">
        <v>229</v>
      </c>
      <c r="K27" t="s">
        <v>230</v>
      </c>
      <c r="L27" t="s">
        <v>228</v>
      </c>
      <c r="M27" t="s">
        <v>229</v>
      </c>
      <c r="N27" s="17">
        <v>44.625599999999999</v>
      </c>
      <c r="O27" s="17">
        <v>44.625599999999999</v>
      </c>
      <c r="P27" s="17">
        <v>44.625599999999999</v>
      </c>
      <c r="Q27" s="17">
        <v>44.625599999999999</v>
      </c>
      <c r="R27" s="17">
        <v>44.625599999999999</v>
      </c>
      <c r="S27" s="17">
        <v>44.625599999999999</v>
      </c>
      <c r="T27" s="17">
        <v>55.781999999999996</v>
      </c>
      <c r="U27" s="17">
        <v>44.625599999999999</v>
      </c>
      <c r="V27" s="17">
        <v>44.625599999999999</v>
      </c>
      <c r="W27" s="17">
        <v>44.625599999999999</v>
      </c>
      <c r="X27" s="17">
        <v>55.781999999999996</v>
      </c>
      <c r="Y27" s="17">
        <v>55.781999999999996</v>
      </c>
      <c r="Z27" s="17">
        <v>568.97640000000013</v>
      </c>
    </row>
    <row r="28" spans="1:26">
      <c r="A28" t="s">
        <v>219</v>
      </c>
      <c r="B28" t="s">
        <v>164</v>
      </c>
      <c r="C28" t="s">
        <v>165</v>
      </c>
      <c r="D28" t="s">
        <v>173</v>
      </c>
      <c r="E28" t="s">
        <v>237</v>
      </c>
      <c r="F28" t="s">
        <v>238</v>
      </c>
      <c r="G28" t="s">
        <v>169</v>
      </c>
      <c r="H28" t="s">
        <v>164</v>
      </c>
      <c r="I28" t="s">
        <v>228</v>
      </c>
      <c r="J28" t="s">
        <v>239</v>
      </c>
      <c r="K28" t="s">
        <v>230</v>
      </c>
      <c r="L28" t="s">
        <v>228</v>
      </c>
      <c r="M28" t="s">
        <v>239</v>
      </c>
      <c r="N28" s="17">
        <v>611.86400000000015</v>
      </c>
      <c r="O28" s="17">
        <v>611.86400000000015</v>
      </c>
      <c r="P28" s="17">
        <v>611.86400000000015</v>
      </c>
      <c r="Q28" s="17">
        <v>611.86400000000015</v>
      </c>
      <c r="R28" s="17">
        <v>611.86400000000015</v>
      </c>
      <c r="S28" s="17">
        <v>611.86400000000015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3671.1840000000007</v>
      </c>
    </row>
    <row r="29" spans="1:26">
      <c r="A29" t="s">
        <v>219</v>
      </c>
      <c r="B29" t="s">
        <v>164</v>
      </c>
      <c r="C29" t="s">
        <v>165</v>
      </c>
      <c r="D29" t="s">
        <v>173</v>
      </c>
      <c r="E29" t="s">
        <v>240</v>
      </c>
      <c r="F29" t="s">
        <v>241</v>
      </c>
      <c r="G29" t="s">
        <v>169</v>
      </c>
      <c r="H29" t="s">
        <v>164</v>
      </c>
      <c r="I29" t="s">
        <v>228</v>
      </c>
      <c r="J29" t="s">
        <v>239</v>
      </c>
      <c r="K29" t="s">
        <v>230</v>
      </c>
      <c r="L29" t="s">
        <v>228</v>
      </c>
      <c r="M29" t="s">
        <v>239</v>
      </c>
      <c r="N29" s="17">
        <v>1559.376</v>
      </c>
      <c r="O29" s="17">
        <v>1559.376</v>
      </c>
      <c r="P29" s="17">
        <v>1559.376</v>
      </c>
      <c r="Q29" s="17">
        <v>1559.376</v>
      </c>
      <c r="R29" s="17">
        <v>1559.376</v>
      </c>
      <c r="S29" s="17">
        <v>1559.376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9356.2559999999994</v>
      </c>
    </row>
    <row r="30" spans="1:26">
      <c r="A30" t="s">
        <v>219</v>
      </c>
      <c r="B30" t="s">
        <v>164</v>
      </c>
      <c r="C30" t="s">
        <v>165</v>
      </c>
      <c r="D30" t="s">
        <v>173</v>
      </c>
      <c r="E30" t="s">
        <v>242</v>
      </c>
      <c r="F30" t="s">
        <v>243</v>
      </c>
      <c r="G30" t="s">
        <v>169</v>
      </c>
      <c r="H30" t="s">
        <v>164</v>
      </c>
      <c r="I30" t="s">
        <v>228</v>
      </c>
      <c r="J30" t="s">
        <v>239</v>
      </c>
      <c r="K30" t="s">
        <v>230</v>
      </c>
      <c r="L30" t="s">
        <v>228</v>
      </c>
      <c r="M30" t="s">
        <v>239</v>
      </c>
      <c r="N30" s="17">
        <v>35.904300000000006</v>
      </c>
      <c r="O30" s="17">
        <v>35.904300000000006</v>
      </c>
      <c r="P30" s="17">
        <v>35.904300000000006</v>
      </c>
      <c r="Q30" s="17">
        <v>35.904300000000006</v>
      </c>
      <c r="R30" s="17">
        <v>35.904300000000006</v>
      </c>
      <c r="S30" s="17">
        <v>35.904300000000006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215.42580000000004</v>
      </c>
    </row>
    <row r="31" spans="1:26">
      <c r="A31" t="s">
        <v>219</v>
      </c>
      <c r="B31" t="s">
        <v>164</v>
      </c>
      <c r="C31" t="s">
        <v>165</v>
      </c>
      <c r="D31" t="s">
        <v>173</v>
      </c>
      <c r="E31" t="s">
        <v>244</v>
      </c>
      <c r="F31" t="s">
        <v>245</v>
      </c>
      <c r="G31" t="s">
        <v>169</v>
      </c>
      <c r="H31" t="s">
        <v>164</v>
      </c>
      <c r="I31" t="s">
        <v>228</v>
      </c>
      <c r="J31" t="s">
        <v>246</v>
      </c>
      <c r="K31" t="s">
        <v>230</v>
      </c>
      <c r="L31" t="s">
        <v>228</v>
      </c>
      <c r="M31" t="s">
        <v>246</v>
      </c>
      <c r="N31" s="17">
        <v>587.11950000000002</v>
      </c>
      <c r="O31" s="17">
        <v>587.11950000000002</v>
      </c>
      <c r="P31" s="17">
        <v>587.11950000000002</v>
      </c>
      <c r="Q31" s="17">
        <v>587.11950000000002</v>
      </c>
      <c r="R31" s="17">
        <v>587.11950000000002</v>
      </c>
      <c r="S31" s="17">
        <v>587.11950000000002</v>
      </c>
      <c r="T31" s="17">
        <v>681.05862000000002</v>
      </c>
      <c r="U31" s="17">
        <v>587.11950000000002</v>
      </c>
      <c r="V31" s="17">
        <v>587.11950000000002</v>
      </c>
      <c r="W31" s="17">
        <v>681.05862000000002</v>
      </c>
      <c r="X31" s="17">
        <v>845.45208000000002</v>
      </c>
      <c r="Y31" s="17">
        <v>728.02818000000002</v>
      </c>
      <c r="Z31" s="17">
        <v>7632.5534999999991</v>
      </c>
    </row>
    <row r="32" spans="1:26">
      <c r="A32" t="s">
        <v>219</v>
      </c>
      <c r="B32" t="s">
        <v>164</v>
      </c>
      <c r="C32" t="s">
        <v>165</v>
      </c>
      <c r="D32" t="s">
        <v>173</v>
      </c>
      <c r="E32" t="s">
        <v>247</v>
      </c>
      <c r="F32" t="s">
        <v>248</v>
      </c>
      <c r="G32" t="s">
        <v>169</v>
      </c>
      <c r="H32" t="s">
        <v>164</v>
      </c>
      <c r="I32" t="s">
        <v>228</v>
      </c>
      <c r="J32" t="s">
        <v>246</v>
      </c>
      <c r="K32" t="s">
        <v>230</v>
      </c>
      <c r="L32" t="s">
        <v>228</v>
      </c>
      <c r="M32" t="s">
        <v>246</v>
      </c>
      <c r="N32" s="17">
        <v>767.80800000000011</v>
      </c>
      <c r="O32" s="17">
        <v>767.80800000000011</v>
      </c>
      <c r="P32" s="17">
        <v>767.80800000000011</v>
      </c>
      <c r="Q32" s="17">
        <v>767.80800000000011</v>
      </c>
      <c r="R32" s="17">
        <v>767.80800000000011</v>
      </c>
      <c r="S32" s="17">
        <v>767.80800000000011</v>
      </c>
      <c r="T32" s="17">
        <v>895.77600000000007</v>
      </c>
      <c r="U32" s="17">
        <v>767.80800000000011</v>
      </c>
      <c r="V32" s="17">
        <v>0</v>
      </c>
      <c r="W32" s="17">
        <v>0</v>
      </c>
      <c r="X32" s="17">
        <v>0</v>
      </c>
      <c r="Y32" s="17">
        <v>0</v>
      </c>
      <c r="Z32" s="17">
        <v>6270.4320000000007</v>
      </c>
    </row>
    <row r="33" spans="1:26">
      <c r="A33" t="s">
        <v>219</v>
      </c>
      <c r="B33" t="s">
        <v>164</v>
      </c>
      <c r="C33" t="s">
        <v>165</v>
      </c>
      <c r="D33" t="s">
        <v>173</v>
      </c>
      <c r="E33" t="s">
        <v>249</v>
      </c>
      <c r="F33" t="s">
        <v>250</v>
      </c>
      <c r="G33" t="s">
        <v>169</v>
      </c>
      <c r="H33" t="s">
        <v>164</v>
      </c>
      <c r="I33" t="s">
        <v>228</v>
      </c>
      <c r="J33" t="s">
        <v>246</v>
      </c>
      <c r="K33" t="s">
        <v>230</v>
      </c>
      <c r="L33" t="s">
        <v>228</v>
      </c>
      <c r="M33" t="s">
        <v>246</v>
      </c>
      <c r="N33" s="17">
        <v>739.69199999999989</v>
      </c>
      <c r="O33" s="17">
        <v>739.69199999999989</v>
      </c>
      <c r="P33" s="17">
        <v>739.69199999999989</v>
      </c>
      <c r="Q33" s="17">
        <v>739.69199999999989</v>
      </c>
      <c r="R33" s="17">
        <v>739.69199999999989</v>
      </c>
      <c r="S33" s="17">
        <v>739.69199999999989</v>
      </c>
      <c r="T33" s="17">
        <v>986.25599999999986</v>
      </c>
      <c r="U33" s="17">
        <v>739.69199999999989</v>
      </c>
      <c r="V33" s="17">
        <v>0</v>
      </c>
      <c r="W33" s="17">
        <v>0</v>
      </c>
      <c r="X33" s="17">
        <v>0</v>
      </c>
      <c r="Y33" s="17">
        <v>0</v>
      </c>
      <c r="Z33" s="17">
        <v>6164.0999999999995</v>
      </c>
    </row>
    <row r="34" spans="1:26">
      <c r="A34" t="s">
        <v>219</v>
      </c>
      <c r="B34" t="s">
        <v>164</v>
      </c>
      <c r="C34" t="s">
        <v>165</v>
      </c>
      <c r="D34" t="s">
        <v>173</v>
      </c>
      <c r="E34" t="s">
        <v>251</v>
      </c>
      <c r="F34" t="s">
        <v>252</v>
      </c>
      <c r="G34" t="s">
        <v>169</v>
      </c>
      <c r="H34" t="s">
        <v>164</v>
      </c>
      <c r="I34" t="s">
        <v>228</v>
      </c>
      <c r="J34" t="s">
        <v>246</v>
      </c>
      <c r="K34" t="s">
        <v>230</v>
      </c>
      <c r="L34" t="s">
        <v>228</v>
      </c>
      <c r="M34" t="s">
        <v>246</v>
      </c>
      <c r="N34" s="17">
        <v>539.94000000000005</v>
      </c>
      <c r="O34" s="17">
        <v>539.94000000000005</v>
      </c>
      <c r="P34" s="17">
        <v>539.94000000000005</v>
      </c>
      <c r="Q34" s="17">
        <v>539.94000000000005</v>
      </c>
      <c r="R34" s="17">
        <v>539.94000000000005</v>
      </c>
      <c r="S34" s="17">
        <v>539.94000000000005</v>
      </c>
      <c r="T34" s="17">
        <v>719.92000000000007</v>
      </c>
      <c r="U34" s="17">
        <v>539.94000000000005</v>
      </c>
      <c r="V34" s="17">
        <v>0</v>
      </c>
      <c r="W34" s="17">
        <v>0</v>
      </c>
      <c r="X34" s="17">
        <v>0</v>
      </c>
      <c r="Y34" s="17">
        <v>0</v>
      </c>
      <c r="Z34" s="17">
        <v>4499.5</v>
      </c>
    </row>
    <row r="35" spans="1:26">
      <c r="A35" t="s">
        <v>219</v>
      </c>
      <c r="B35" t="s">
        <v>164</v>
      </c>
      <c r="C35" t="s">
        <v>165</v>
      </c>
      <c r="D35" t="s">
        <v>173</v>
      </c>
      <c r="E35" t="s">
        <v>253</v>
      </c>
      <c r="F35" t="s">
        <v>254</v>
      </c>
      <c r="G35" t="s">
        <v>169</v>
      </c>
      <c r="H35" t="s">
        <v>164</v>
      </c>
      <c r="I35" t="s">
        <v>228</v>
      </c>
      <c r="J35" t="s">
        <v>246</v>
      </c>
      <c r="K35" t="s">
        <v>230</v>
      </c>
      <c r="L35" t="s">
        <v>228</v>
      </c>
      <c r="M35" t="s">
        <v>246</v>
      </c>
      <c r="N35" s="17">
        <v>666</v>
      </c>
      <c r="O35" s="17">
        <v>666</v>
      </c>
      <c r="P35" s="17">
        <v>666</v>
      </c>
      <c r="Q35" s="17">
        <v>666</v>
      </c>
      <c r="R35" s="17">
        <v>666</v>
      </c>
      <c r="S35" s="17">
        <v>666</v>
      </c>
      <c r="T35" s="17">
        <v>814</v>
      </c>
      <c r="U35" s="17">
        <v>666</v>
      </c>
      <c r="V35" s="17">
        <v>0</v>
      </c>
      <c r="W35" s="17">
        <v>0</v>
      </c>
      <c r="X35" s="17">
        <v>0</v>
      </c>
      <c r="Y35" s="17">
        <v>0</v>
      </c>
      <c r="Z35" s="17">
        <v>5476</v>
      </c>
    </row>
    <row r="36" spans="1:26">
      <c r="A36" t="s">
        <v>219</v>
      </c>
      <c r="B36" t="s">
        <v>164</v>
      </c>
      <c r="C36" t="s">
        <v>165</v>
      </c>
      <c r="D36" t="s">
        <v>173</v>
      </c>
      <c r="E36" t="s">
        <v>255</v>
      </c>
      <c r="F36" t="s">
        <v>256</v>
      </c>
      <c r="G36" t="s">
        <v>169</v>
      </c>
      <c r="H36" t="s">
        <v>164</v>
      </c>
      <c r="I36" t="s">
        <v>228</v>
      </c>
      <c r="J36" t="s">
        <v>246</v>
      </c>
      <c r="K36" t="s">
        <v>230</v>
      </c>
      <c r="L36" t="s">
        <v>228</v>
      </c>
      <c r="M36" t="s">
        <v>246</v>
      </c>
      <c r="N36" s="17">
        <v>189.96000000000004</v>
      </c>
      <c r="O36" s="17">
        <v>189.96000000000004</v>
      </c>
      <c r="P36" s="17">
        <v>189.96000000000004</v>
      </c>
      <c r="Q36" s="17">
        <v>189.96000000000004</v>
      </c>
      <c r="R36" s="17">
        <v>189.96000000000004</v>
      </c>
      <c r="S36" s="17">
        <v>189.96000000000004</v>
      </c>
      <c r="T36" s="17">
        <v>284.94000000000005</v>
      </c>
      <c r="U36" s="17">
        <v>189.96000000000004</v>
      </c>
      <c r="V36" s="17">
        <v>189.96000000000004</v>
      </c>
      <c r="W36" s="17">
        <v>284.94000000000005</v>
      </c>
      <c r="X36" s="17">
        <v>379.92000000000007</v>
      </c>
      <c r="Y36" s="17">
        <v>284.94000000000005</v>
      </c>
      <c r="Z36" s="17">
        <v>2754.4200000000005</v>
      </c>
    </row>
    <row r="37" spans="1:26">
      <c r="A37" t="s">
        <v>219</v>
      </c>
      <c r="B37" t="s">
        <v>164</v>
      </c>
      <c r="C37" t="s">
        <v>165</v>
      </c>
      <c r="D37" t="s">
        <v>173</v>
      </c>
      <c r="E37" t="s">
        <v>257</v>
      </c>
      <c r="F37" t="s">
        <v>258</v>
      </c>
      <c r="G37" t="s">
        <v>169</v>
      </c>
      <c r="H37" t="s">
        <v>164</v>
      </c>
      <c r="I37" t="s">
        <v>228</v>
      </c>
      <c r="J37" t="s">
        <v>246</v>
      </c>
      <c r="K37" t="s">
        <v>230</v>
      </c>
      <c r="L37" t="s">
        <v>228</v>
      </c>
      <c r="M37" t="s">
        <v>246</v>
      </c>
      <c r="N37" s="17">
        <v>419.92000000000007</v>
      </c>
      <c r="O37" s="17">
        <v>419.92000000000007</v>
      </c>
      <c r="P37" s="17">
        <v>419.92000000000007</v>
      </c>
      <c r="Q37" s="17">
        <v>419.92000000000007</v>
      </c>
      <c r="R37" s="17">
        <v>419.92000000000007</v>
      </c>
      <c r="S37" s="17">
        <v>419.92000000000007</v>
      </c>
      <c r="T37" s="17">
        <v>629.88000000000011</v>
      </c>
      <c r="U37" s="17">
        <v>419.92000000000007</v>
      </c>
      <c r="V37" s="17">
        <v>419.92000000000007</v>
      </c>
      <c r="W37" s="17">
        <v>629.88000000000011</v>
      </c>
      <c r="X37" s="17">
        <v>839.84000000000015</v>
      </c>
      <c r="Y37" s="17">
        <v>629.88000000000011</v>
      </c>
      <c r="Z37" s="17">
        <v>6088.8400000000011</v>
      </c>
    </row>
    <row r="38" spans="1:26">
      <c r="A38" t="s">
        <v>259</v>
      </c>
      <c r="B38" t="s">
        <v>164</v>
      </c>
      <c r="C38" t="s">
        <v>165</v>
      </c>
      <c r="D38" t="s">
        <v>173</v>
      </c>
      <c r="E38" t="s">
        <v>260</v>
      </c>
      <c r="F38" t="s">
        <v>261</v>
      </c>
      <c r="G38" t="s">
        <v>169</v>
      </c>
      <c r="H38" t="s">
        <v>164</v>
      </c>
      <c r="I38" t="s">
        <v>262</v>
      </c>
      <c r="J38" t="s">
        <v>261</v>
      </c>
      <c r="K38" t="s">
        <v>172</v>
      </c>
      <c r="L38" t="s">
        <v>262</v>
      </c>
      <c r="M38" t="s">
        <v>261</v>
      </c>
      <c r="N38" s="17">
        <v>3747.0000000000005</v>
      </c>
      <c r="O38" s="17">
        <v>3747.0000000000005</v>
      </c>
      <c r="P38" s="17">
        <v>3747.0000000000005</v>
      </c>
      <c r="Q38" s="17">
        <v>3747.0000000000005</v>
      </c>
      <c r="R38" s="17">
        <v>3747.0000000000005</v>
      </c>
      <c r="S38" s="17">
        <v>3747.0000000000005</v>
      </c>
      <c r="T38" s="17">
        <v>4996</v>
      </c>
      <c r="U38" s="17">
        <v>3747.0000000000005</v>
      </c>
      <c r="V38" s="17">
        <v>3747.0000000000005</v>
      </c>
      <c r="W38" s="17">
        <v>4996</v>
      </c>
      <c r="X38" s="17">
        <v>5995.2000000000007</v>
      </c>
      <c r="Y38" s="17">
        <v>5495.6</v>
      </c>
      <c r="Z38" s="17">
        <v>51458.80000000001</v>
      </c>
    </row>
    <row r="39" spans="1:26">
      <c r="A39" t="s">
        <v>259</v>
      </c>
      <c r="B39" t="s">
        <v>164</v>
      </c>
      <c r="C39" t="s">
        <v>165</v>
      </c>
      <c r="D39" t="s">
        <v>173</v>
      </c>
      <c r="E39" t="s">
        <v>263</v>
      </c>
      <c r="F39" t="s">
        <v>264</v>
      </c>
      <c r="G39" t="s">
        <v>169</v>
      </c>
      <c r="H39" t="s">
        <v>164</v>
      </c>
      <c r="I39" t="s">
        <v>262</v>
      </c>
      <c r="J39" t="s">
        <v>261</v>
      </c>
      <c r="K39" t="s">
        <v>172</v>
      </c>
      <c r="L39" t="s">
        <v>262</v>
      </c>
      <c r="M39" t="s">
        <v>261</v>
      </c>
      <c r="N39" s="17">
        <v>249.875</v>
      </c>
      <c r="O39" s="17">
        <v>249.875</v>
      </c>
      <c r="P39" s="17">
        <v>249.875</v>
      </c>
      <c r="Q39" s="17">
        <v>249.875</v>
      </c>
      <c r="R39" s="17">
        <v>249.875</v>
      </c>
      <c r="S39" s="17">
        <v>249.875</v>
      </c>
      <c r="T39" s="17">
        <v>349.82499999999999</v>
      </c>
      <c r="U39" s="17">
        <v>249.875</v>
      </c>
      <c r="V39" s="17">
        <v>249.875</v>
      </c>
      <c r="W39" s="17">
        <v>249.875</v>
      </c>
      <c r="X39" s="17">
        <v>349.82499999999999</v>
      </c>
      <c r="Y39" s="17">
        <v>349.82499999999999</v>
      </c>
      <c r="Z39" s="17">
        <v>3298.3499999999995</v>
      </c>
    </row>
    <row r="40" spans="1:26">
      <c r="A40" t="s">
        <v>259</v>
      </c>
      <c r="B40" t="s">
        <v>164</v>
      </c>
      <c r="C40" t="s">
        <v>165</v>
      </c>
      <c r="D40" t="s">
        <v>173</v>
      </c>
      <c r="E40" t="s">
        <v>265</v>
      </c>
      <c r="F40" t="s">
        <v>266</v>
      </c>
      <c r="G40" t="s">
        <v>169</v>
      </c>
      <c r="H40" t="s">
        <v>164</v>
      </c>
      <c r="I40" t="s">
        <v>262</v>
      </c>
      <c r="J40" t="s">
        <v>261</v>
      </c>
      <c r="K40" t="s">
        <v>172</v>
      </c>
      <c r="L40" t="s">
        <v>262</v>
      </c>
      <c r="M40" t="s">
        <v>261</v>
      </c>
      <c r="N40" s="17">
        <v>40.455800000000004</v>
      </c>
      <c r="O40" s="17">
        <v>40.455800000000004</v>
      </c>
      <c r="P40" s="17">
        <v>40.455800000000004</v>
      </c>
      <c r="Q40" s="17">
        <v>40.455800000000004</v>
      </c>
      <c r="R40" s="17">
        <v>40.455800000000004</v>
      </c>
      <c r="S40" s="17">
        <v>40.455800000000004</v>
      </c>
      <c r="T40" s="17">
        <v>60.683700000000002</v>
      </c>
      <c r="U40" s="17">
        <v>40.455800000000004</v>
      </c>
      <c r="V40" s="17">
        <v>40.455800000000004</v>
      </c>
      <c r="W40" s="17">
        <v>40.455800000000004</v>
      </c>
      <c r="X40" s="17">
        <v>60.683700000000002</v>
      </c>
      <c r="Y40" s="17">
        <v>60.683700000000002</v>
      </c>
      <c r="Z40" s="17">
        <v>546.15330000000006</v>
      </c>
    </row>
    <row r="41" spans="1:26">
      <c r="A41" t="s">
        <v>259</v>
      </c>
      <c r="B41" t="s">
        <v>164</v>
      </c>
      <c r="C41" t="s">
        <v>165</v>
      </c>
      <c r="D41" t="s">
        <v>173</v>
      </c>
      <c r="E41" t="s">
        <v>267</v>
      </c>
      <c r="F41" t="s">
        <v>268</v>
      </c>
      <c r="G41" t="s">
        <v>169</v>
      </c>
      <c r="H41" t="s">
        <v>164</v>
      </c>
      <c r="I41" t="s">
        <v>262</v>
      </c>
      <c r="J41" t="s">
        <v>269</v>
      </c>
      <c r="K41" t="s">
        <v>172</v>
      </c>
      <c r="L41" t="s">
        <v>262</v>
      </c>
      <c r="M41" t="s">
        <v>269</v>
      </c>
      <c r="N41" s="17">
        <v>24.5886</v>
      </c>
      <c r="O41" s="17">
        <v>24.5886</v>
      </c>
      <c r="P41" s="17">
        <v>24.5886</v>
      </c>
      <c r="Q41" s="17">
        <v>24.5886</v>
      </c>
      <c r="R41" s="17">
        <v>24.5886</v>
      </c>
      <c r="S41" s="17">
        <v>24.5886</v>
      </c>
      <c r="T41" s="17">
        <v>49.177199999999999</v>
      </c>
      <c r="U41" s="17">
        <v>24.5886</v>
      </c>
      <c r="V41" s="17">
        <v>24.5886</v>
      </c>
      <c r="W41" s="17">
        <v>24.5886</v>
      </c>
      <c r="X41" s="17">
        <v>49.177199999999999</v>
      </c>
      <c r="Y41" s="17">
        <v>49.177199999999999</v>
      </c>
      <c r="Z41" s="17">
        <v>368.82899999999995</v>
      </c>
    </row>
    <row r="42" spans="1:26">
      <c r="A42" t="s">
        <v>259</v>
      </c>
      <c r="B42" t="s">
        <v>164</v>
      </c>
      <c r="C42" t="s">
        <v>165</v>
      </c>
      <c r="D42" t="s">
        <v>173</v>
      </c>
      <c r="E42" t="s">
        <v>270</v>
      </c>
      <c r="F42" t="s">
        <v>271</v>
      </c>
      <c r="G42" t="s">
        <v>169</v>
      </c>
      <c r="H42" t="s">
        <v>164</v>
      </c>
      <c r="I42" t="s">
        <v>262</v>
      </c>
      <c r="J42" t="s">
        <v>269</v>
      </c>
      <c r="K42" t="s">
        <v>172</v>
      </c>
      <c r="L42" t="s">
        <v>262</v>
      </c>
      <c r="M42" t="s">
        <v>269</v>
      </c>
      <c r="N42" s="17">
        <v>118.53883999999998</v>
      </c>
      <c r="O42" s="17">
        <v>118.53883999999998</v>
      </c>
      <c r="P42" s="17">
        <v>118.53883999999998</v>
      </c>
      <c r="Q42" s="17">
        <v>118.53883999999998</v>
      </c>
      <c r="R42" s="17">
        <v>118.53883999999998</v>
      </c>
      <c r="S42" s="17">
        <v>118.53883999999998</v>
      </c>
      <c r="T42" s="17">
        <v>152.40707999999998</v>
      </c>
      <c r="U42" s="17">
        <v>118.53883999999998</v>
      </c>
      <c r="V42" s="17">
        <v>118.53883999999998</v>
      </c>
      <c r="W42" s="17">
        <v>118.53883999999998</v>
      </c>
      <c r="X42" s="17">
        <v>152.40707999999998</v>
      </c>
      <c r="Y42" s="17">
        <v>152.40707999999998</v>
      </c>
      <c r="Z42" s="17">
        <v>1524.0707999999995</v>
      </c>
    </row>
    <row r="43" spans="1:26">
      <c r="A43" t="s">
        <v>259</v>
      </c>
      <c r="B43" t="s">
        <v>164</v>
      </c>
      <c r="C43" t="s">
        <v>165</v>
      </c>
      <c r="D43" t="s">
        <v>173</v>
      </c>
      <c r="E43" t="s">
        <v>272</v>
      </c>
      <c r="F43" t="s">
        <v>273</v>
      </c>
      <c r="G43" t="s">
        <v>169</v>
      </c>
      <c r="H43" t="s">
        <v>164</v>
      </c>
      <c r="I43" t="s">
        <v>262</v>
      </c>
      <c r="J43" t="s">
        <v>269</v>
      </c>
      <c r="K43" t="s">
        <v>172</v>
      </c>
      <c r="L43" t="s">
        <v>262</v>
      </c>
      <c r="M43" t="s">
        <v>269</v>
      </c>
      <c r="N43" s="17">
        <v>105.32992</v>
      </c>
      <c r="O43" s="17">
        <v>105.32992</v>
      </c>
      <c r="P43" s="17">
        <v>105.32992</v>
      </c>
      <c r="Q43" s="17">
        <v>105.32992</v>
      </c>
      <c r="R43" s="17">
        <v>105.32992</v>
      </c>
      <c r="S43" s="17">
        <v>105.32992</v>
      </c>
      <c r="T43" s="17">
        <v>164.578</v>
      </c>
      <c r="U43" s="17">
        <v>105.32992</v>
      </c>
      <c r="V43" s="17">
        <v>105.32992</v>
      </c>
      <c r="W43" s="17">
        <v>105.32992</v>
      </c>
      <c r="X43" s="17">
        <v>164.578</v>
      </c>
      <c r="Y43" s="17">
        <v>164.578</v>
      </c>
      <c r="Z43" s="17">
        <v>1441.7032799999999</v>
      </c>
    </row>
    <row r="44" spans="1:26">
      <c r="A44" t="s">
        <v>259</v>
      </c>
      <c r="B44" t="s">
        <v>164</v>
      </c>
      <c r="C44" t="s">
        <v>165</v>
      </c>
      <c r="D44" t="s">
        <v>173</v>
      </c>
      <c r="E44" t="s">
        <v>274</v>
      </c>
      <c r="F44" t="s">
        <v>275</v>
      </c>
      <c r="G44" t="s">
        <v>169</v>
      </c>
      <c r="H44" t="s">
        <v>164</v>
      </c>
      <c r="I44" t="s">
        <v>262</v>
      </c>
      <c r="J44" t="s">
        <v>269</v>
      </c>
      <c r="K44" t="s">
        <v>172</v>
      </c>
      <c r="L44" t="s">
        <v>262</v>
      </c>
      <c r="M44" t="s">
        <v>269</v>
      </c>
      <c r="N44" s="17">
        <v>146.94120000000001</v>
      </c>
      <c r="O44" s="17">
        <v>146.94120000000001</v>
      </c>
      <c r="P44" s="17">
        <v>146.94120000000001</v>
      </c>
      <c r="Q44" s="17">
        <v>146.94120000000001</v>
      </c>
      <c r="R44" s="17">
        <v>146.94120000000001</v>
      </c>
      <c r="S44" s="17">
        <v>146.94120000000001</v>
      </c>
      <c r="T44" s="17">
        <v>195.92160000000001</v>
      </c>
      <c r="U44" s="17">
        <v>146.94120000000001</v>
      </c>
      <c r="V44" s="17">
        <v>146.94120000000001</v>
      </c>
      <c r="W44" s="17">
        <v>146.94120000000001</v>
      </c>
      <c r="X44" s="17">
        <v>195.92160000000001</v>
      </c>
      <c r="Y44" s="17">
        <v>195.92160000000001</v>
      </c>
      <c r="Z44" s="17">
        <v>1910.2356</v>
      </c>
    </row>
    <row r="45" spans="1:26">
      <c r="A45" t="s">
        <v>259</v>
      </c>
      <c r="B45" t="s">
        <v>164</v>
      </c>
      <c r="C45" t="s">
        <v>165</v>
      </c>
      <c r="D45" t="s">
        <v>173</v>
      </c>
      <c r="E45" t="s">
        <v>276</v>
      </c>
      <c r="F45" t="s">
        <v>277</v>
      </c>
      <c r="G45" t="s">
        <v>169</v>
      </c>
      <c r="H45" t="s">
        <v>164</v>
      </c>
      <c r="I45" t="s">
        <v>262</v>
      </c>
      <c r="J45" t="s">
        <v>269</v>
      </c>
      <c r="K45" t="s">
        <v>172</v>
      </c>
      <c r="L45" t="s">
        <v>262</v>
      </c>
      <c r="M45" t="s">
        <v>269</v>
      </c>
      <c r="N45" s="17">
        <v>3.2918800000000004</v>
      </c>
      <c r="O45" s="17">
        <v>3.2918800000000004</v>
      </c>
      <c r="P45" s="17">
        <v>3.2918800000000004</v>
      </c>
      <c r="Q45" s="17">
        <v>3.2918800000000004</v>
      </c>
      <c r="R45" s="17">
        <v>3.2918800000000004</v>
      </c>
      <c r="S45" s="17">
        <v>3.2918800000000004</v>
      </c>
      <c r="T45" s="17">
        <v>6.5837600000000007</v>
      </c>
      <c r="U45" s="17">
        <v>3.2918800000000004</v>
      </c>
      <c r="V45" s="17">
        <v>3.2918800000000004</v>
      </c>
      <c r="W45" s="17">
        <v>3.2918800000000004</v>
      </c>
      <c r="X45" s="17">
        <v>6.5837600000000007</v>
      </c>
      <c r="Y45" s="17">
        <v>6.5837600000000007</v>
      </c>
      <c r="Z45" s="17">
        <v>49.3782</v>
      </c>
    </row>
    <row r="46" spans="1:26">
      <c r="A46" t="s">
        <v>259</v>
      </c>
      <c r="B46" t="s">
        <v>164</v>
      </c>
      <c r="C46" t="s">
        <v>165</v>
      </c>
      <c r="D46" t="s">
        <v>173</v>
      </c>
      <c r="E46" t="s">
        <v>278</v>
      </c>
      <c r="F46" t="s">
        <v>279</v>
      </c>
      <c r="G46" t="s">
        <v>169</v>
      </c>
      <c r="H46" t="s">
        <v>164</v>
      </c>
      <c r="I46" t="s">
        <v>262</v>
      </c>
      <c r="J46" t="s">
        <v>269</v>
      </c>
      <c r="K46" t="s">
        <v>172</v>
      </c>
      <c r="L46" t="s">
        <v>262</v>
      </c>
      <c r="M46" t="s">
        <v>269</v>
      </c>
      <c r="N46" s="17">
        <v>48.700800000000001</v>
      </c>
      <c r="O46" s="17">
        <v>48.700800000000001</v>
      </c>
      <c r="P46" s="17">
        <v>48.700800000000001</v>
      </c>
      <c r="Q46" s="17">
        <v>48.700800000000001</v>
      </c>
      <c r="R46" s="17">
        <v>48.700800000000001</v>
      </c>
      <c r="S46" s="17">
        <v>48.700800000000001</v>
      </c>
      <c r="T46" s="17">
        <v>64.934400000000011</v>
      </c>
      <c r="U46" s="17">
        <v>48.700800000000001</v>
      </c>
      <c r="V46" s="17">
        <v>48.700800000000001</v>
      </c>
      <c r="W46" s="17">
        <v>48.700800000000001</v>
      </c>
      <c r="X46" s="17">
        <v>64.934400000000011</v>
      </c>
      <c r="Y46" s="17">
        <v>64.934400000000011</v>
      </c>
      <c r="Z46" s="17">
        <v>633.11040000000014</v>
      </c>
    </row>
    <row r="47" spans="1:26">
      <c r="A47" t="s">
        <v>259</v>
      </c>
      <c r="B47" t="s">
        <v>164</v>
      </c>
      <c r="C47" t="s">
        <v>165</v>
      </c>
      <c r="D47" t="s">
        <v>173</v>
      </c>
      <c r="E47" t="s">
        <v>280</v>
      </c>
      <c r="F47" t="s">
        <v>281</v>
      </c>
      <c r="G47" t="s">
        <v>169</v>
      </c>
      <c r="H47" t="s">
        <v>164</v>
      </c>
      <c r="I47" t="s">
        <v>201</v>
      </c>
      <c r="J47" t="s">
        <v>282</v>
      </c>
      <c r="K47" t="s">
        <v>172</v>
      </c>
      <c r="L47" t="s">
        <v>201</v>
      </c>
      <c r="M47" t="s">
        <v>283</v>
      </c>
      <c r="N47" s="17">
        <v>447.88800000000003</v>
      </c>
      <c r="O47" s="17">
        <v>447.88800000000003</v>
      </c>
      <c r="P47" s="17">
        <v>447.88800000000003</v>
      </c>
      <c r="Q47" s="17">
        <v>447.88800000000003</v>
      </c>
      <c r="R47" s="17">
        <v>447.88800000000003</v>
      </c>
      <c r="S47" s="17">
        <v>447.88800000000003</v>
      </c>
      <c r="T47" s="17">
        <v>895.77600000000007</v>
      </c>
      <c r="U47" s="17">
        <v>671.83199999999999</v>
      </c>
      <c r="V47" s="17">
        <v>671.83199999999999</v>
      </c>
      <c r="W47" s="17">
        <v>1119.72</v>
      </c>
      <c r="X47" s="17">
        <v>1343.664</v>
      </c>
      <c r="Y47" s="17">
        <v>1343.664</v>
      </c>
      <c r="Z47" s="17">
        <v>8733.8160000000007</v>
      </c>
    </row>
    <row r="48" spans="1:26">
      <c r="A48" t="s">
        <v>259</v>
      </c>
      <c r="B48" t="s">
        <v>164</v>
      </c>
      <c r="C48" t="s">
        <v>165</v>
      </c>
      <c r="D48" t="s">
        <v>173</v>
      </c>
      <c r="E48" t="s">
        <v>284</v>
      </c>
      <c r="F48" t="s">
        <v>285</v>
      </c>
      <c r="G48" t="s">
        <v>169</v>
      </c>
      <c r="H48" t="s">
        <v>164</v>
      </c>
      <c r="I48" t="s">
        <v>201</v>
      </c>
      <c r="J48" t="s">
        <v>282</v>
      </c>
      <c r="K48" t="s">
        <v>172</v>
      </c>
      <c r="L48" t="s">
        <v>201</v>
      </c>
      <c r="M48" t="s">
        <v>283</v>
      </c>
      <c r="N48" s="17">
        <v>239.94</v>
      </c>
      <c r="O48" s="17">
        <v>239.94</v>
      </c>
      <c r="P48" s="17">
        <v>239.94</v>
      </c>
      <c r="Q48" s="17">
        <v>239.94</v>
      </c>
      <c r="R48" s="17">
        <v>239.94</v>
      </c>
      <c r="S48" s="17">
        <v>239.94</v>
      </c>
      <c r="T48" s="17">
        <v>479.88</v>
      </c>
      <c r="U48" s="17">
        <v>359.90999999999997</v>
      </c>
      <c r="V48" s="17">
        <v>359.90999999999997</v>
      </c>
      <c r="W48" s="17">
        <v>599.85</v>
      </c>
      <c r="X48" s="17">
        <v>719.81999999999994</v>
      </c>
      <c r="Y48" s="17">
        <v>719.81999999999994</v>
      </c>
      <c r="Z48" s="17">
        <v>4678.829999999999</v>
      </c>
    </row>
    <row r="49" spans="1:26">
      <c r="A49" t="s">
        <v>259</v>
      </c>
      <c r="B49" t="s">
        <v>164</v>
      </c>
      <c r="C49" t="s">
        <v>165</v>
      </c>
      <c r="D49" t="s">
        <v>173</v>
      </c>
      <c r="E49" t="s">
        <v>286</v>
      </c>
      <c r="F49" t="s">
        <v>287</v>
      </c>
      <c r="G49" t="s">
        <v>169</v>
      </c>
      <c r="H49" t="s">
        <v>164</v>
      </c>
      <c r="I49" t="s">
        <v>170</v>
      </c>
      <c r="J49" t="s">
        <v>288</v>
      </c>
      <c r="K49" t="s">
        <v>172</v>
      </c>
      <c r="L49" t="s">
        <v>170</v>
      </c>
      <c r="M49" t="s">
        <v>288</v>
      </c>
      <c r="N49" s="17">
        <v>1189.6677999999999</v>
      </c>
      <c r="O49" s="17">
        <v>1189.6677999999999</v>
      </c>
      <c r="P49" s="17">
        <v>1189.6677999999999</v>
      </c>
      <c r="Q49" s="17">
        <v>1189.6677999999999</v>
      </c>
      <c r="R49" s="17">
        <v>1189.6677999999999</v>
      </c>
      <c r="S49" s="17">
        <v>1189.6677999999999</v>
      </c>
      <c r="T49" s="17">
        <v>1427.6013599999999</v>
      </c>
      <c r="U49" s="17">
        <v>1189.6677999999999</v>
      </c>
      <c r="V49" s="17">
        <v>1189.6677999999999</v>
      </c>
      <c r="W49" s="17">
        <v>1427.6013599999999</v>
      </c>
      <c r="X49" s="17">
        <v>1427.6013599999999</v>
      </c>
      <c r="Y49" s="17">
        <v>1427.6013599999999</v>
      </c>
      <c r="Z49" s="17">
        <v>15227.74784</v>
      </c>
    </row>
    <row r="50" spans="1:26">
      <c r="A50" t="s">
        <v>259</v>
      </c>
      <c r="B50" t="s">
        <v>164</v>
      </c>
      <c r="C50" t="s">
        <v>165</v>
      </c>
      <c r="D50" t="s">
        <v>173</v>
      </c>
      <c r="E50" t="s">
        <v>289</v>
      </c>
      <c r="F50" t="s">
        <v>290</v>
      </c>
      <c r="G50" t="s">
        <v>169</v>
      </c>
      <c r="H50" t="s">
        <v>164</v>
      </c>
      <c r="I50" t="s">
        <v>170</v>
      </c>
      <c r="J50" t="s">
        <v>288</v>
      </c>
      <c r="K50" t="s">
        <v>172</v>
      </c>
      <c r="L50" t="s">
        <v>170</v>
      </c>
      <c r="M50" t="s">
        <v>288</v>
      </c>
      <c r="N50" s="17">
        <v>869.9129999999999</v>
      </c>
      <c r="O50" s="17">
        <v>869.9129999999999</v>
      </c>
      <c r="P50" s="17">
        <v>869.9129999999999</v>
      </c>
      <c r="Q50" s="17">
        <v>869.9129999999999</v>
      </c>
      <c r="R50" s="17">
        <v>869.9129999999999</v>
      </c>
      <c r="S50" s="17">
        <v>869.9129999999999</v>
      </c>
      <c r="T50" s="17">
        <v>1087.3912499999999</v>
      </c>
      <c r="U50" s="17">
        <v>869.9129999999999</v>
      </c>
      <c r="V50" s="17">
        <v>869.9129999999999</v>
      </c>
      <c r="W50" s="17">
        <v>1087.3912499999999</v>
      </c>
      <c r="X50" s="17">
        <v>1087.3912499999999</v>
      </c>
      <c r="Y50" s="17">
        <v>1087.3912499999999</v>
      </c>
      <c r="Z50" s="17">
        <v>11308.868999999999</v>
      </c>
    </row>
    <row r="51" spans="1:26">
      <c r="A51" t="s">
        <v>259</v>
      </c>
      <c r="B51" t="s">
        <v>164</v>
      </c>
      <c r="C51" t="s">
        <v>165</v>
      </c>
      <c r="D51" t="s">
        <v>173</v>
      </c>
      <c r="E51" t="s">
        <v>291</v>
      </c>
      <c r="F51" t="s">
        <v>292</v>
      </c>
      <c r="G51" t="s">
        <v>169</v>
      </c>
      <c r="H51" t="s">
        <v>164</v>
      </c>
      <c r="I51" t="s">
        <v>170</v>
      </c>
      <c r="J51" t="s">
        <v>288</v>
      </c>
      <c r="K51" t="s">
        <v>172</v>
      </c>
      <c r="L51" t="s">
        <v>170</v>
      </c>
      <c r="M51" t="s">
        <v>288</v>
      </c>
      <c r="N51" s="17">
        <v>215.97599999999997</v>
      </c>
      <c r="O51" s="17">
        <v>215.97599999999997</v>
      </c>
      <c r="P51" s="17">
        <v>215.97599999999997</v>
      </c>
      <c r="Q51" s="17">
        <v>215.97599999999997</v>
      </c>
      <c r="R51" s="17">
        <v>215.97599999999997</v>
      </c>
      <c r="S51" s="17">
        <v>215.97599999999997</v>
      </c>
      <c r="T51" s="17">
        <v>269.96999999999997</v>
      </c>
      <c r="U51" s="17">
        <v>215.97599999999997</v>
      </c>
      <c r="V51" s="17">
        <v>215.97599999999997</v>
      </c>
      <c r="W51" s="17">
        <v>269.96999999999997</v>
      </c>
      <c r="X51" s="17">
        <v>269.96999999999997</v>
      </c>
      <c r="Y51" s="17">
        <v>269.96999999999997</v>
      </c>
      <c r="Z51" s="17">
        <v>2807.6879999999992</v>
      </c>
    </row>
    <row r="52" spans="1:26">
      <c r="A52" t="s">
        <v>259</v>
      </c>
      <c r="B52" t="s">
        <v>164</v>
      </c>
      <c r="C52" t="s">
        <v>165</v>
      </c>
      <c r="D52" t="s">
        <v>173</v>
      </c>
      <c r="E52" t="s">
        <v>293</v>
      </c>
      <c r="F52" t="s">
        <v>294</v>
      </c>
      <c r="G52" t="s">
        <v>169</v>
      </c>
      <c r="H52" t="s">
        <v>164</v>
      </c>
      <c r="I52" t="s">
        <v>170</v>
      </c>
      <c r="J52" t="s">
        <v>288</v>
      </c>
      <c r="K52" t="s">
        <v>172</v>
      </c>
      <c r="L52" t="s">
        <v>170</v>
      </c>
      <c r="M52" t="s">
        <v>288</v>
      </c>
      <c r="N52" s="17">
        <v>199.96000000000004</v>
      </c>
      <c r="O52" s="17">
        <v>199.96000000000004</v>
      </c>
      <c r="P52" s="17">
        <v>199.96000000000004</v>
      </c>
      <c r="Q52" s="17">
        <v>199.96000000000004</v>
      </c>
      <c r="R52" s="17">
        <v>199.96000000000004</v>
      </c>
      <c r="S52" s="17">
        <v>199.96000000000004</v>
      </c>
      <c r="T52" s="17">
        <v>249.95000000000002</v>
      </c>
      <c r="U52" s="17">
        <v>199.96000000000004</v>
      </c>
      <c r="V52" s="17">
        <v>199.96000000000004</v>
      </c>
      <c r="W52" s="17">
        <v>249.95000000000002</v>
      </c>
      <c r="X52" s="17">
        <v>249.95000000000002</v>
      </c>
      <c r="Y52" s="17">
        <v>249.95000000000002</v>
      </c>
      <c r="Z52" s="17">
        <v>2599.48</v>
      </c>
    </row>
    <row r="53" spans="1:26">
      <c r="A53" t="s">
        <v>259</v>
      </c>
      <c r="B53" t="s">
        <v>164</v>
      </c>
      <c r="C53" t="s">
        <v>165</v>
      </c>
      <c r="D53" t="s">
        <v>173</v>
      </c>
      <c r="E53" t="s">
        <v>295</v>
      </c>
      <c r="F53" t="s">
        <v>296</v>
      </c>
      <c r="G53" t="s">
        <v>169</v>
      </c>
      <c r="H53" t="s">
        <v>164</v>
      </c>
      <c r="I53" t="s">
        <v>262</v>
      </c>
      <c r="J53" t="s">
        <v>297</v>
      </c>
      <c r="K53" t="s">
        <v>172</v>
      </c>
      <c r="L53" t="s">
        <v>262</v>
      </c>
      <c r="M53" t="s">
        <v>297</v>
      </c>
      <c r="N53" s="17">
        <v>110.9556</v>
      </c>
      <c r="O53" s="17">
        <v>110.9556</v>
      </c>
      <c r="P53" s="17">
        <v>110.9556</v>
      </c>
      <c r="Q53" s="17">
        <v>110.9556</v>
      </c>
      <c r="R53" s="17">
        <v>110.9556</v>
      </c>
      <c r="S53" s="17">
        <v>110.9556</v>
      </c>
      <c r="T53" s="17">
        <v>124.82505</v>
      </c>
      <c r="U53" s="17">
        <v>110.9556</v>
      </c>
      <c r="V53" s="17">
        <v>110.9556</v>
      </c>
      <c r="W53" s="17">
        <v>110.9556</v>
      </c>
      <c r="X53" s="17">
        <v>124.82505</v>
      </c>
      <c r="Y53" s="17">
        <v>124.82505</v>
      </c>
      <c r="Z53" s="17">
        <v>1373.07555</v>
      </c>
    </row>
    <row r="54" spans="1:26">
      <c r="B54" t="s">
        <v>164</v>
      </c>
      <c r="C54" t="s">
        <v>165</v>
      </c>
      <c r="D54" t="s">
        <v>173</v>
      </c>
      <c r="E54" t="s">
        <v>298</v>
      </c>
      <c r="F54" t="s">
        <v>299</v>
      </c>
      <c r="G54" t="s">
        <v>169</v>
      </c>
      <c r="H54" t="s">
        <v>164</v>
      </c>
      <c r="I54" t="s">
        <v>228</v>
      </c>
      <c r="J54" t="s">
        <v>28</v>
      </c>
      <c r="K54" t="s">
        <v>172</v>
      </c>
      <c r="L54" t="s">
        <v>228</v>
      </c>
      <c r="M54" t="s">
        <v>28</v>
      </c>
      <c r="N54" s="17">
        <v>134.94</v>
      </c>
      <c r="O54" s="17">
        <v>134.94</v>
      </c>
      <c r="P54" s="17">
        <v>134.94</v>
      </c>
      <c r="Q54" s="17">
        <v>134.94</v>
      </c>
      <c r="R54" s="17">
        <v>134.94</v>
      </c>
      <c r="S54" s="17">
        <v>134.94</v>
      </c>
      <c r="T54" s="17">
        <v>179.92000000000002</v>
      </c>
      <c r="U54" s="17">
        <v>134.94</v>
      </c>
      <c r="V54" s="17">
        <v>134.94</v>
      </c>
      <c r="W54" s="17">
        <v>179.92000000000002</v>
      </c>
      <c r="X54" s="17">
        <v>224.9</v>
      </c>
      <c r="Y54" s="17">
        <v>179.92000000000002</v>
      </c>
      <c r="Z54" s="17">
        <v>1844.1800000000005</v>
      </c>
    </row>
    <row r="55" spans="1:26">
      <c r="B55" t="s">
        <v>164</v>
      </c>
      <c r="C55" t="s">
        <v>165</v>
      </c>
      <c r="D55" t="s">
        <v>173</v>
      </c>
      <c r="E55" t="s">
        <v>300</v>
      </c>
      <c r="F55" t="s">
        <v>301</v>
      </c>
      <c r="G55" t="s">
        <v>169</v>
      </c>
      <c r="H55" t="s">
        <v>164</v>
      </c>
      <c r="I55" t="s">
        <v>228</v>
      </c>
      <c r="J55" t="s">
        <v>28</v>
      </c>
      <c r="K55" t="s">
        <v>172</v>
      </c>
      <c r="L55" t="s">
        <v>228</v>
      </c>
      <c r="M55" t="s">
        <v>28</v>
      </c>
      <c r="N55" s="17">
        <v>67.47</v>
      </c>
      <c r="O55" s="17">
        <v>67.47</v>
      </c>
      <c r="P55" s="17">
        <v>67.47</v>
      </c>
      <c r="Q55" s="17">
        <v>67.47</v>
      </c>
      <c r="R55" s="17">
        <v>67.47</v>
      </c>
      <c r="S55" s="17">
        <v>67.47</v>
      </c>
      <c r="T55" s="17">
        <v>89.960000000000008</v>
      </c>
      <c r="U55" s="17">
        <v>67.47</v>
      </c>
      <c r="V55" s="17">
        <v>67.47</v>
      </c>
      <c r="W55" s="17">
        <v>89.960000000000008</v>
      </c>
      <c r="X55" s="17">
        <v>112.45</v>
      </c>
      <c r="Y55" s="17">
        <v>89.960000000000008</v>
      </c>
      <c r="Z55" s="17">
        <v>922.09000000000026</v>
      </c>
    </row>
    <row r="56" spans="1:26">
      <c r="B56" t="s">
        <v>164</v>
      </c>
      <c r="C56" t="s">
        <v>165</v>
      </c>
      <c r="D56" t="s">
        <v>173</v>
      </c>
      <c r="E56" t="s">
        <v>302</v>
      </c>
      <c r="F56" t="s">
        <v>303</v>
      </c>
      <c r="G56" t="s">
        <v>169</v>
      </c>
      <c r="H56" t="s">
        <v>164</v>
      </c>
      <c r="I56" t="s">
        <v>228</v>
      </c>
      <c r="J56" t="s">
        <v>28</v>
      </c>
      <c r="K56" t="s">
        <v>172</v>
      </c>
      <c r="L56" t="s">
        <v>228</v>
      </c>
      <c r="M56" t="s">
        <v>28</v>
      </c>
      <c r="N56" s="17">
        <v>134.94</v>
      </c>
      <c r="O56" s="17">
        <v>134.94</v>
      </c>
      <c r="P56" s="17">
        <v>134.94</v>
      </c>
      <c r="Q56" s="17">
        <v>134.94</v>
      </c>
      <c r="R56" s="17">
        <v>134.94</v>
      </c>
      <c r="S56" s="17">
        <v>134.94</v>
      </c>
      <c r="T56" s="17">
        <v>179.92000000000002</v>
      </c>
      <c r="U56" s="17">
        <v>134.94</v>
      </c>
      <c r="V56" s="17">
        <v>134.94</v>
      </c>
      <c r="W56" s="17">
        <v>179.92000000000002</v>
      </c>
      <c r="X56" s="17">
        <v>224.9</v>
      </c>
      <c r="Y56" s="17">
        <v>179.92000000000002</v>
      </c>
      <c r="Z56" s="17">
        <v>1844.1800000000005</v>
      </c>
    </row>
    <row r="57" spans="1:26">
      <c r="B57" t="s">
        <v>164</v>
      </c>
      <c r="C57" t="s">
        <v>165</v>
      </c>
      <c r="D57" t="s">
        <v>173</v>
      </c>
      <c r="E57" t="s">
        <v>304</v>
      </c>
      <c r="F57" t="s">
        <v>305</v>
      </c>
      <c r="G57" t="s">
        <v>169</v>
      </c>
      <c r="H57" t="s">
        <v>164</v>
      </c>
      <c r="I57" t="s">
        <v>201</v>
      </c>
      <c r="K57" t="s">
        <v>172</v>
      </c>
      <c r="L57" t="s">
        <v>213</v>
      </c>
      <c r="M57" t="s">
        <v>222</v>
      </c>
      <c r="N57" s="17">
        <v>62.304000000000002</v>
      </c>
      <c r="O57" s="17">
        <v>62.304000000000002</v>
      </c>
      <c r="P57" s="17">
        <v>62.304000000000002</v>
      </c>
      <c r="Q57" s="17">
        <v>62.304000000000002</v>
      </c>
      <c r="R57" s="17">
        <v>62.304000000000002</v>
      </c>
      <c r="S57" s="17">
        <v>62.304000000000002</v>
      </c>
      <c r="T57" s="17">
        <v>77.88000000000001</v>
      </c>
      <c r="U57" s="17">
        <v>62.304000000000002</v>
      </c>
      <c r="V57" s="17">
        <v>62.304000000000002</v>
      </c>
      <c r="W57" s="17">
        <v>62.304000000000002</v>
      </c>
      <c r="X57" s="17">
        <v>77.88000000000001</v>
      </c>
      <c r="Y57" s="17">
        <v>77.88000000000001</v>
      </c>
      <c r="Z57" s="17">
        <v>794.37599999999986</v>
      </c>
    </row>
    <row r="58" spans="1:26">
      <c r="B58" t="s">
        <v>164</v>
      </c>
      <c r="C58" t="s">
        <v>165</v>
      </c>
      <c r="D58" t="s">
        <v>173</v>
      </c>
      <c r="E58" t="s">
        <v>306</v>
      </c>
      <c r="F58" t="s">
        <v>307</v>
      </c>
      <c r="G58" t="s">
        <v>169</v>
      </c>
      <c r="H58" t="s">
        <v>164</v>
      </c>
      <c r="I58" t="s">
        <v>201</v>
      </c>
      <c r="K58" t="s">
        <v>172</v>
      </c>
      <c r="L58" t="s">
        <v>228</v>
      </c>
      <c r="M58" t="s">
        <v>34</v>
      </c>
      <c r="N58" s="17">
        <v>149.94</v>
      </c>
      <c r="O58" s="17">
        <v>149.94</v>
      </c>
      <c r="P58" s="17">
        <v>149.94</v>
      </c>
      <c r="Q58" s="17">
        <v>149.94</v>
      </c>
      <c r="R58" s="17">
        <v>149.94</v>
      </c>
      <c r="S58" s="17">
        <v>149.94</v>
      </c>
      <c r="T58" s="17">
        <v>224.90999999999997</v>
      </c>
      <c r="U58" s="17">
        <v>149.94</v>
      </c>
      <c r="V58" s="17">
        <v>149.94</v>
      </c>
      <c r="W58" s="17">
        <v>149.94</v>
      </c>
      <c r="X58" s="17">
        <v>224.90999999999997</v>
      </c>
      <c r="Y58" s="17">
        <v>224.90999999999997</v>
      </c>
      <c r="Z58" s="17">
        <v>2024.19</v>
      </c>
    </row>
    <row r="59" spans="1:26">
      <c r="A59" t="s">
        <v>308</v>
      </c>
      <c r="B59" t="s">
        <v>309</v>
      </c>
      <c r="C59" t="s">
        <v>310</v>
      </c>
      <c r="D59" t="s">
        <v>166</v>
      </c>
      <c r="E59" t="s">
        <v>311</v>
      </c>
      <c r="F59" t="s">
        <v>312</v>
      </c>
      <c r="G59" t="s">
        <v>169</v>
      </c>
      <c r="H59" t="s">
        <v>169</v>
      </c>
      <c r="I59" t="s">
        <v>228</v>
      </c>
      <c r="J59" t="s">
        <v>229</v>
      </c>
      <c r="K59" t="s">
        <v>230</v>
      </c>
      <c r="L59" t="s">
        <v>228</v>
      </c>
      <c r="M59" t="s">
        <v>229</v>
      </c>
      <c r="N59" s="17">
        <v>12320.000000000002</v>
      </c>
      <c r="O59" s="17">
        <v>0</v>
      </c>
      <c r="P59" s="17">
        <v>0</v>
      </c>
      <c r="Q59" s="17">
        <v>12320.000000000002</v>
      </c>
      <c r="R59" s="17">
        <v>0</v>
      </c>
      <c r="S59" s="17">
        <v>0</v>
      </c>
      <c r="T59" s="17">
        <v>12320.000000000002</v>
      </c>
      <c r="U59" s="17">
        <v>0</v>
      </c>
      <c r="V59" s="17">
        <v>0</v>
      </c>
      <c r="W59" s="17">
        <v>12320.000000000002</v>
      </c>
      <c r="X59" s="17">
        <v>0</v>
      </c>
      <c r="Y59" s="17">
        <v>0</v>
      </c>
      <c r="Z59" s="17">
        <v>49280.000000000007</v>
      </c>
    </row>
    <row r="60" spans="1:26">
      <c r="A60" t="s">
        <v>308</v>
      </c>
      <c r="B60" t="s">
        <v>164</v>
      </c>
      <c r="C60" t="s">
        <v>310</v>
      </c>
      <c r="D60" t="s">
        <v>166</v>
      </c>
      <c r="E60" t="s">
        <v>313</v>
      </c>
      <c r="F60" t="s">
        <v>314</v>
      </c>
      <c r="G60" t="s">
        <v>169</v>
      </c>
      <c r="H60" t="s">
        <v>164</v>
      </c>
      <c r="I60" t="s">
        <v>228</v>
      </c>
      <c r="J60" t="s">
        <v>229</v>
      </c>
      <c r="K60" t="s">
        <v>172</v>
      </c>
      <c r="L60" t="s">
        <v>228</v>
      </c>
      <c r="M60" t="s">
        <v>229</v>
      </c>
      <c r="N60" s="17">
        <v>62.151600000000002</v>
      </c>
      <c r="O60" s="17">
        <v>62.151600000000002</v>
      </c>
      <c r="P60" s="17">
        <v>62.151600000000002</v>
      </c>
      <c r="Q60" s="17">
        <v>62.151600000000002</v>
      </c>
      <c r="R60" s="17">
        <v>62.151600000000002</v>
      </c>
      <c r="S60" s="17">
        <v>62.151600000000002</v>
      </c>
      <c r="T60" s="17">
        <v>62.151600000000002</v>
      </c>
      <c r="U60" s="17">
        <v>62.151600000000002</v>
      </c>
      <c r="V60" s="17">
        <v>62.151600000000002</v>
      </c>
      <c r="W60" s="17">
        <v>62.151600000000002</v>
      </c>
      <c r="X60" s="17">
        <v>62.151600000000002</v>
      </c>
      <c r="Y60" s="17">
        <v>62.151600000000002</v>
      </c>
      <c r="Z60" s="17">
        <v>745.81920000000025</v>
      </c>
    </row>
    <row r="61" spans="1:26">
      <c r="A61" t="s">
        <v>308</v>
      </c>
      <c r="B61" t="s">
        <v>164</v>
      </c>
      <c r="C61" t="s">
        <v>310</v>
      </c>
      <c r="D61" t="s">
        <v>166</v>
      </c>
      <c r="E61" t="s">
        <v>27</v>
      </c>
      <c r="F61" t="s">
        <v>315</v>
      </c>
      <c r="G61" t="s">
        <v>169</v>
      </c>
      <c r="H61" t="s">
        <v>164</v>
      </c>
      <c r="I61" t="s">
        <v>228</v>
      </c>
      <c r="J61" t="s">
        <v>28</v>
      </c>
      <c r="K61" t="s">
        <v>172</v>
      </c>
      <c r="L61" t="s">
        <v>228</v>
      </c>
      <c r="M61" t="s">
        <v>28</v>
      </c>
      <c r="N61" s="17">
        <v>155.31599999999997</v>
      </c>
      <c r="O61" s="17">
        <v>155.31599999999997</v>
      </c>
      <c r="P61" s="17">
        <v>155.31599999999997</v>
      </c>
      <c r="Q61" s="17">
        <v>155.31599999999997</v>
      </c>
      <c r="R61" s="17">
        <v>155.31599999999997</v>
      </c>
      <c r="S61" s="17">
        <v>155.31599999999997</v>
      </c>
      <c r="T61" s="17">
        <v>194.14499999999998</v>
      </c>
      <c r="U61" s="17">
        <v>155.31599999999997</v>
      </c>
      <c r="V61" s="17">
        <v>155.31599999999997</v>
      </c>
      <c r="W61" s="17">
        <v>155.31599999999997</v>
      </c>
      <c r="X61" s="17">
        <v>194.14499999999998</v>
      </c>
      <c r="Y61" s="17">
        <v>155.31599999999997</v>
      </c>
      <c r="Z61" s="17">
        <v>1941.45</v>
      </c>
    </row>
    <row r="62" spans="1:26">
      <c r="A62" t="s">
        <v>308</v>
      </c>
      <c r="B62" t="s">
        <v>164</v>
      </c>
      <c r="C62" t="s">
        <v>310</v>
      </c>
      <c r="D62" t="s">
        <v>166</v>
      </c>
      <c r="E62" t="s">
        <v>92</v>
      </c>
      <c r="F62" t="s">
        <v>316</v>
      </c>
      <c r="G62" t="s">
        <v>169</v>
      </c>
      <c r="H62" t="s">
        <v>164</v>
      </c>
      <c r="I62" t="s">
        <v>228</v>
      </c>
      <c r="J62" t="s">
        <v>28</v>
      </c>
      <c r="K62" t="s">
        <v>172</v>
      </c>
      <c r="L62" t="s">
        <v>228</v>
      </c>
      <c r="M62" t="s">
        <v>28</v>
      </c>
      <c r="N62" s="17">
        <v>116.48699999999999</v>
      </c>
      <c r="O62" s="17">
        <v>116.48699999999999</v>
      </c>
      <c r="P62" s="17">
        <v>116.48699999999999</v>
      </c>
      <c r="Q62" s="17">
        <v>116.48699999999999</v>
      </c>
      <c r="R62" s="17">
        <v>116.48699999999999</v>
      </c>
      <c r="S62" s="17">
        <v>116.48699999999999</v>
      </c>
      <c r="T62" s="17">
        <v>155.31599999999997</v>
      </c>
      <c r="U62" s="17">
        <v>116.48699999999999</v>
      </c>
      <c r="V62" s="17">
        <v>116.48699999999999</v>
      </c>
      <c r="W62" s="17">
        <v>116.48699999999999</v>
      </c>
      <c r="X62" s="17">
        <v>155.31599999999997</v>
      </c>
      <c r="Y62" s="17">
        <v>116.48699999999999</v>
      </c>
      <c r="Z62" s="17">
        <v>1475.502</v>
      </c>
    </row>
    <row r="63" spans="1:26">
      <c r="A63" t="s">
        <v>308</v>
      </c>
      <c r="B63" t="s">
        <v>164</v>
      </c>
      <c r="C63" t="s">
        <v>310</v>
      </c>
      <c r="D63" t="s">
        <v>166</v>
      </c>
      <c r="E63" t="s">
        <v>90</v>
      </c>
      <c r="F63" t="s">
        <v>317</v>
      </c>
      <c r="G63" t="s">
        <v>169</v>
      </c>
      <c r="H63" t="s">
        <v>164</v>
      </c>
      <c r="I63" t="s">
        <v>228</v>
      </c>
      <c r="J63" t="s">
        <v>28</v>
      </c>
      <c r="K63" t="s">
        <v>172</v>
      </c>
      <c r="L63" t="s">
        <v>228</v>
      </c>
      <c r="M63" t="s">
        <v>28</v>
      </c>
      <c r="N63" s="17">
        <v>77.657999999999987</v>
      </c>
      <c r="O63" s="17">
        <v>77.657999999999987</v>
      </c>
      <c r="P63" s="17">
        <v>77.657999999999987</v>
      </c>
      <c r="Q63" s="17">
        <v>77.657999999999987</v>
      </c>
      <c r="R63" s="17">
        <v>77.657999999999987</v>
      </c>
      <c r="S63" s="17">
        <v>77.657999999999987</v>
      </c>
      <c r="T63" s="17">
        <v>116.48699999999999</v>
      </c>
      <c r="U63" s="17">
        <v>77.657999999999987</v>
      </c>
      <c r="V63" s="17">
        <v>77.657999999999987</v>
      </c>
      <c r="W63" s="17">
        <v>77.657999999999987</v>
      </c>
      <c r="X63" s="17">
        <v>116.48699999999999</v>
      </c>
      <c r="Y63" s="17">
        <v>116.48699999999999</v>
      </c>
      <c r="Z63" s="17">
        <v>1048.383</v>
      </c>
    </row>
    <row r="64" spans="1:26">
      <c r="A64" t="s">
        <v>163</v>
      </c>
      <c r="B64" t="s">
        <v>164</v>
      </c>
      <c r="C64" t="s">
        <v>310</v>
      </c>
      <c r="D64" t="s">
        <v>166</v>
      </c>
      <c r="E64" t="s">
        <v>167</v>
      </c>
      <c r="F64" t="s">
        <v>168</v>
      </c>
      <c r="G64" t="s">
        <v>169</v>
      </c>
      <c r="H64" t="s">
        <v>164</v>
      </c>
      <c r="I64" t="s">
        <v>170</v>
      </c>
      <c r="J64" t="s">
        <v>171</v>
      </c>
      <c r="K64" t="s">
        <v>172</v>
      </c>
      <c r="L64" t="s">
        <v>170</v>
      </c>
      <c r="M64" t="s">
        <v>168</v>
      </c>
      <c r="N64" s="17">
        <v>47.061000000000007</v>
      </c>
      <c r="O64" s="17">
        <v>47.061000000000007</v>
      </c>
      <c r="P64" s="17">
        <v>47.061000000000007</v>
      </c>
      <c r="Q64" s="17">
        <v>47.061000000000007</v>
      </c>
      <c r="R64" s="17">
        <v>47.061000000000007</v>
      </c>
      <c r="S64" s="17">
        <v>47.061000000000007</v>
      </c>
      <c r="T64" s="17">
        <v>54.904500000000006</v>
      </c>
      <c r="U64" s="17">
        <v>47.061000000000007</v>
      </c>
      <c r="V64" s="17">
        <v>47.061000000000007</v>
      </c>
      <c r="W64" s="17">
        <v>47.061000000000007</v>
      </c>
      <c r="X64" s="17">
        <v>47.061000000000007</v>
      </c>
      <c r="Y64" s="17">
        <v>54.904500000000006</v>
      </c>
      <c r="Z64" s="17">
        <v>580.4190000000001</v>
      </c>
    </row>
    <row r="65" spans="1:26">
      <c r="A65" t="s">
        <v>163</v>
      </c>
      <c r="B65" t="s">
        <v>164</v>
      </c>
      <c r="C65" t="s">
        <v>310</v>
      </c>
      <c r="D65" t="s">
        <v>166</v>
      </c>
      <c r="E65" t="s">
        <v>179</v>
      </c>
      <c r="F65" t="s">
        <v>180</v>
      </c>
      <c r="G65" t="s">
        <v>169</v>
      </c>
      <c r="H65" t="s">
        <v>164</v>
      </c>
      <c r="I65" t="s">
        <v>170</v>
      </c>
      <c r="J65" t="s">
        <v>171</v>
      </c>
      <c r="K65" t="s">
        <v>172</v>
      </c>
      <c r="L65" t="s">
        <v>170</v>
      </c>
      <c r="M65" t="s">
        <v>181</v>
      </c>
      <c r="N65" s="17">
        <v>31.374000000000002</v>
      </c>
      <c r="O65" s="17">
        <v>31.374000000000002</v>
      </c>
      <c r="P65" s="17">
        <v>31.374000000000002</v>
      </c>
      <c r="Q65" s="17">
        <v>31.374000000000002</v>
      </c>
      <c r="R65" s="17">
        <v>31.374000000000002</v>
      </c>
      <c r="S65" s="17">
        <v>31.374000000000002</v>
      </c>
      <c r="T65" s="17">
        <v>31.374000000000002</v>
      </c>
      <c r="U65" s="17">
        <v>31.374000000000002</v>
      </c>
      <c r="V65" s="17">
        <v>31.374000000000002</v>
      </c>
      <c r="W65" s="17">
        <v>31.374000000000002</v>
      </c>
      <c r="X65" s="17">
        <v>31.374000000000002</v>
      </c>
      <c r="Y65" s="17">
        <v>31.374000000000002</v>
      </c>
      <c r="Z65" s="17">
        <v>376.48800000000006</v>
      </c>
    </row>
    <row r="66" spans="1:26">
      <c r="A66" t="s">
        <v>163</v>
      </c>
      <c r="B66" t="s">
        <v>164</v>
      </c>
      <c r="C66" t="s">
        <v>310</v>
      </c>
      <c r="D66" t="s">
        <v>166</v>
      </c>
      <c r="E66" t="s">
        <v>182</v>
      </c>
      <c r="F66" t="s">
        <v>183</v>
      </c>
      <c r="G66" t="s">
        <v>169</v>
      </c>
      <c r="H66" t="s">
        <v>164</v>
      </c>
      <c r="I66" t="s">
        <v>170</v>
      </c>
      <c r="J66" t="s">
        <v>171</v>
      </c>
      <c r="K66" t="s">
        <v>172</v>
      </c>
      <c r="L66" t="s">
        <v>170</v>
      </c>
      <c r="M66" t="s">
        <v>181</v>
      </c>
      <c r="N66" s="17">
        <v>25.099200000000003</v>
      </c>
      <c r="O66" s="17">
        <v>25.099200000000003</v>
      </c>
      <c r="P66" s="17">
        <v>25.099200000000003</v>
      </c>
      <c r="Q66" s="17">
        <v>25.099200000000003</v>
      </c>
      <c r="R66" s="17">
        <v>25.099200000000003</v>
      </c>
      <c r="S66" s="17">
        <v>25.099200000000003</v>
      </c>
      <c r="T66" s="17">
        <v>25.099200000000003</v>
      </c>
      <c r="U66" s="17">
        <v>25.099200000000003</v>
      </c>
      <c r="V66" s="17">
        <v>25.099200000000003</v>
      </c>
      <c r="W66" s="17">
        <v>25.099200000000003</v>
      </c>
      <c r="X66" s="17">
        <v>25.099200000000003</v>
      </c>
      <c r="Y66" s="17">
        <v>25.099200000000003</v>
      </c>
      <c r="Z66" s="17">
        <v>301.19040000000001</v>
      </c>
    </row>
    <row r="67" spans="1:26">
      <c r="A67" t="s">
        <v>163</v>
      </c>
      <c r="B67" t="s">
        <v>164</v>
      </c>
      <c r="C67" t="s">
        <v>310</v>
      </c>
      <c r="D67" t="s">
        <v>166</v>
      </c>
      <c r="E67" t="s">
        <v>184</v>
      </c>
      <c r="F67" t="s">
        <v>185</v>
      </c>
      <c r="G67" t="s">
        <v>169</v>
      </c>
      <c r="H67" t="s">
        <v>164</v>
      </c>
      <c r="I67" t="s">
        <v>170</v>
      </c>
      <c r="J67" t="s">
        <v>171</v>
      </c>
      <c r="K67" t="s">
        <v>172</v>
      </c>
      <c r="L67" t="s">
        <v>170</v>
      </c>
      <c r="M67" t="s">
        <v>186</v>
      </c>
      <c r="N67" s="17">
        <v>48.72</v>
      </c>
      <c r="O67" s="17">
        <v>48.72</v>
      </c>
      <c r="P67" s="17">
        <v>48.72</v>
      </c>
      <c r="Q67" s="17">
        <v>48.72</v>
      </c>
      <c r="R67" s="17">
        <v>48.72</v>
      </c>
      <c r="S67" s="17">
        <v>48.72</v>
      </c>
      <c r="T67" s="17">
        <v>48.72</v>
      </c>
      <c r="U67" s="17">
        <v>48.72</v>
      </c>
      <c r="V67" s="17">
        <v>48.72</v>
      </c>
      <c r="W67" s="17">
        <v>48.72</v>
      </c>
      <c r="X67" s="17">
        <v>48.72</v>
      </c>
      <c r="Y67" s="17">
        <v>48.72</v>
      </c>
      <c r="Z67" s="17">
        <v>584.6400000000001</v>
      </c>
    </row>
    <row r="68" spans="1:26">
      <c r="A68" t="s">
        <v>163</v>
      </c>
      <c r="B68" t="s">
        <v>164</v>
      </c>
      <c r="C68" t="s">
        <v>310</v>
      </c>
      <c r="D68" t="s">
        <v>166</v>
      </c>
      <c r="E68" t="s">
        <v>187</v>
      </c>
      <c r="F68" t="s">
        <v>188</v>
      </c>
      <c r="G68" t="s">
        <v>169</v>
      </c>
      <c r="H68" t="s">
        <v>164</v>
      </c>
      <c r="I68" t="s">
        <v>170</v>
      </c>
      <c r="J68" t="s">
        <v>171</v>
      </c>
      <c r="K68" t="s">
        <v>172</v>
      </c>
      <c r="L68" t="s">
        <v>170</v>
      </c>
      <c r="M68" t="s">
        <v>186</v>
      </c>
      <c r="N68" s="17">
        <v>36.54</v>
      </c>
      <c r="O68" s="17">
        <v>36.54</v>
      </c>
      <c r="P68" s="17">
        <v>36.54</v>
      </c>
      <c r="Q68" s="17">
        <v>36.54</v>
      </c>
      <c r="R68" s="17">
        <v>36.54</v>
      </c>
      <c r="S68" s="17">
        <v>36.54</v>
      </c>
      <c r="T68" s="17">
        <v>36.54</v>
      </c>
      <c r="U68" s="17">
        <v>36.54</v>
      </c>
      <c r="V68" s="17">
        <v>36.54</v>
      </c>
      <c r="W68" s="17">
        <v>36.54</v>
      </c>
      <c r="X68" s="17">
        <v>36.54</v>
      </c>
      <c r="Y68" s="17">
        <v>36.54</v>
      </c>
      <c r="Z68" s="17">
        <v>438.48000000000008</v>
      </c>
    </row>
    <row r="69" spans="1:26">
      <c r="A69" t="s">
        <v>308</v>
      </c>
      <c r="B69" t="s">
        <v>164</v>
      </c>
      <c r="C69" t="s">
        <v>310</v>
      </c>
      <c r="D69" t="s">
        <v>173</v>
      </c>
      <c r="E69" t="s">
        <v>39</v>
      </c>
      <c r="F69" t="s">
        <v>318</v>
      </c>
      <c r="G69" t="s">
        <v>169</v>
      </c>
      <c r="H69" t="s">
        <v>164</v>
      </c>
      <c r="I69" t="s">
        <v>228</v>
      </c>
      <c r="J69" t="s">
        <v>319</v>
      </c>
      <c r="K69" t="s">
        <v>172</v>
      </c>
      <c r="L69" t="s">
        <v>228</v>
      </c>
      <c r="M69" t="s">
        <v>319</v>
      </c>
      <c r="N69" s="17">
        <v>75.364800000000002</v>
      </c>
      <c r="O69" s="17">
        <v>75.364800000000002</v>
      </c>
      <c r="P69" s="17">
        <v>75.364800000000002</v>
      </c>
      <c r="Q69" s="17">
        <v>75.364800000000002</v>
      </c>
      <c r="R69" s="17">
        <v>75.364800000000002</v>
      </c>
      <c r="S69" s="17">
        <v>75.364800000000002</v>
      </c>
      <c r="T69" s="17">
        <v>75.364800000000002</v>
      </c>
      <c r="U69" s="17">
        <v>75.364800000000002</v>
      </c>
      <c r="V69" s="17">
        <v>75.364800000000002</v>
      </c>
      <c r="W69" s="17">
        <v>75.364800000000002</v>
      </c>
      <c r="X69" s="17">
        <v>75.364800000000002</v>
      </c>
      <c r="Y69" s="17">
        <v>75.364800000000002</v>
      </c>
      <c r="Z69" s="17">
        <v>904.37760000000026</v>
      </c>
    </row>
    <row r="70" spans="1:26">
      <c r="A70" t="s">
        <v>308</v>
      </c>
      <c r="B70" t="s">
        <v>164</v>
      </c>
      <c r="C70" t="s">
        <v>310</v>
      </c>
      <c r="D70" t="s">
        <v>173</v>
      </c>
      <c r="E70" t="s">
        <v>320</v>
      </c>
      <c r="F70" t="s">
        <v>321</v>
      </c>
      <c r="G70" t="s">
        <v>169</v>
      </c>
      <c r="H70" t="s">
        <v>164</v>
      </c>
      <c r="I70" t="s">
        <v>228</v>
      </c>
      <c r="J70" t="s">
        <v>319</v>
      </c>
      <c r="K70" t="s">
        <v>172</v>
      </c>
      <c r="L70" t="s">
        <v>228</v>
      </c>
      <c r="M70" t="s">
        <v>319</v>
      </c>
      <c r="N70" s="17">
        <v>75.364800000000002</v>
      </c>
      <c r="O70" s="17">
        <v>75.364800000000002</v>
      </c>
      <c r="P70" s="17">
        <v>75.364800000000002</v>
      </c>
      <c r="Q70" s="17">
        <v>75.364800000000002</v>
      </c>
      <c r="R70" s="17">
        <v>75.364800000000002</v>
      </c>
      <c r="S70" s="17">
        <v>75.364800000000002</v>
      </c>
      <c r="T70" s="17">
        <v>75.364800000000002</v>
      </c>
      <c r="U70" s="17">
        <v>75.364800000000002</v>
      </c>
      <c r="V70" s="17">
        <v>75.364800000000002</v>
      </c>
      <c r="W70" s="17">
        <v>75.364800000000002</v>
      </c>
      <c r="X70" s="17">
        <v>75.364800000000002</v>
      </c>
      <c r="Y70" s="17">
        <v>75.364800000000002</v>
      </c>
      <c r="Z70" s="17">
        <v>904.37760000000026</v>
      </c>
    </row>
    <row r="71" spans="1:26">
      <c r="A71" t="s">
        <v>308</v>
      </c>
      <c r="B71" t="s">
        <v>164</v>
      </c>
      <c r="C71" t="s">
        <v>310</v>
      </c>
      <c r="D71" t="s">
        <v>173</v>
      </c>
      <c r="E71" t="s">
        <v>47</v>
      </c>
      <c r="F71" t="s">
        <v>48</v>
      </c>
      <c r="G71" t="s">
        <v>169</v>
      </c>
      <c r="H71" t="s">
        <v>164</v>
      </c>
      <c r="I71" t="s">
        <v>228</v>
      </c>
      <c r="J71" t="s">
        <v>48</v>
      </c>
      <c r="K71" t="s">
        <v>191</v>
      </c>
      <c r="L71" t="s">
        <v>228</v>
      </c>
      <c r="M71" t="s">
        <v>48</v>
      </c>
      <c r="N71" s="17">
        <v>142.76640000000003</v>
      </c>
      <c r="O71" s="17">
        <v>142.76640000000003</v>
      </c>
      <c r="P71" s="17">
        <v>142.76640000000003</v>
      </c>
      <c r="Q71" s="17">
        <v>142.76640000000003</v>
      </c>
      <c r="R71" s="17">
        <v>142.76640000000003</v>
      </c>
      <c r="S71" s="17">
        <v>142.76640000000003</v>
      </c>
      <c r="T71" s="17">
        <v>203.95200000000006</v>
      </c>
      <c r="U71" s="17">
        <v>142.76640000000003</v>
      </c>
      <c r="V71" s="17">
        <v>142.76640000000003</v>
      </c>
      <c r="W71" s="17">
        <v>142.76640000000003</v>
      </c>
      <c r="X71" s="17">
        <v>142.76640000000003</v>
      </c>
      <c r="Y71" s="17">
        <v>152.96400000000003</v>
      </c>
      <c r="Z71" s="17">
        <v>1784.58</v>
      </c>
    </row>
    <row r="72" spans="1:26">
      <c r="A72" t="s">
        <v>308</v>
      </c>
      <c r="B72" t="s">
        <v>164</v>
      </c>
      <c r="C72" t="s">
        <v>310</v>
      </c>
      <c r="D72" t="s">
        <v>173</v>
      </c>
      <c r="E72" t="s">
        <v>322</v>
      </c>
      <c r="F72" t="s">
        <v>323</v>
      </c>
      <c r="G72" t="s">
        <v>169</v>
      </c>
      <c r="H72" t="s">
        <v>164</v>
      </c>
      <c r="I72" t="s">
        <v>262</v>
      </c>
      <c r="J72" t="s">
        <v>48</v>
      </c>
      <c r="K72" t="s">
        <v>191</v>
      </c>
      <c r="L72" t="s">
        <v>262</v>
      </c>
      <c r="M72" t="s">
        <v>269</v>
      </c>
      <c r="N72" s="17">
        <v>11.295900000000001</v>
      </c>
      <c r="O72" s="17">
        <v>11.295900000000001</v>
      </c>
      <c r="P72" s="17">
        <v>11.295900000000001</v>
      </c>
      <c r="Q72" s="17">
        <v>11.295900000000001</v>
      </c>
      <c r="R72" s="17">
        <v>11.295900000000001</v>
      </c>
      <c r="S72" s="17">
        <v>11.295900000000001</v>
      </c>
      <c r="T72" s="17">
        <v>11.295900000000001</v>
      </c>
      <c r="U72" s="17">
        <v>11.295900000000001</v>
      </c>
      <c r="V72" s="17">
        <v>11.295900000000001</v>
      </c>
      <c r="W72" s="17">
        <v>11.295900000000001</v>
      </c>
      <c r="X72" s="17">
        <v>11.295900000000001</v>
      </c>
      <c r="Y72" s="17">
        <v>11.295900000000001</v>
      </c>
      <c r="Z72" s="17">
        <v>135.55080000000001</v>
      </c>
    </row>
    <row r="73" spans="1:26">
      <c r="A73" t="s">
        <v>308</v>
      </c>
      <c r="B73" t="s">
        <v>164</v>
      </c>
      <c r="C73" t="s">
        <v>310</v>
      </c>
      <c r="D73" t="s">
        <v>173</v>
      </c>
      <c r="E73" t="s">
        <v>128</v>
      </c>
      <c r="F73" t="s">
        <v>324</v>
      </c>
      <c r="G73" t="s">
        <v>169</v>
      </c>
      <c r="H73" t="s">
        <v>164</v>
      </c>
      <c r="I73" t="s">
        <v>228</v>
      </c>
      <c r="J73" t="s">
        <v>325</v>
      </c>
      <c r="K73" t="s">
        <v>191</v>
      </c>
      <c r="L73" t="s">
        <v>228</v>
      </c>
      <c r="M73" t="s">
        <v>325</v>
      </c>
      <c r="N73" s="17">
        <v>131.77080000000001</v>
      </c>
      <c r="O73" s="17">
        <v>131.77080000000001</v>
      </c>
      <c r="P73" s="17">
        <v>131.77080000000001</v>
      </c>
      <c r="Q73" s="17">
        <v>131.77080000000001</v>
      </c>
      <c r="R73" s="17">
        <v>131.77080000000001</v>
      </c>
      <c r="S73" s="17">
        <v>131.77080000000001</v>
      </c>
      <c r="T73" s="17">
        <v>131.77080000000001</v>
      </c>
      <c r="U73" s="17">
        <v>131.77080000000001</v>
      </c>
      <c r="V73" s="17">
        <v>131.77080000000001</v>
      </c>
      <c r="W73" s="17">
        <v>131.77080000000001</v>
      </c>
      <c r="X73" s="17">
        <v>131.77080000000001</v>
      </c>
      <c r="Y73" s="17">
        <v>131.77080000000001</v>
      </c>
      <c r="Z73" s="17">
        <v>1581.2496000000001</v>
      </c>
    </row>
    <row r="74" spans="1:26">
      <c r="A74" t="s">
        <v>308</v>
      </c>
      <c r="B74" t="s">
        <v>164</v>
      </c>
      <c r="C74" t="s">
        <v>310</v>
      </c>
      <c r="D74" t="s">
        <v>173</v>
      </c>
      <c r="E74" t="s">
        <v>104</v>
      </c>
      <c r="F74" t="s">
        <v>326</v>
      </c>
      <c r="G74" t="s">
        <v>169</v>
      </c>
      <c r="H74" t="s">
        <v>164</v>
      </c>
      <c r="I74" t="s">
        <v>228</v>
      </c>
      <c r="J74" t="s">
        <v>327</v>
      </c>
      <c r="K74" t="s">
        <v>191</v>
      </c>
      <c r="L74" t="s">
        <v>228</v>
      </c>
      <c r="M74" t="s">
        <v>327</v>
      </c>
      <c r="N74" s="17">
        <v>125.49600000000001</v>
      </c>
      <c r="O74" s="17">
        <v>125.49600000000001</v>
      </c>
      <c r="P74" s="17">
        <v>125.49600000000001</v>
      </c>
      <c r="Q74" s="17">
        <v>125.49600000000001</v>
      </c>
      <c r="R74" s="17">
        <v>125.49600000000001</v>
      </c>
      <c r="S74" s="17">
        <v>125.49600000000001</v>
      </c>
      <c r="T74" s="17">
        <v>125.49600000000001</v>
      </c>
      <c r="U74" s="17">
        <v>125.49600000000001</v>
      </c>
      <c r="V74" s="17">
        <v>125.49600000000001</v>
      </c>
      <c r="W74" s="17">
        <v>125.49600000000001</v>
      </c>
      <c r="X74" s="17">
        <v>125.49600000000001</v>
      </c>
      <c r="Y74" s="17">
        <v>125.49600000000001</v>
      </c>
      <c r="Z74" s="17">
        <v>1505.9520000000002</v>
      </c>
    </row>
    <row r="75" spans="1:26">
      <c r="A75" t="s">
        <v>163</v>
      </c>
      <c r="B75" t="s">
        <v>164</v>
      </c>
      <c r="C75" t="s">
        <v>310</v>
      </c>
      <c r="D75" t="s">
        <v>173</v>
      </c>
      <c r="E75" t="s">
        <v>328</v>
      </c>
      <c r="F75" t="s">
        <v>175</v>
      </c>
      <c r="G75" t="s">
        <v>169</v>
      </c>
      <c r="H75" t="s">
        <v>164</v>
      </c>
      <c r="I75" t="s">
        <v>170</v>
      </c>
      <c r="J75" t="s">
        <v>171</v>
      </c>
      <c r="K75" t="s">
        <v>172</v>
      </c>
      <c r="L75" t="s">
        <v>170</v>
      </c>
      <c r="M75" t="s">
        <v>176</v>
      </c>
      <c r="N75" s="17">
        <v>129.90600000000003</v>
      </c>
      <c r="O75" s="17">
        <v>129.90600000000003</v>
      </c>
      <c r="P75" s="17">
        <v>129.90600000000003</v>
      </c>
      <c r="Q75" s="17">
        <v>129.90600000000003</v>
      </c>
      <c r="R75" s="17">
        <v>129.90600000000003</v>
      </c>
      <c r="S75" s="17">
        <v>129.90600000000003</v>
      </c>
      <c r="T75" s="17">
        <v>129.90600000000003</v>
      </c>
      <c r="U75" s="17">
        <v>129.90600000000003</v>
      </c>
      <c r="V75" s="17">
        <v>129.90600000000003</v>
      </c>
      <c r="W75" s="17">
        <v>129.90600000000003</v>
      </c>
      <c r="X75" s="17">
        <v>129.90600000000003</v>
      </c>
      <c r="Y75" s="17">
        <v>129.90600000000003</v>
      </c>
      <c r="Z75" s="17">
        <v>1558.8720000000001</v>
      </c>
    </row>
    <row r="76" spans="1:26">
      <c r="A76" t="s">
        <v>163</v>
      </c>
      <c r="B76" t="s">
        <v>164</v>
      </c>
      <c r="C76" t="s">
        <v>310</v>
      </c>
      <c r="D76" t="s">
        <v>173</v>
      </c>
      <c r="E76" t="s">
        <v>329</v>
      </c>
      <c r="F76" t="s">
        <v>178</v>
      </c>
      <c r="G76" t="s">
        <v>169</v>
      </c>
      <c r="H76" t="s">
        <v>164</v>
      </c>
      <c r="I76" t="s">
        <v>170</v>
      </c>
      <c r="J76" t="s">
        <v>171</v>
      </c>
      <c r="K76" t="s">
        <v>172</v>
      </c>
      <c r="L76" t="s">
        <v>170</v>
      </c>
      <c r="M76" t="s">
        <v>176</v>
      </c>
      <c r="N76" s="17">
        <v>86.604000000000013</v>
      </c>
      <c r="O76" s="17">
        <v>86.604000000000013</v>
      </c>
      <c r="P76" s="17">
        <v>86.604000000000013</v>
      </c>
      <c r="Q76" s="17">
        <v>86.604000000000013</v>
      </c>
      <c r="R76" s="17">
        <v>86.604000000000013</v>
      </c>
      <c r="S76" s="17">
        <v>86.604000000000013</v>
      </c>
      <c r="T76" s="17">
        <v>86.604000000000013</v>
      </c>
      <c r="U76" s="17">
        <v>86.604000000000013</v>
      </c>
      <c r="V76" s="17">
        <v>86.604000000000013</v>
      </c>
      <c r="W76" s="17">
        <v>86.604000000000013</v>
      </c>
      <c r="X76" s="17">
        <v>86.604000000000013</v>
      </c>
      <c r="Y76" s="17">
        <v>86.604000000000013</v>
      </c>
      <c r="Z76" s="17">
        <v>1039.2480000000003</v>
      </c>
    </row>
    <row r="77" spans="1:26">
      <c r="A77" t="s">
        <v>163</v>
      </c>
      <c r="B77" t="s">
        <v>164</v>
      </c>
      <c r="C77" t="s">
        <v>310</v>
      </c>
      <c r="D77" t="s">
        <v>173</v>
      </c>
      <c r="E77" t="s">
        <v>280</v>
      </c>
      <c r="F77" t="s">
        <v>330</v>
      </c>
      <c r="G77" t="s">
        <v>169</v>
      </c>
      <c r="H77" t="s">
        <v>164</v>
      </c>
      <c r="I77" t="s">
        <v>170</v>
      </c>
      <c r="J77" t="s">
        <v>331</v>
      </c>
      <c r="K77" t="s">
        <v>172</v>
      </c>
      <c r="L77" t="s">
        <v>201</v>
      </c>
      <c r="M77" t="s">
        <v>283</v>
      </c>
      <c r="N77" s="17">
        <v>50.393699999999995</v>
      </c>
      <c r="O77" s="17">
        <v>50.393699999999995</v>
      </c>
      <c r="P77" s="17">
        <v>50.393699999999995</v>
      </c>
      <c r="Q77" s="17">
        <v>50.393699999999995</v>
      </c>
      <c r="R77" s="17">
        <v>50.393699999999995</v>
      </c>
      <c r="S77" s="17">
        <v>50.393699999999995</v>
      </c>
      <c r="T77" s="17">
        <v>50.393699999999995</v>
      </c>
      <c r="U77" s="17">
        <v>50.393699999999995</v>
      </c>
      <c r="V77" s="17">
        <v>50.393699999999995</v>
      </c>
      <c r="W77" s="17">
        <v>50.393699999999995</v>
      </c>
      <c r="X77" s="17">
        <v>50.393699999999995</v>
      </c>
      <c r="Y77" s="17">
        <v>50.393699999999995</v>
      </c>
      <c r="Z77" s="17">
        <v>604.72439999999983</v>
      </c>
    </row>
    <row r="78" spans="1:26">
      <c r="A78" t="s">
        <v>163</v>
      </c>
      <c r="B78" t="s">
        <v>164</v>
      </c>
      <c r="C78" t="s">
        <v>310</v>
      </c>
      <c r="D78" t="s">
        <v>173</v>
      </c>
      <c r="E78" t="s">
        <v>284</v>
      </c>
      <c r="F78" t="s">
        <v>332</v>
      </c>
      <c r="G78" t="s">
        <v>169</v>
      </c>
      <c r="H78" t="s">
        <v>164</v>
      </c>
      <c r="I78" t="s">
        <v>170</v>
      </c>
      <c r="J78" t="s">
        <v>331</v>
      </c>
      <c r="K78" t="s">
        <v>172</v>
      </c>
      <c r="L78" t="s">
        <v>201</v>
      </c>
      <c r="M78" t="s">
        <v>283</v>
      </c>
      <c r="N78" s="17">
        <v>50.393699999999995</v>
      </c>
      <c r="O78" s="17">
        <v>50.393699999999995</v>
      </c>
      <c r="P78" s="17">
        <v>50.393699999999995</v>
      </c>
      <c r="Q78" s="17">
        <v>50.393699999999995</v>
      </c>
      <c r="R78" s="17">
        <v>50.393699999999995</v>
      </c>
      <c r="S78" s="17">
        <v>50.393699999999995</v>
      </c>
      <c r="T78" s="17">
        <v>50.393699999999995</v>
      </c>
      <c r="U78" s="17">
        <v>50.393699999999995</v>
      </c>
      <c r="V78" s="17">
        <v>50.393699999999995</v>
      </c>
      <c r="W78" s="17">
        <v>50.393699999999995</v>
      </c>
      <c r="X78" s="17">
        <v>50.393699999999995</v>
      </c>
      <c r="Y78" s="17">
        <v>50.393699999999995</v>
      </c>
      <c r="Z78" s="17">
        <v>604.72439999999983</v>
      </c>
    </row>
    <row r="79" spans="1:26">
      <c r="A79" t="s">
        <v>163</v>
      </c>
      <c r="B79" t="s">
        <v>164</v>
      </c>
      <c r="C79" t="s">
        <v>310</v>
      </c>
      <c r="D79" t="s">
        <v>173</v>
      </c>
      <c r="E79" t="s">
        <v>51</v>
      </c>
      <c r="F79" t="s">
        <v>52</v>
      </c>
      <c r="G79" t="s">
        <v>169</v>
      </c>
      <c r="H79" t="s">
        <v>164</v>
      </c>
      <c r="I79" t="s">
        <v>170</v>
      </c>
      <c r="J79" t="s">
        <v>331</v>
      </c>
      <c r="K79" t="s">
        <v>191</v>
      </c>
      <c r="L79" t="s">
        <v>201</v>
      </c>
      <c r="M79" t="s">
        <v>52</v>
      </c>
      <c r="N79" s="17">
        <v>109.2</v>
      </c>
      <c r="O79" s="17">
        <v>109.2</v>
      </c>
      <c r="P79" s="17">
        <v>109.2</v>
      </c>
      <c r="Q79" s="17">
        <v>109.2</v>
      </c>
      <c r="R79" s="17">
        <v>109.2</v>
      </c>
      <c r="S79" s="17">
        <v>109.2</v>
      </c>
      <c r="T79" s="17">
        <v>109.2</v>
      </c>
      <c r="U79" s="17">
        <v>109.2</v>
      </c>
      <c r="V79" s="17">
        <v>109.2</v>
      </c>
      <c r="W79" s="17">
        <v>109.2</v>
      </c>
      <c r="X79" s="17">
        <v>109.2</v>
      </c>
      <c r="Y79" s="17">
        <v>109.2</v>
      </c>
      <c r="Z79" s="17">
        <v>1310.4000000000003</v>
      </c>
    </row>
    <row r="80" spans="1:26">
      <c r="A80" t="s">
        <v>163</v>
      </c>
      <c r="B80" t="s">
        <v>164</v>
      </c>
      <c r="C80" t="s">
        <v>310</v>
      </c>
      <c r="D80" t="s">
        <v>173</v>
      </c>
      <c r="E80" t="s">
        <v>333</v>
      </c>
      <c r="F80" t="s">
        <v>334</v>
      </c>
      <c r="G80" t="s">
        <v>169</v>
      </c>
      <c r="H80" t="s">
        <v>164</v>
      </c>
      <c r="I80" t="s">
        <v>170</v>
      </c>
      <c r="J80" t="s">
        <v>331</v>
      </c>
      <c r="K80" t="s">
        <v>191</v>
      </c>
      <c r="L80" t="s">
        <v>201</v>
      </c>
      <c r="M80" t="s">
        <v>334</v>
      </c>
      <c r="N80" s="17">
        <v>58.800000000000011</v>
      </c>
      <c r="O80" s="17">
        <v>58.800000000000011</v>
      </c>
      <c r="P80" s="17">
        <v>58.800000000000011</v>
      </c>
      <c r="Q80" s="17">
        <v>58.800000000000011</v>
      </c>
      <c r="R80" s="17">
        <v>58.800000000000011</v>
      </c>
      <c r="S80" s="17">
        <v>58.800000000000011</v>
      </c>
      <c r="T80" s="17">
        <v>58.800000000000011</v>
      </c>
      <c r="U80" s="17">
        <v>58.800000000000011</v>
      </c>
      <c r="V80" s="17">
        <v>58.800000000000011</v>
      </c>
      <c r="W80" s="17">
        <v>58.800000000000011</v>
      </c>
      <c r="X80" s="17">
        <v>58.800000000000011</v>
      </c>
      <c r="Y80" s="17">
        <v>58.800000000000011</v>
      </c>
      <c r="Z80" s="17">
        <v>705.59999999999991</v>
      </c>
    </row>
    <row r="81" spans="1:26">
      <c r="A81" t="s">
        <v>163</v>
      </c>
      <c r="B81" t="s">
        <v>164</v>
      </c>
      <c r="C81" t="s">
        <v>310</v>
      </c>
      <c r="D81" t="s">
        <v>173</v>
      </c>
      <c r="E81" t="s">
        <v>335</v>
      </c>
      <c r="F81" t="s">
        <v>336</v>
      </c>
      <c r="G81" t="s">
        <v>169</v>
      </c>
      <c r="H81" t="s">
        <v>164</v>
      </c>
      <c r="I81" t="s">
        <v>170</v>
      </c>
      <c r="J81" t="s">
        <v>288</v>
      </c>
      <c r="K81" t="s">
        <v>172</v>
      </c>
      <c r="L81" t="s">
        <v>170</v>
      </c>
      <c r="M81" t="s">
        <v>288</v>
      </c>
      <c r="N81" s="17">
        <v>11.081700000000001</v>
      </c>
      <c r="O81" s="17">
        <v>11.081700000000001</v>
      </c>
      <c r="P81" s="17">
        <v>11.081700000000001</v>
      </c>
      <c r="Q81" s="17">
        <v>11.081700000000001</v>
      </c>
      <c r="R81" s="17">
        <v>11.081700000000001</v>
      </c>
      <c r="S81" s="17">
        <v>11.081700000000001</v>
      </c>
      <c r="T81" s="17">
        <v>11.081700000000001</v>
      </c>
      <c r="U81" s="17">
        <v>11.081700000000001</v>
      </c>
      <c r="V81" s="17">
        <v>11.081700000000001</v>
      </c>
      <c r="W81" s="17">
        <v>11.081700000000001</v>
      </c>
      <c r="X81" s="17">
        <v>11.081700000000001</v>
      </c>
      <c r="Y81" s="17">
        <v>11.081700000000001</v>
      </c>
      <c r="Z81" s="17">
        <v>132.9804</v>
      </c>
    </row>
    <row r="82" spans="1:26">
      <c r="A82" t="s">
        <v>259</v>
      </c>
      <c r="B82" t="s">
        <v>164</v>
      </c>
      <c r="C82" t="s">
        <v>310</v>
      </c>
      <c r="D82" t="s">
        <v>173</v>
      </c>
      <c r="E82" t="s">
        <v>260</v>
      </c>
      <c r="F82" t="s">
        <v>261</v>
      </c>
      <c r="G82" t="s">
        <v>169</v>
      </c>
      <c r="H82" t="s">
        <v>164</v>
      </c>
      <c r="I82" t="s">
        <v>262</v>
      </c>
      <c r="J82" t="s">
        <v>261</v>
      </c>
      <c r="K82" t="s">
        <v>172</v>
      </c>
      <c r="L82" t="s">
        <v>262</v>
      </c>
      <c r="M82" t="s">
        <v>261</v>
      </c>
      <c r="N82" s="17">
        <v>31.904880000000006</v>
      </c>
      <c r="O82" s="17">
        <v>31.904880000000006</v>
      </c>
      <c r="P82" s="17">
        <v>31.904880000000006</v>
      </c>
      <c r="Q82" s="17">
        <v>31.904880000000006</v>
      </c>
      <c r="R82" s="17">
        <v>31.904880000000006</v>
      </c>
      <c r="S82" s="17">
        <v>31.904880000000006</v>
      </c>
      <c r="T82" s="17">
        <v>31.904880000000006</v>
      </c>
      <c r="U82" s="17">
        <v>31.904880000000006</v>
      </c>
      <c r="V82" s="17">
        <v>31.904880000000006</v>
      </c>
      <c r="W82" s="17">
        <v>31.904880000000006</v>
      </c>
      <c r="X82" s="17">
        <v>31.904880000000006</v>
      </c>
      <c r="Y82" s="17">
        <v>31.904880000000006</v>
      </c>
      <c r="Z82" s="17">
        <v>382.85855999999995</v>
      </c>
    </row>
    <row r="83" spans="1:26">
      <c r="B83" t="s">
        <v>164</v>
      </c>
      <c r="C83" t="s">
        <v>337</v>
      </c>
      <c r="D83" t="s">
        <v>166</v>
      </c>
      <c r="E83" t="s">
        <v>35</v>
      </c>
      <c r="F83" t="s">
        <v>338</v>
      </c>
      <c r="G83" t="s">
        <v>169</v>
      </c>
      <c r="H83" t="s">
        <v>169</v>
      </c>
      <c r="I83" t="s">
        <v>228</v>
      </c>
      <c r="J83" t="s">
        <v>339</v>
      </c>
      <c r="K83" t="s">
        <v>191</v>
      </c>
      <c r="L83" t="s">
        <v>228</v>
      </c>
      <c r="M83" t="s">
        <v>339</v>
      </c>
      <c r="N83" s="17">
        <v>18.055800000000001</v>
      </c>
      <c r="O83" s="17">
        <v>18.055800000000001</v>
      </c>
      <c r="P83" s="17">
        <v>18.055800000000001</v>
      </c>
      <c r="Q83" s="17">
        <v>18.055800000000001</v>
      </c>
      <c r="R83" s="17">
        <v>18.055800000000001</v>
      </c>
      <c r="S83" s="17">
        <v>18.055800000000001</v>
      </c>
      <c r="T83" s="17">
        <v>18.055800000000001</v>
      </c>
      <c r="U83" s="17">
        <v>18.055800000000001</v>
      </c>
      <c r="V83" s="17">
        <v>18.055800000000001</v>
      </c>
      <c r="W83" s="17">
        <v>18.055800000000001</v>
      </c>
      <c r="X83" s="17">
        <v>18.055800000000001</v>
      </c>
      <c r="Y83" s="17">
        <v>18.055800000000001</v>
      </c>
      <c r="Z83" s="17">
        <v>216.66960000000003</v>
      </c>
    </row>
    <row r="84" spans="1:26">
      <c r="B84" t="s">
        <v>164</v>
      </c>
      <c r="C84" t="s">
        <v>337</v>
      </c>
      <c r="D84" t="s">
        <v>166</v>
      </c>
      <c r="E84" t="s">
        <v>340</v>
      </c>
      <c r="F84" t="s">
        <v>341</v>
      </c>
      <c r="G84" t="s">
        <v>169</v>
      </c>
      <c r="H84" t="s">
        <v>169</v>
      </c>
      <c r="I84" t="s">
        <v>228</v>
      </c>
      <c r="J84" t="s">
        <v>339</v>
      </c>
      <c r="K84" t="s">
        <v>191</v>
      </c>
      <c r="L84" t="s">
        <v>228</v>
      </c>
      <c r="M84" t="s">
        <v>339</v>
      </c>
      <c r="N84" s="17">
        <v>18.055800000000001</v>
      </c>
      <c r="O84" s="17">
        <v>18.055800000000001</v>
      </c>
      <c r="P84" s="17">
        <v>18.055800000000001</v>
      </c>
      <c r="Q84" s="17">
        <v>18.055800000000001</v>
      </c>
      <c r="R84" s="17">
        <v>18.055800000000001</v>
      </c>
      <c r="S84" s="17">
        <v>18.055800000000001</v>
      </c>
      <c r="T84" s="17">
        <v>18.055800000000001</v>
      </c>
      <c r="U84" s="17">
        <v>18.055800000000001</v>
      </c>
      <c r="V84" s="17">
        <v>18.055800000000001</v>
      </c>
      <c r="W84" s="17">
        <v>18.055800000000001</v>
      </c>
      <c r="X84" s="17">
        <v>18.055800000000001</v>
      </c>
      <c r="Y84" s="17">
        <v>18.055800000000001</v>
      </c>
      <c r="Z84" s="17">
        <v>216.66960000000003</v>
      </c>
    </row>
    <row r="85" spans="1:26">
      <c r="B85" t="s">
        <v>164</v>
      </c>
      <c r="C85" t="s">
        <v>337</v>
      </c>
      <c r="D85" t="s">
        <v>166</v>
      </c>
      <c r="E85" t="s">
        <v>104</v>
      </c>
      <c r="F85" t="s">
        <v>326</v>
      </c>
      <c r="G85" t="s">
        <v>169</v>
      </c>
      <c r="H85" t="s">
        <v>169</v>
      </c>
      <c r="I85" t="s">
        <v>228</v>
      </c>
      <c r="J85" t="s">
        <v>327</v>
      </c>
      <c r="K85" t="s">
        <v>191</v>
      </c>
      <c r="L85" t="s">
        <v>228</v>
      </c>
      <c r="M85" t="s">
        <v>327</v>
      </c>
      <c r="N85" s="17">
        <v>39.677400000000006</v>
      </c>
      <c r="O85" s="17">
        <v>39.677400000000006</v>
      </c>
      <c r="P85" s="17">
        <v>39.677400000000006</v>
      </c>
      <c r="Q85" s="17">
        <v>39.677400000000006</v>
      </c>
      <c r="R85" s="17">
        <v>39.677400000000006</v>
      </c>
      <c r="S85" s="17">
        <v>39.677400000000006</v>
      </c>
      <c r="T85" s="17">
        <v>39.677400000000006</v>
      </c>
      <c r="U85" s="17">
        <v>39.677400000000006</v>
      </c>
      <c r="V85" s="17">
        <v>39.677400000000006</v>
      </c>
      <c r="W85" s="17">
        <v>39.677400000000006</v>
      </c>
      <c r="X85" s="17">
        <v>39.677400000000006</v>
      </c>
      <c r="Y85" s="17">
        <v>39.677400000000006</v>
      </c>
      <c r="Z85" s="17">
        <v>476.12880000000018</v>
      </c>
    </row>
    <row r="86" spans="1:26">
      <c r="B86" t="s">
        <v>164</v>
      </c>
      <c r="C86" t="s">
        <v>337</v>
      </c>
      <c r="D86" t="s">
        <v>166</v>
      </c>
      <c r="E86" t="s">
        <v>47</v>
      </c>
      <c r="F86" t="s">
        <v>48</v>
      </c>
      <c r="G86" t="s">
        <v>169</v>
      </c>
      <c r="H86" t="s">
        <v>169</v>
      </c>
      <c r="I86" t="s">
        <v>228</v>
      </c>
      <c r="J86" t="s">
        <v>48</v>
      </c>
      <c r="K86" t="s">
        <v>191</v>
      </c>
      <c r="L86" t="s">
        <v>228</v>
      </c>
      <c r="M86" t="s">
        <v>48</v>
      </c>
      <c r="N86" s="17">
        <v>51.429000000000002</v>
      </c>
      <c r="O86" s="17">
        <v>51.429000000000002</v>
      </c>
      <c r="P86" s="17">
        <v>51.429000000000002</v>
      </c>
      <c r="Q86" s="17">
        <v>51.429000000000002</v>
      </c>
      <c r="R86" s="17">
        <v>51.429000000000002</v>
      </c>
      <c r="S86" s="17">
        <v>51.429000000000002</v>
      </c>
      <c r="T86" s="17">
        <v>51.429000000000002</v>
      </c>
      <c r="U86" s="17">
        <v>51.429000000000002</v>
      </c>
      <c r="V86" s="17">
        <v>51.429000000000002</v>
      </c>
      <c r="W86" s="17">
        <v>51.429000000000002</v>
      </c>
      <c r="X86" s="17">
        <v>51.429000000000002</v>
      </c>
      <c r="Y86" s="17">
        <v>51.429000000000002</v>
      </c>
      <c r="Z86" s="17">
        <v>617.1479999999998</v>
      </c>
    </row>
    <row r="87" spans="1:26">
      <c r="B87" t="s">
        <v>164</v>
      </c>
      <c r="C87" t="s">
        <v>337</v>
      </c>
      <c r="D87" t="s">
        <v>166</v>
      </c>
      <c r="E87" t="s">
        <v>260</v>
      </c>
      <c r="F87" t="s">
        <v>261</v>
      </c>
      <c r="G87" t="s">
        <v>169</v>
      </c>
      <c r="H87" t="s">
        <v>164</v>
      </c>
      <c r="I87" t="s">
        <v>262</v>
      </c>
      <c r="J87" t="s">
        <v>261</v>
      </c>
      <c r="K87" t="s">
        <v>172</v>
      </c>
      <c r="L87" t="s">
        <v>262</v>
      </c>
      <c r="M87" t="s">
        <v>261</v>
      </c>
      <c r="N87" s="17">
        <v>39.930660000000003</v>
      </c>
      <c r="O87" s="17">
        <v>39.930660000000003</v>
      </c>
      <c r="P87" s="17">
        <v>39.930660000000003</v>
      </c>
      <c r="Q87" s="17">
        <v>39.930660000000003</v>
      </c>
      <c r="R87" s="17">
        <v>39.930660000000003</v>
      </c>
      <c r="S87" s="17">
        <v>39.930660000000003</v>
      </c>
      <c r="T87" s="17">
        <v>50.062320000000007</v>
      </c>
      <c r="U87" s="17">
        <v>39.930660000000003</v>
      </c>
      <c r="V87" s="17">
        <v>39.930660000000003</v>
      </c>
      <c r="W87" s="17">
        <v>50.062320000000007</v>
      </c>
      <c r="X87" s="17">
        <v>50.062320000000007</v>
      </c>
      <c r="Y87" s="17">
        <v>50.062320000000007</v>
      </c>
      <c r="Z87" s="17">
        <v>519.69456000000002</v>
      </c>
    </row>
    <row r="88" spans="1:26">
      <c r="B88" t="s">
        <v>164</v>
      </c>
      <c r="C88" t="s">
        <v>337</v>
      </c>
      <c r="D88" t="s">
        <v>166</v>
      </c>
      <c r="E88" t="s">
        <v>263</v>
      </c>
      <c r="F88" t="s">
        <v>264</v>
      </c>
      <c r="G88" t="s">
        <v>169</v>
      </c>
      <c r="H88" t="s">
        <v>164</v>
      </c>
      <c r="I88" t="s">
        <v>262</v>
      </c>
      <c r="J88" t="s">
        <v>261</v>
      </c>
      <c r="K88" t="s">
        <v>172</v>
      </c>
      <c r="L88" t="s">
        <v>262</v>
      </c>
      <c r="M88" t="s">
        <v>261</v>
      </c>
      <c r="N88" s="17">
        <v>24.066000000000003</v>
      </c>
      <c r="O88" s="17">
        <v>24.066000000000003</v>
      </c>
      <c r="P88" s="17">
        <v>24.066000000000003</v>
      </c>
      <c r="Q88" s="17">
        <v>24.066000000000003</v>
      </c>
      <c r="R88" s="17">
        <v>24.066000000000003</v>
      </c>
      <c r="S88" s="17">
        <v>24.066000000000003</v>
      </c>
      <c r="T88" s="17">
        <v>32.729760000000006</v>
      </c>
      <c r="U88" s="17">
        <v>24.066000000000003</v>
      </c>
      <c r="V88" s="17">
        <v>24.066000000000003</v>
      </c>
      <c r="W88" s="17">
        <v>32.729760000000006</v>
      </c>
      <c r="X88" s="17">
        <v>32.729760000000006</v>
      </c>
      <c r="Y88" s="17">
        <v>32.729760000000006</v>
      </c>
      <c r="Z88" s="17">
        <v>323.44704000000002</v>
      </c>
    </row>
    <row r="89" spans="1:26">
      <c r="B89" t="s">
        <v>164</v>
      </c>
      <c r="C89" t="s">
        <v>337</v>
      </c>
      <c r="D89" t="s">
        <v>166</v>
      </c>
      <c r="E89" t="s">
        <v>265</v>
      </c>
      <c r="F89" t="s">
        <v>266</v>
      </c>
      <c r="G89" t="s">
        <v>169</v>
      </c>
      <c r="H89" t="s">
        <v>164</v>
      </c>
      <c r="I89" t="s">
        <v>262</v>
      </c>
      <c r="J89" t="s">
        <v>261</v>
      </c>
      <c r="K89" t="s">
        <v>172</v>
      </c>
      <c r="L89" t="s">
        <v>262</v>
      </c>
      <c r="M89" t="s">
        <v>261</v>
      </c>
      <c r="N89" s="17">
        <v>47.416739999999997</v>
      </c>
      <c r="O89" s="17">
        <v>47.416739999999997</v>
      </c>
      <c r="P89" s="17">
        <v>47.416739999999997</v>
      </c>
      <c r="Q89" s="17">
        <v>47.416739999999997</v>
      </c>
      <c r="R89" s="17">
        <v>47.416739999999997</v>
      </c>
      <c r="S89" s="17">
        <v>47.416739999999997</v>
      </c>
      <c r="T89" s="17">
        <v>58.573619999999998</v>
      </c>
      <c r="U89" s="17">
        <v>47.416739999999997</v>
      </c>
      <c r="V89" s="17">
        <v>47.416739999999997</v>
      </c>
      <c r="W89" s="17">
        <v>58.573619999999998</v>
      </c>
      <c r="X89" s="17">
        <v>58.573619999999998</v>
      </c>
      <c r="Y89" s="17">
        <v>58.573619999999998</v>
      </c>
      <c r="Z89" s="17">
        <v>613.62839999999994</v>
      </c>
    </row>
    <row r="90" spans="1:26">
      <c r="B90" t="s">
        <v>164</v>
      </c>
      <c r="C90" t="s">
        <v>337</v>
      </c>
      <c r="D90" t="s">
        <v>166</v>
      </c>
      <c r="E90" t="s">
        <v>174</v>
      </c>
      <c r="F90" t="s">
        <v>175</v>
      </c>
      <c r="G90" t="s">
        <v>169</v>
      </c>
      <c r="H90" t="s">
        <v>164</v>
      </c>
      <c r="I90" t="s">
        <v>170</v>
      </c>
      <c r="J90" t="s">
        <v>171</v>
      </c>
      <c r="K90" t="s">
        <v>172</v>
      </c>
      <c r="L90" t="s">
        <v>170</v>
      </c>
      <c r="M90" t="s">
        <v>176</v>
      </c>
      <c r="N90" s="17">
        <v>25.79325</v>
      </c>
      <c r="O90" s="17">
        <v>25.79325</v>
      </c>
      <c r="P90" s="17">
        <v>25.79325</v>
      </c>
      <c r="Q90" s="17">
        <v>25.79325</v>
      </c>
      <c r="R90" s="17">
        <v>25.79325</v>
      </c>
      <c r="S90" s="17">
        <v>25.79325</v>
      </c>
      <c r="T90" s="17">
        <v>35.07882</v>
      </c>
      <c r="U90" s="17">
        <v>25.79325</v>
      </c>
      <c r="V90" s="17">
        <v>25.79325</v>
      </c>
      <c r="W90" s="17">
        <v>35.07882</v>
      </c>
      <c r="X90" s="17">
        <v>35.07882</v>
      </c>
      <c r="Y90" s="17">
        <v>35.07882</v>
      </c>
      <c r="Z90" s="17">
        <v>346.66128000000003</v>
      </c>
    </row>
    <row r="91" spans="1:26">
      <c r="B91" t="s">
        <v>164</v>
      </c>
      <c r="C91" t="s">
        <v>337</v>
      </c>
      <c r="D91" t="s">
        <v>166</v>
      </c>
      <c r="E91" t="s">
        <v>177</v>
      </c>
      <c r="F91" t="s">
        <v>178</v>
      </c>
      <c r="G91" t="s">
        <v>169</v>
      </c>
      <c r="H91" t="s">
        <v>164</v>
      </c>
      <c r="I91" t="s">
        <v>170</v>
      </c>
      <c r="J91" t="s">
        <v>171</v>
      </c>
      <c r="K91" t="s">
        <v>172</v>
      </c>
      <c r="L91" t="s">
        <v>170</v>
      </c>
      <c r="M91" t="s">
        <v>176</v>
      </c>
      <c r="N91" s="17">
        <v>25.79325</v>
      </c>
      <c r="O91" s="17">
        <v>25.79325</v>
      </c>
      <c r="P91" s="17">
        <v>25.79325</v>
      </c>
      <c r="Q91" s="17">
        <v>25.79325</v>
      </c>
      <c r="R91" s="17">
        <v>25.79325</v>
      </c>
      <c r="S91" s="17">
        <v>25.79325</v>
      </c>
      <c r="T91" s="17">
        <v>35.07882</v>
      </c>
      <c r="U91" s="17">
        <v>25.79325</v>
      </c>
      <c r="V91" s="17">
        <v>25.79325</v>
      </c>
      <c r="W91" s="17">
        <v>35.07882</v>
      </c>
      <c r="X91" s="17">
        <v>35.07882</v>
      </c>
      <c r="Y91" s="17">
        <v>35.07882</v>
      </c>
      <c r="Z91" s="17">
        <v>346.66128000000003</v>
      </c>
    </row>
    <row r="92" spans="1:26">
      <c r="B92" t="s">
        <v>164</v>
      </c>
      <c r="C92" t="s">
        <v>337</v>
      </c>
      <c r="D92" t="s">
        <v>166</v>
      </c>
      <c r="E92" t="s">
        <v>280</v>
      </c>
      <c r="F92" t="s">
        <v>330</v>
      </c>
      <c r="G92" t="s">
        <v>169</v>
      </c>
      <c r="H92" t="s">
        <v>164</v>
      </c>
      <c r="I92" t="s">
        <v>201</v>
      </c>
      <c r="J92" t="s">
        <v>342</v>
      </c>
      <c r="K92" t="s">
        <v>172</v>
      </c>
      <c r="L92" t="s">
        <v>201</v>
      </c>
      <c r="M92" t="s">
        <v>283</v>
      </c>
      <c r="N92" s="17">
        <v>70.386120000000005</v>
      </c>
      <c r="O92" s="17">
        <v>70.386120000000005</v>
      </c>
      <c r="P92" s="17">
        <v>70.386120000000005</v>
      </c>
      <c r="Q92" s="17">
        <v>70.386120000000005</v>
      </c>
      <c r="R92" s="17">
        <v>70.386120000000005</v>
      </c>
      <c r="S92" s="17">
        <v>70.386120000000005</v>
      </c>
      <c r="T92" s="17">
        <v>86.94756000000001</v>
      </c>
      <c r="U92" s="17">
        <v>70.386120000000005</v>
      </c>
      <c r="V92" s="17">
        <v>70.386120000000005</v>
      </c>
      <c r="W92" s="17">
        <v>86.94756000000001</v>
      </c>
      <c r="X92" s="17">
        <v>86.94756000000001</v>
      </c>
      <c r="Y92" s="17">
        <v>86.94756000000001</v>
      </c>
      <c r="Z92" s="17">
        <v>910.87920000000008</v>
      </c>
    </row>
    <row r="93" spans="1:26">
      <c r="A93" t="s">
        <v>163</v>
      </c>
      <c r="B93" t="s">
        <v>164</v>
      </c>
      <c r="C93" t="s">
        <v>337</v>
      </c>
      <c r="D93" t="s">
        <v>166</v>
      </c>
      <c r="E93" t="s">
        <v>284</v>
      </c>
      <c r="F93" t="s">
        <v>332</v>
      </c>
      <c r="G93" t="s">
        <v>169</v>
      </c>
      <c r="H93" t="s">
        <v>164</v>
      </c>
      <c r="I93" t="s">
        <v>201</v>
      </c>
      <c r="J93" t="s">
        <v>342</v>
      </c>
      <c r="K93" t="s">
        <v>172</v>
      </c>
      <c r="L93" t="s">
        <v>201</v>
      </c>
      <c r="M93" t="s">
        <v>283</v>
      </c>
      <c r="N93" s="17">
        <v>24.839640000000003</v>
      </c>
      <c r="O93" s="17">
        <v>24.839640000000003</v>
      </c>
      <c r="P93" s="17">
        <v>24.839640000000003</v>
      </c>
      <c r="Q93" s="17">
        <v>24.839640000000003</v>
      </c>
      <c r="R93" s="17">
        <v>24.839640000000003</v>
      </c>
      <c r="S93" s="17">
        <v>24.839640000000003</v>
      </c>
      <c r="T93" s="17">
        <v>35.189489999999999</v>
      </c>
      <c r="U93" s="17">
        <v>24.839640000000003</v>
      </c>
      <c r="V93" s="17">
        <v>24.839640000000003</v>
      </c>
      <c r="W93" s="17">
        <v>35.189489999999999</v>
      </c>
      <c r="X93" s="17">
        <v>35.189489999999999</v>
      </c>
      <c r="Y93" s="17">
        <v>35.189489999999999</v>
      </c>
      <c r="Z93" s="17">
        <v>339.47507999999999</v>
      </c>
    </row>
    <row r="94" spans="1:26">
      <c r="A94" t="s">
        <v>163</v>
      </c>
      <c r="B94" t="s">
        <v>164</v>
      </c>
      <c r="C94" t="s">
        <v>337</v>
      </c>
      <c r="D94" t="s">
        <v>166</v>
      </c>
      <c r="E94" t="s">
        <v>179</v>
      </c>
      <c r="F94" t="s">
        <v>180</v>
      </c>
      <c r="G94" t="s">
        <v>169</v>
      </c>
      <c r="H94" t="s">
        <v>164</v>
      </c>
      <c r="I94" t="s">
        <v>170</v>
      </c>
      <c r="J94" t="s">
        <v>171</v>
      </c>
      <c r="K94" t="s">
        <v>172</v>
      </c>
      <c r="L94" t="s">
        <v>170</v>
      </c>
      <c r="M94" t="s">
        <v>181</v>
      </c>
      <c r="N94" s="17">
        <v>8.82</v>
      </c>
      <c r="O94" s="17">
        <v>8.82</v>
      </c>
      <c r="P94" s="17">
        <v>8.82</v>
      </c>
      <c r="Q94" s="17">
        <v>8.82</v>
      </c>
      <c r="R94" s="17">
        <v>8.82</v>
      </c>
      <c r="S94" s="17">
        <v>8.82</v>
      </c>
      <c r="T94" s="17">
        <v>12.495000000000001</v>
      </c>
      <c r="U94" s="17">
        <v>8.82</v>
      </c>
      <c r="V94" s="17">
        <v>8.82</v>
      </c>
      <c r="W94" s="17">
        <v>12.495000000000001</v>
      </c>
      <c r="X94" s="17">
        <v>12.495000000000001</v>
      </c>
      <c r="Y94" s="17">
        <v>12.495000000000001</v>
      </c>
      <c r="Z94" s="17">
        <v>120.54000000000002</v>
      </c>
    </row>
    <row r="95" spans="1:26">
      <c r="A95" t="s">
        <v>163</v>
      </c>
      <c r="B95" t="s">
        <v>164</v>
      </c>
      <c r="C95" t="s">
        <v>337</v>
      </c>
      <c r="D95" t="s">
        <v>166</v>
      </c>
      <c r="E95" t="s">
        <v>343</v>
      </c>
      <c r="F95" t="s">
        <v>185</v>
      </c>
      <c r="G95" t="s">
        <v>169</v>
      </c>
      <c r="H95" t="s">
        <v>164</v>
      </c>
      <c r="I95" t="s">
        <v>170</v>
      </c>
      <c r="J95" t="s">
        <v>171</v>
      </c>
      <c r="K95" t="s">
        <v>172</v>
      </c>
      <c r="L95" t="s">
        <v>170</v>
      </c>
      <c r="M95" t="s">
        <v>186</v>
      </c>
      <c r="N95" s="17">
        <v>42.832860000000004</v>
      </c>
      <c r="O95" s="17">
        <v>42.832860000000004</v>
      </c>
      <c r="P95" s="17">
        <v>42.832860000000004</v>
      </c>
      <c r="Q95" s="17">
        <v>42.832860000000004</v>
      </c>
      <c r="R95" s="17">
        <v>42.832860000000004</v>
      </c>
      <c r="S95" s="17">
        <v>42.832860000000004</v>
      </c>
      <c r="T95" s="17">
        <v>52.911180000000009</v>
      </c>
      <c r="U95" s="17">
        <v>42.832860000000004</v>
      </c>
      <c r="V95" s="17">
        <v>42.832860000000004</v>
      </c>
      <c r="W95" s="17">
        <v>52.911180000000009</v>
      </c>
      <c r="X95" s="17">
        <v>52.911180000000009</v>
      </c>
      <c r="Y95" s="17">
        <v>52.911180000000009</v>
      </c>
      <c r="Z95" s="17">
        <v>554.30759999999998</v>
      </c>
    </row>
    <row r="96" spans="1:26">
      <c r="A96" t="s">
        <v>163</v>
      </c>
      <c r="B96" t="s">
        <v>164</v>
      </c>
      <c r="C96" t="s">
        <v>337</v>
      </c>
      <c r="D96" t="s">
        <v>166</v>
      </c>
      <c r="E96" t="s">
        <v>344</v>
      </c>
      <c r="F96" t="s">
        <v>188</v>
      </c>
      <c r="G96" t="s">
        <v>169</v>
      </c>
      <c r="H96" t="s">
        <v>164</v>
      </c>
      <c r="I96" t="s">
        <v>170</v>
      </c>
      <c r="J96" t="s">
        <v>171</v>
      </c>
      <c r="K96" t="s">
        <v>172</v>
      </c>
      <c r="L96" t="s">
        <v>170</v>
      </c>
      <c r="M96" t="s">
        <v>186</v>
      </c>
      <c r="N96" s="17">
        <v>31.494750000000003</v>
      </c>
      <c r="O96" s="17">
        <v>31.494750000000003</v>
      </c>
      <c r="P96" s="17">
        <v>31.494750000000003</v>
      </c>
      <c r="Q96" s="17">
        <v>31.494750000000003</v>
      </c>
      <c r="R96" s="17">
        <v>31.494750000000003</v>
      </c>
      <c r="S96" s="17">
        <v>31.494750000000003</v>
      </c>
      <c r="T96" s="17">
        <v>42.832860000000004</v>
      </c>
      <c r="U96" s="17">
        <v>31.494750000000003</v>
      </c>
      <c r="V96" s="17">
        <v>31.494750000000003</v>
      </c>
      <c r="W96" s="17">
        <v>42.832860000000004</v>
      </c>
      <c r="X96" s="17">
        <v>42.832860000000004</v>
      </c>
      <c r="Y96" s="17">
        <v>42.832860000000004</v>
      </c>
      <c r="Z96" s="17">
        <v>423.28944000000001</v>
      </c>
    </row>
    <row r="97" spans="1:26">
      <c r="A97" t="s">
        <v>345</v>
      </c>
      <c r="B97" t="s">
        <v>164</v>
      </c>
      <c r="C97" t="s">
        <v>346</v>
      </c>
      <c r="D97" t="s">
        <v>173</v>
      </c>
      <c r="E97" t="s">
        <v>347</v>
      </c>
      <c r="F97" t="s">
        <v>312</v>
      </c>
      <c r="G97" t="s">
        <v>169</v>
      </c>
      <c r="H97" t="s">
        <v>164</v>
      </c>
      <c r="I97" t="s">
        <v>228</v>
      </c>
      <c r="J97" t="s">
        <v>229</v>
      </c>
      <c r="K97" t="s">
        <v>230</v>
      </c>
      <c r="L97" t="s">
        <v>228</v>
      </c>
      <c r="M97" t="s">
        <v>229</v>
      </c>
      <c r="N97" s="17">
        <v>12.595799999999999</v>
      </c>
      <c r="O97" s="17">
        <v>12.595799999999999</v>
      </c>
      <c r="P97" s="17">
        <v>12.595799999999999</v>
      </c>
      <c r="Q97" s="17">
        <v>12.595799999999999</v>
      </c>
      <c r="R97" s="17">
        <v>12.595799999999999</v>
      </c>
      <c r="S97" s="17">
        <v>12.595799999999999</v>
      </c>
      <c r="T97" s="17">
        <v>25.191599999999998</v>
      </c>
      <c r="U97" s="17">
        <v>18.893699999999999</v>
      </c>
      <c r="V97" s="17">
        <v>12.595799999999999</v>
      </c>
      <c r="W97" s="17">
        <v>18.893699999999999</v>
      </c>
      <c r="X97" s="17">
        <v>18.893699999999999</v>
      </c>
      <c r="Y97" s="17">
        <v>12.595799999999999</v>
      </c>
      <c r="Z97" s="17">
        <v>182.63909999999998</v>
      </c>
    </row>
    <row r="98" spans="1:26">
      <c r="A98" t="s">
        <v>345</v>
      </c>
      <c r="B98" t="s">
        <v>164</v>
      </c>
      <c r="C98" t="s">
        <v>346</v>
      </c>
      <c r="D98" t="s">
        <v>173</v>
      </c>
      <c r="E98" t="s">
        <v>348</v>
      </c>
      <c r="F98" t="s">
        <v>349</v>
      </c>
      <c r="G98" t="s">
        <v>169</v>
      </c>
      <c r="H98" t="s">
        <v>164</v>
      </c>
      <c r="I98" t="s">
        <v>228</v>
      </c>
      <c r="J98" t="s">
        <v>229</v>
      </c>
      <c r="K98" t="s">
        <v>230</v>
      </c>
      <c r="L98" t="s">
        <v>228</v>
      </c>
      <c r="M98" t="s">
        <v>229</v>
      </c>
      <c r="N98" s="17">
        <v>3.1489499999999997</v>
      </c>
      <c r="O98" s="17">
        <v>3.1489499999999997</v>
      </c>
      <c r="P98" s="17">
        <v>3.1489499999999997</v>
      </c>
      <c r="Q98" s="17">
        <v>3.1489499999999997</v>
      </c>
      <c r="R98" s="17">
        <v>3.1489499999999997</v>
      </c>
      <c r="S98" s="17">
        <v>3.1489499999999997</v>
      </c>
      <c r="T98" s="17">
        <v>3.1489499999999997</v>
      </c>
      <c r="U98" s="17">
        <v>3.1489499999999997</v>
      </c>
      <c r="V98" s="17">
        <v>3.1489499999999997</v>
      </c>
      <c r="W98" s="17">
        <v>3.1489499999999997</v>
      </c>
      <c r="X98" s="17">
        <v>3.1489499999999997</v>
      </c>
      <c r="Y98" s="17">
        <v>3.1489499999999997</v>
      </c>
      <c r="Z98" s="17">
        <v>37.787399999999998</v>
      </c>
    </row>
    <row r="99" spans="1:26">
      <c r="A99" t="s">
        <v>345</v>
      </c>
      <c r="B99" t="s">
        <v>164</v>
      </c>
      <c r="C99" t="s">
        <v>346</v>
      </c>
      <c r="D99" t="s">
        <v>173</v>
      </c>
      <c r="E99" t="s">
        <v>313</v>
      </c>
      <c r="F99" t="s">
        <v>314</v>
      </c>
      <c r="G99" t="s">
        <v>169</v>
      </c>
      <c r="H99" t="s">
        <v>164</v>
      </c>
      <c r="I99" t="s">
        <v>228</v>
      </c>
      <c r="J99" t="s">
        <v>229</v>
      </c>
      <c r="K99" t="s">
        <v>230</v>
      </c>
      <c r="L99" t="s">
        <v>228</v>
      </c>
      <c r="M99" t="s">
        <v>229</v>
      </c>
      <c r="N99" s="17">
        <v>9.44895</v>
      </c>
      <c r="O99" s="17">
        <v>9.44895</v>
      </c>
      <c r="P99" s="17">
        <v>9.44895</v>
      </c>
      <c r="Q99" s="17">
        <v>9.44895</v>
      </c>
      <c r="R99" s="17">
        <v>9.44895</v>
      </c>
      <c r="S99" s="17">
        <v>9.44895</v>
      </c>
      <c r="T99" s="17">
        <v>9.44895</v>
      </c>
      <c r="U99" s="17">
        <v>9.44895</v>
      </c>
      <c r="V99" s="17">
        <v>9.44895</v>
      </c>
      <c r="W99" s="17">
        <v>9.44895</v>
      </c>
      <c r="X99" s="17">
        <v>9.44895</v>
      </c>
      <c r="Y99" s="17">
        <v>9.44895</v>
      </c>
      <c r="Z99" s="17">
        <v>113.38739999999997</v>
      </c>
    </row>
    <row r="100" spans="1:26">
      <c r="A100" t="s">
        <v>345</v>
      </c>
      <c r="B100" t="s">
        <v>164</v>
      </c>
      <c r="C100" t="s">
        <v>346</v>
      </c>
      <c r="D100" t="s">
        <v>173</v>
      </c>
      <c r="E100" t="s">
        <v>240</v>
      </c>
      <c r="F100" t="s">
        <v>350</v>
      </c>
      <c r="G100" t="s">
        <v>169</v>
      </c>
      <c r="H100" t="s">
        <v>164</v>
      </c>
      <c r="I100" t="s">
        <v>228</v>
      </c>
      <c r="J100" t="s">
        <v>239</v>
      </c>
      <c r="K100" t="s">
        <v>230</v>
      </c>
      <c r="L100" t="s">
        <v>228</v>
      </c>
      <c r="M100" t="s">
        <v>239</v>
      </c>
      <c r="N100" s="17">
        <v>2.31</v>
      </c>
      <c r="O100" s="17">
        <v>2.31</v>
      </c>
      <c r="P100" s="17">
        <v>2.31</v>
      </c>
      <c r="Q100" s="17">
        <v>2.31</v>
      </c>
      <c r="R100" s="17">
        <v>2.31</v>
      </c>
      <c r="S100" s="17">
        <v>2.31</v>
      </c>
      <c r="T100" s="17">
        <v>2.31</v>
      </c>
      <c r="U100" s="17">
        <v>2.31</v>
      </c>
      <c r="V100" s="17">
        <v>2.31</v>
      </c>
      <c r="W100" s="17">
        <v>2.31</v>
      </c>
      <c r="X100" s="17">
        <v>2.31</v>
      </c>
      <c r="Y100" s="17">
        <v>2.31</v>
      </c>
      <c r="Z100" s="17">
        <v>27.719999999999995</v>
      </c>
    </row>
    <row r="101" spans="1:26">
      <c r="A101" t="s">
        <v>345</v>
      </c>
      <c r="B101" t="s">
        <v>164</v>
      </c>
      <c r="C101" t="s">
        <v>346</v>
      </c>
      <c r="D101" t="s">
        <v>173</v>
      </c>
      <c r="E101" t="s">
        <v>351</v>
      </c>
      <c r="F101" t="s">
        <v>352</v>
      </c>
      <c r="G101" t="s">
        <v>169</v>
      </c>
      <c r="H101" t="s">
        <v>164</v>
      </c>
      <c r="I101" t="s">
        <v>213</v>
      </c>
      <c r="J101" t="s">
        <v>222</v>
      </c>
      <c r="K101" t="s">
        <v>172</v>
      </c>
      <c r="L101" t="s">
        <v>213</v>
      </c>
      <c r="M101" t="s">
        <v>222</v>
      </c>
      <c r="N101" s="17">
        <v>1.18188</v>
      </c>
      <c r="O101" s="17">
        <v>1.18188</v>
      </c>
      <c r="P101" s="17">
        <v>1.18188</v>
      </c>
      <c r="Q101" s="17">
        <v>1.18188</v>
      </c>
      <c r="R101" s="17">
        <v>1.18188</v>
      </c>
      <c r="S101" s="17">
        <v>1.18188</v>
      </c>
      <c r="T101" s="17">
        <v>1.18188</v>
      </c>
      <c r="U101" s="17">
        <v>1.18188</v>
      </c>
      <c r="V101" s="17">
        <v>1.18188</v>
      </c>
      <c r="W101" s="17">
        <v>1.18188</v>
      </c>
      <c r="X101" s="17">
        <v>1.18188</v>
      </c>
      <c r="Y101" s="17">
        <v>1.18188</v>
      </c>
      <c r="Z101" s="17">
        <v>14.182559999999997</v>
      </c>
    </row>
    <row r="102" spans="1:26">
      <c r="A102" t="s">
        <v>345</v>
      </c>
      <c r="B102" t="s">
        <v>164</v>
      </c>
      <c r="C102" t="s">
        <v>346</v>
      </c>
      <c r="D102" t="s">
        <v>173</v>
      </c>
      <c r="E102" t="s">
        <v>353</v>
      </c>
      <c r="F102" t="s">
        <v>354</v>
      </c>
      <c r="G102" t="s">
        <v>169</v>
      </c>
      <c r="H102" t="s">
        <v>164</v>
      </c>
      <c r="I102" t="s">
        <v>213</v>
      </c>
      <c r="J102" t="s">
        <v>222</v>
      </c>
      <c r="K102" t="s">
        <v>172</v>
      </c>
      <c r="L102" t="s">
        <v>213</v>
      </c>
      <c r="M102" t="s">
        <v>222</v>
      </c>
      <c r="N102" s="17">
        <v>0.41958000000000001</v>
      </c>
      <c r="O102" s="17">
        <v>0.41958000000000001</v>
      </c>
      <c r="P102" s="17">
        <v>0.41958000000000001</v>
      </c>
      <c r="Q102" s="17">
        <v>0.41958000000000001</v>
      </c>
      <c r="R102" s="17">
        <v>0.41958000000000001</v>
      </c>
      <c r="S102" s="17">
        <v>0.41958000000000001</v>
      </c>
      <c r="T102" s="17">
        <v>0.41958000000000001</v>
      </c>
      <c r="U102" s="17">
        <v>0.41958000000000001</v>
      </c>
      <c r="V102" s="17">
        <v>0.41958000000000001</v>
      </c>
      <c r="W102" s="17">
        <v>0.41958000000000001</v>
      </c>
      <c r="X102" s="17">
        <v>0.41958000000000001</v>
      </c>
      <c r="Y102" s="17">
        <v>0.41958000000000001</v>
      </c>
      <c r="Z102" s="17">
        <v>5.034959999999999</v>
      </c>
    </row>
    <row r="103" spans="1:26">
      <c r="A103" t="s">
        <v>345</v>
      </c>
      <c r="B103" t="s">
        <v>164</v>
      </c>
      <c r="C103" t="s">
        <v>346</v>
      </c>
      <c r="D103" t="s">
        <v>173</v>
      </c>
      <c r="E103" t="s">
        <v>355</v>
      </c>
      <c r="F103" t="s">
        <v>356</v>
      </c>
      <c r="G103" t="s">
        <v>169</v>
      </c>
      <c r="H103" t="s">
        <v>164</v>
      </c>
      <c r="I103" t="s">
        <v>213</v>
      </c>
      <c r="J103" t="s">
        <v>222</v>
      </c>
      <c r="K103" t="s">
        <v>172</v>
      </c>
      <c r="L103" t="s">
        <v>213</v>
      </c>
      <c r="M103" t="s">
        <v>222</v>
      </c>
      <c r="N103" s="17">
        <v>0.44940000000000002</v>
      </c>
      <c r="O103" s="17">
        <v>0.44940000000000002</v>
      </c>
      <c r="P103" s="17">
        <v>0.44940000000000002</v>
      </c>
      <c r="Q103" s="17">
        <v>0.44940000000000002</v>
      </c>
      <c r="R103" s="17">
        <v>0.44940000000000002</v>
      </c>
      <c r="S103" s="17">
        <v>0.44940000000000002</v>
      </c>
      <c r="T103" s="17">
        <v>0.44940000000000002</v>
      </c>
      <c r="U103" s="17">
        <v>0.44940000000000002</v>
      </c>
      <c r="V103" s="17">
        <v>0.44940000000000002</v>
      </c>
      <c r="W103" s="17">
        <v>0.44940000000000002</v>
      </c>
      <c r="X103" s="17">
        <v>0.44940000000000002</v>
      </c>
      <c r="Y103" s="17">
        <v>0.44940000000000002</v>
      </c>
      <c r="Z103" s="17">
        <v>5.3927999999999985</v>
      </c>
    </row>
    <row r="104" spans="1:26">
      <c r="A104" t="s">
        <v>345</v>
      </c>
      <c r="B104" t="s">
        <v>164</v>
      </c>
      <c r="C104" t="s">
        <v>346</v>
      </c>
      <c r="D104" t="s">
        <v>173</v>
      </c>
      <c r="E104" t="s">
        <v>357</v>
      </c>
      <c r="F104" t="s">
        <v>358</v>
      </c>
      <c r="G104" t="s">
        <v>169</v>
      </c>
      <c r="H104" t="s">
        <v>164</v>
      </c>
      <c r="I104" t="s">
        <v>213</v>
      </c>
      <c r="J104" t="s">
        <v>222</v>
      </c>
      <c r="K104" t="s">
        <v>172</v>
      </c>
      <c r="L104" t="s">
        <v>213</v>
      </c>
      <c r="M104" t="s">
        <v>222</v>
      </c>
      <c r="N104" s="17">
        <v>0.81479999999999997</v>
      </c>
      <c r="O104" s="17">
        <v>0.81479999999999997</v>
      </c>
      <c r="P104" s="17">
        <v>0.81479999999999997</v>
      </c>
      <c r="Q104" s="17">
        <v>0.81479999999999997</v>
      </c>
      <c r="R104" s="17">
        <v>0.81479999999999997</v>
      </c>
      <c r="S104" s="17">
        <v>0.81479999999999997</v>
      </c>
      <c r="T104" s="17">
        <v>0.81479999999999997</v>
      </c>
      <c r="U104" s="17">
        <v>0.81479999999999997</v>
      </c>
      <c r="V104" s="17">
        <v>0.81479999999999997</v>
      </c>
      <c r="W104" s="17">
        <v>0.81479999999999997</v>
      </c>
      <c r="X104" s="17">
        <v>0.81479999999999997</v>
      </c>
      <c r="Y104" s="17">
        <v>0.81479999999999997</v>
      </c>
      <c r="Z104" s="17">
        <v>9.7775999999999996</v>
      </c>
    </row>
    <row r="105" spans="1:26">
      <c r="A105" t="s">
        <v>345</v>
      </c>
      <c r="B105" t="s">
        <v>359</v>
      </c>
      <c r="C105" t="s">
        <v>337</v>
      </c>
      <c r="D105" t="s">
        <v>166</v>
      </c>
      <c r="E105" t="s">
        <v>27</v>
      </c>
      <c r="F105" t="s">
        <v>28</v>
      </c>
      <c r="G105" t="s">
        <v>169</v>
      </c>
      <c r="H105" t="s">
        <v>169</v>
      </c>
      <c r="I105" t="s">
        <v>228</v>
      </c>
      <c r="J105" t="s">
        <v>28</v>
      </c>
      <c r="K105" t="s">
        <v>172</v>
      </c>
      <c r="L105" t="s">
        <v>228</v>
      </c>
      <c r="M105" t="s">
        <v>28</v>
      </c>
      <c r="N105" s="17">
        <v>50.4</v>
      </c>
      <c r="O105" s="17">
        <v>50.4</v>
      </c>
      <c r="P105" s="17">
        <v>50.4</v>
      </c>
      <c r="Q105" s="17">
        <v>50.4</v>
      </c>
      <c r="R105" s="17">
        <v>50.4</v>
      </c>
      <c r="S105" s="17">
        <v>50.4</v>
      </c>
      <c r="T105" s="17">
        <v>50.4</v>
      </c>
      <c r="U105" s="17">
        <v>50.4</v>
      </c>
      <c r="V105" s="17">
        <v>50.4</v>
      </c>
      <c r="W105" s="17">
        <v>50.4</v>
      </c>
      <c r="X105" s="17">
        <v>50.4</v>
      </c>
      <c r="Y105" s="17">
        <v>50.4</v>
      </c>
      <c r="Z105" s="17">
        <v>604.79999999999984</v>
      </c>
    </row>
    <row r="106" spans="1:26">
      <c r="A106" t="s">
        <v>345</v>
      </c>
      <c r="B106" t="s">
        <v>359</v>
      </c>
      <c r="C106" t="s">
        <v>337</v>
      </c>
      <c r="D106" t="s">
        <v>166</v>
      </c>
      <c r="E106" t="s">
        <v>311</v>
      </c>
      <c r="F106" t="s">
        <v>312</v>
      </c>
      <c r="G106" t="s">
        <v>169</v>
      </c>
      <c r="H106" t="s">
        <v>169</v>
      </c>
      <c r="I106" t="s">
        <v>228</v>
      </c>
      <c r="J106" t="s">
        <v>229</v>
      </c>
      <c r="K106" t="s">
        <v>230</v>
      </c>
      <c r="L106" t="s">
        <v>228</v>
      </c>
      <c r="M106" t="s">
        <v>229</v>
      </c>
      <c r="N106" s="17">
        <v>28.000000000000004</v>
      </c>
      <c r="O106" s="17">
        <v>28.000000000000004</v>
      </c>
      <c r="P106" s="17">
        <v>28.000000000000004</v>
      </c>
      <c r="Q106" s="17">
        <v>28.000000000000004</v>
      </c>
      <c r="R106" s="17">
        <v>28.000000000000004</v>
      </c>
      <c r="S106" s="17">
        <v>28.000000000000004</v>
      </c>
      <c r="T106" s="17">
        <v>28.000000000000004</v>
      </c>
      <c r="U106" s="17">
        <v>28.000000000000004</v>
      </c>
      <c r="V106" s="17">
        <v>28.000000000000004</v>
      </c>
      <c r="W106" s="17">
        <v>28.000000000000004</v>
      </c>
      <c r="X106" s="17">
        <v>28.000000000000004</v>
      </c>
      <c r="Y106" s="17">
        <v>28.000000000000004</v>
      </c>
      <c r="Z106" s="17">
        <v>336.00000000000006</v>
      </c>
    </row>
    <row r="107" spans="1:26">
      <c r="A107" t="s">
        <v>345</v>
      </c>
      <c r="B107" t="s">
        <v>359</v>
      </c>
      <c r="C107" t="s">
        <v>337</v>
      </c>
      <c r="D107" t="s">
        <v>166</v>
      </c>
      <c r="E107" t="s">
        <v>29</v>
      </c>
      <c r="F107" t="s">
        <v>30</v>
      </c>
      <c r="G107" t="s">
        <v>169</v>
      </c>
      <c r="H107" t="s">
        <v>169</v>
      </c>
      <c r="I107" t="s">
        <v>228</v>
      </c>
      <c r="J107" t="s">
        <v>360</v>
      </c>
      <c r="K107" t="s">
        <v>172</v>
      </c>
      <c r="L107" t="s">
        <v>228</v>
      </c>
      <c r="M107" t="s">
        <v>360</v>
      </c>
      <c r="N107" s="17">
        <v>80</v>
      </c>
      <c r="O107" s="17">
        <v>80</v>
      </c>
      <c r="P107" s="17">
        <v>80</v>
      </c>
      <c r="Q107" s="17">
        <v>80</v>
      </c>
      <c r="R107" s="17">
        <v>80</v>
      </c>
      <c r="S107" s="17">
        <v>80</v>
      </c>
      <c r="T107" s="17">
        <v>80</v>
      </c>
      <c r="U107" s="17">
        <v>80</v>
      </c>
      <c r="V107" s="17">
        <v>80</v>
      </c>
      <c r="W107" s="17">
        <v>80</v>
      </c>
      <c r="X107" s="17">
        <v>80</v>
      </c>
      <c r="Y107" s="17">
        <v>80</v>
      </c>
      <c r="Z107" s="17">
        <v>960</v>
      </c>
    </row>
    <row r="108" spans="1:26">
      <c r="A108" t="s">
        <v>345</v>
      </c>
      <c r="B108" t="s">
        <v>359</v>
      </c>
      <c r="C108" t="s">
        <v>337</v>
      </c>
      <c r="D108" t="s">
        <v>166</v>
      </c>
      <c r="E108" t="s">
        <v>361</v>
      </c>
      <c r="F108" t="s">
        <v>362</v>
      </c>
      <c r="G108" t="s">
        <v>169</v>
      </c>
      <c r="H108" t="s">
        <v>169</v>
      </c>
      <c r="I108" t="s">
        <v>228</v>
      </c>
      <c r="J108" t="s">
        <v>360</v>
      </c>
      <c r="K108" t="s">
        <v>172</v>
      </c>
      <c r="L108" t="s">
        <v>228</v>
      </c>
      <c r="M108" t="s">
        <v>360</v>
      </c>
      <c r="N108" s="17">
        <v>25.2</v>
      </c>
      <c r="O108" s="17">
        <v>25.2</v>
      </c>
      <c r="P108" s="17">
        <v>25.2</v>
      </c>
      <c r="Q108" s="17">
        <v>25.2</v>
      </c>
      <c r="R108" s="17">
        <v>25.2</v>
      </c>
      <c r="S108" s="17">
        <v>25.2</v>
      </c>
      <c r="T108" s="17">
        <v>25.2</v>
      </c>
      <c r="U108" s="17">
        <v>25.2</v>
      </c>
      <c r="V108" s="17">
        <v>25.2</v>
      </c>
      <c r="W108" s="17">
        <v>25.2</v>
      </c>
      <c r="X108" s="17">
        <v>25.2</v>
      </c>
      <c r="Y108" s="17">
        <v>25.2</v>
      </c>
      <c r="Z108" s="17">
        <v>302.39999999999992</v>
      </c>
    </row>
    <row r="109" spans="1:26">
      <c r="A109" t="s">
        <v>345</v>
      </c>
      <c r="B109" t="s">
        <v>359</v>
      </c>
      <c r="C109" t="s">
        <v>337</v>
      </c>
      <c r="D109" t="s">
        <v>166</v>
      </c>
      <c r="E109" t="s">
        <v>25</v>
      </c>
      <c r="F109" t="s">
        <v>363</v>
      </c>
      <c r="G109" t="s">
        <v>169</v>
      </c>
      <c r="H109" t="s">
        <v>169</v>
      </c>
      <c r="I109" t="s">
        <v>228</v>
      </c>
      <c r="J109" t="s">
        <v>26</v>
      </c>
      <c r="K109" t="s">
        <v>172</v>
      </c>
      <c r="L109" t="s">
        <v>228</v>
      </c>
      <c r="M109" t="s">
        <v>26</v>
      </c>
      <c r="N109" s="17">
        <v>13.600000000000001</v>
      </c>
      <c r="O109" s="17">
        <v>13.600000000000001</v>
      </c>
      <c r="P109" s="17">
        <v>13.600000000000001</v>
      </c>
      <c r="Q109" s="17">
        <v>13.600000000000001</v>
      </c>
      <c r="R109" s="17">
        <v>13.600000000000001</v>
      </c>
      <c r="S109" s="17">
        <v>13.600000000000001</v>
      </c>
      <c r="T109" s="17">
        <v>13.600000000000001</v>
      </c>
      <c r="U109" s="17">
        <v>13.600000000000001</v>
      </c>
      <c r="V109" s="17">
        <v>13.600000000000001</v>
      </c>
      <c r="W109" s="17">
        <v>13.600000000000001</v>
      </c>
      <c r="X109" s="17">
        <v>13.600000000000001</v>
      </c>
      <c r="Y109" s="17">
        <v>13.600000000000001</v>
      </c>
      <c r="Z109" s="17">
        <v>163.19999999999996</v>
      </c>
    </row>
    <row r="110" spans="1:26">
      <c r="A110" t="s">
        <v>345</v>
      </c>
      <c r="B110" t="s">
        <v>359</v>
      </c>
      <c r="C110" t="s">
        <v>337</v>
      </c>
      <c r="D110" t="s">
        <v>166</v>
      </c>
      <c r="E110" t="s">
        <v>39</v>
      </c>
      <c r="F110" t="s">
        <v>364</v>
      </c>
      <c r="G110" t="s">
        <v>169</v>
      </c>
      <c r="H110" t="s">
        <v>169</v>
      </c>
      <c r="I110" t="s">
        <v>228</v>
      </c>
      <c r="J110" t="s">
        <v>319</v>
      </c>
      <c r="K110" t="s">
        <v>172</v>
      </c>
      <c r="L110" t="s">
        <v>228</v>
      </c>
      <c r="M110" t="s">
        <v>319</v>
      </c>
      <c r="N110" s="17">
        <v>17</v>
      </c>
      <c r="O110" s="17">
        <v>17</v>
      </c>
      <c r="P110" s="17">
        <v>17</v>
      </c>
      <c r="Q110" s="17">
        <v>17</v>
      </c>
      <c r="R110" s="17">
        <v>17</v>
      </c>
      <c r="S110" s="17">
        <v>17</v>
      </c>
      <c r="T110" s="17">
        <v>17</v>
      </c>
      <c r="U110" s="17">
        <v>17</v>
      </c>
      <c r="V110" s="17">
        <v>17</v>
      </c>
      <c r="W110" s="17">
        <v>17</v>
      </c>
      <c r="X110" s="17">
        <v>17</v>
      </c>
      <c r="Y110" s="17">
        <v>17</v>
      </c>
      <c r="Z110" s="17">
        <v>204</v>
      </c>
    </row>
    <row r="111" spans="1:26">
      <c r="A111" t="s">
        <v>345</v>
      </c>
      <c r="B111" t="s">
        <v>359</v>
      </c>
      <c r="C111" t="s">
        <v>337</v>
      </c>
      <c r="D111" t="s">
        <v>166</v>
      </c>
      <c r="E111" t="s">
        <v>33</v>
      </c>
      <c r="F111" t="s">
        <v>365</v>
      </c>
      <c r="G111" t="s">
        <v>169</v>
      </c>
      <c r="H111" t="s">
        <v>169</v>
      </c>
      <c r="I111" t="s">
        <v>228</v>
      </c>
      <c r="J111" t="s">
        <v>34</v>
      </c>
      <c r="K111" t="s">
        <v>172</v>
      </c>
      <c r="L111" t="s">
        <v>228</v>
      </c>
      <c r="M111" t="s">
        <v>34</v>
      </c>
      <c r="N111" s="17">
        <v>9.2000000000000011</v>
      </c>
      <c r="O111" s="17">
        <v>9.2000000000000011</v>
      </c>
      <c r="P111" s="17">
        <v>9.2000000000000011</v>
      </c>
      <c r="Q111" s="17">
        <v>9.2000000000000011</v>
      </c>
      <c r="R111" s="17">
        <v>9.2000000000000011</v>
      </c>
      <c r="S111" s="17">
        <v>9.2000000000000011</v>
      </c>
      <c r="T111" s="17">
        <v>9.2000000000000011</v>
      </c>
      <c r="U111" s="17">
        <v>9.2000000000000011</v>
      </c>
      <c r="V111" s="17">
        <v>9.2000000000000011</v>
      </c>
      <c r="W111" s="17">
        <v>9.2000000000000011</v>
      </c>
      <c r="X111" s="17">
        <v>9.2000000000000011</v>
      </c>
      <c r="Y111" s="17">
        <v>9.2000000000000011</v>
      </c>
      <c r="Z111" s="17">
        <v>110.40000000000002</v>
      </c>
    </row>
    <row r="112" spans="1:26">
      <c r="A112" t="s">
        <v>345</v>
      </c>
      <c r="B112" t="s">
        <v>359</v>
      </c>
      <c r="C112" t="s">
        <v>337</v>
      </c>
      <c r="D112" t="s">
        <v>166</v>
      </c>
      <c r="E112" t="s">
        <v>92</v>
      </c>
      <c r="F112" t="s">
        <v>366</v>
      </c>
      <c r="G112" t="s">
        <v>169</v>
      </c>
      <c r="H112" t="s">
        <v>169</v>
      </c>
      <c r="I112" t="s">
        <v>228</v>
      </c>
      <c r="J112" t="s">
        <v>28</v>
      </c>
      <c r="K112" t="s">
        <v>172</v>
      </c>
      <c r="L112" t="s">
        <v>228</v>
      </c>
      <c r="M112" t="s">
        <v>28</v>
      </c>
      <c r="N112" s="17">
        <v>16.8</v>
      </c>
      <c r="O112" s="17">
        <v>16.8</v>
      </c>
      <c r="P112" s="17">
        <v>16.8</v>
      </c>
      <c r="Q112" s="17">
        <v>16.8</v>
      </c>
      <c r="R112" s="17">
        <v>16.8</v>
      </c>
      <c r="S112" s="17">
        <v>16.8</v>
      </c>
      <c r="T112" s="17">
        <v>16.8</v>
      </c>
      <c r="U112" s="17">
        <v>16.8</v>
      </c>
      <c r="V112" s="17">
        <v>16.8</v>
      </c>
      <c r="W112" s="17">
        <v>16.8</v>
      </c>
      <c r="X112" s="17">
        <v>16.8</v>
      </c>
      <c r="Y112" s="17">
        <v>16.8</v>
      </c>
      <c r="Z112" s="17">
        <v>201.60000000000005</v>
      </c>
    </row>
    <row r="113" spans="1:26">
      <c r="A113" t="s">
        <v>345</v>
      </c>
      <c r="B113" t="s">
        <v>359</v>
      </c>
      <c r="C113" t="s">
        <v>337</v>
      </c>
      <c r="D113" t="s">
        <v>166</v>
      </c>
      <c r="E113" t="s">
        <v>90</v>
      </c>
      <c r="F113" t="s">
        <v>367</v>
      </c>
      <c r="G113" t="s">
        <v>169</v>
      </c>
      <c r="H113" t="s">
        <v>169</v>
      </c>
      <c r="I113" t="s">
        <v>228</v>
      </c>
      <c r="J113" t="s">
        <v>28</v>
      </c>
      <c r="K113" t="s">
        <v>172</v>
      </c>
      <c r="L113" t="s">
        <v>228</v>
      </c>
      <c r="M113" t="s">
        <v>28</v>
      </c>
      <c r="N113" s="17">
        <v>16.8</v>
      </c>
      <c r="O113" s="17">
        <v>16.8</v>
      </c>
      <c r="P113" s="17">
        <v>16.8</v>
      </c>
      <c r="Q113" s="17">
        <v>16.8</v>
      </c>
      <c r="R113" s="17">
        <v>16.8</v>
      </c>
      <c r="S113" s="17">
        <v>16.8</v>
      </c>
      <c r="T113" s="17">
        <v>16.8</v>
      </c>
      <c r="U113" s="17">
        <v>16.8</v>
      </c>
      <c r="V113" s="17">
        <v>16.8</v>
      </c>
      <c r="W113" s="17">
        <v>16.8</v>
      </c>
      <c r="X113" s="17">
        <v>16.8</v>
      </c>
      <c r="Y113" s="17">
        <v>16.8</v>
      </c>
      <c r="Z113" s="17">
        <v>201.60000000000005</v>
      </c>
    </row>
    <row r="114" spans="1:26">
      <c r="A114" t="s">
        <v>345</v>
      </c>
      <c r="B114" t="s">
        <v>359</v>
      </c>
      <c r="C114" t="s">
        <v>337</v>
      </c>
      <c r="D114" t="s">
        <v>166</v>
      </c>
      <c r="E114" t="s">
        <v>233</v>
      </c>
      <c r="F114" t="s">
        <v>368</v>
      </c>
      <c r="G114" t="s">
        <v>169</v>
      </c>
      <c r="H114" t="s">
        <v>169</v>
      </c>
      <c r="I114" t="s">
        <v>228</v>
      </c>
      <c r="J114" t="s">
        <v>229</v>
      </c>
      <c r="K114" t="s">
        <v>230</v>
      </c>
      <c r="L114" t="s">
        <v>228</v>
      </c>
      <c r="M114" t="s">
        <v>229</v>
      </c>
      <c r="N114" s="17">
        <v>9.6</v>
      </c>
      <c r="O114" s="17">
        <v>9.6</v>
      </c>
      <c r="P114" s="17">
        <v>9.6</v>
      </c>
      <c r="Q114" s="17">
        <v>9.6</v>
      </c>
      <c r="R114" s="17">
        <v>9.6</v>
      </c>
      <c r="S114" s="17">
        <v>9.6</v>
      </c>
      <c r="T114" s="17">
        <v>9.6</v>
      </c>
      <c r="U114" s="17">
        <v>9.6</v>
      </c>
      <c r="V114" s="17">
        <v>9.6</v>
      </c>
      <c r="W114" s="17">
        <v>9.6</v>
      </c>
      <c r="X114" s="17">
        <v>9.6</v>
      </c>
      <c r="Y114" s="17">
        <v>9.6</v>
      </c>
      <c r="Z114" s="17">
        <v>115.19999999999997</v>
      </c>
    </row>
    <row r="115" spans="1:26">
      <c r="A115" t="s">
        <v>345</v>
      </c>
      <c r="B115" t="s">
        <v>359</v>
      </c>
      <c r="C115" t="s">
        <v>337</v>
      </c>
      <c r="D115" t="s">
        <v>166</v>
      </c>
      <c r="E115" t="s">
        <v>280</v>
      </c>
      <c r="F115" t="s">
        <v>281</v>
      </c>
      <c r="G115" t="s">
        <v>169</v>
      </c>
      <c r="H115" t="s">
        <v>169</v>
      </c>
      <c r="I115" t="s">
        <v>201</v>
      </c>
      <c r="J115" t="s">
        <v>282</v>
      </c>
      <c r="K115" t="s">
        <v>172</v>
      </c>
      <c r="L115" t="s">
        <v>201</v>
      </c>
      <c r="M115" t="s">
        <v>283</v>
      </c>
      <c r="N115" s="17">
        <v>15</v>
      </c>
      <c r="O115" s="17">
        <v>15</v>
      </c>
      <c r="P115" s="17">
        <v>15</v>
      </c>
      <c r="Q115" s="17">
        <v>15</v>
      </c>
      <c r="R115" s="17">
        <v>15</v>
      </c>
      <c r="S115" s="17">
        <v>15</v>
      </c>
      <c r="T115" s="17">
        <v>15</v>
      </c>
      <c r="U115" s="17">
        <v>15</v>
      </c>
      <c r="V115" s="17">
        <v>15</v>
      </c>
      <c r="W115" s="17">
        <v>15</v>
      </c>
      <c r="X115" s="17">
        <v>15</v>
      </c>
      <c r="Y115" s="17">
        <v>15</v>
      </c>
      <c r="Z115" s="17">
        <v>180</v>
      </c>
    </row>
    <row r="116" spans="1:26">
      <c r="A116" t="s">
        <v>345</v>
      </c>
      <c r="B116" t="s">
        <v>359</v>
      </c>
      <c r="C116" t="s">
        <v>337</v>
      </c>
      <c r="D116" t="s">
        <v>166</v>
      </c>
      <c r="E116" t="s">
        <v>284</v>
      </c>
      <c r="F116" t="s">
        <v>369</v>
      </c>
      <c r="G116" t="s">
        <v>169</v>
      </c>
      <c r="H116" t="s">
        <v>169</v>
      </c>
      <c r="I116" t="s">
        <v>201</v>
      </c>
      <c r="J116" t="s">
        <v>282</v>
      </c>
      <c r="K116" t="s">
        <v>172</v>
      </c>
      <c r="L116" t="s">
        <v>201</v>
      </c>
      <c r="M116" t="s">
        <v>283</v>
      </c>
      <c r="N116" s="17">
        <v>7.5</v>
      </c>
      <c r="O116" s="17">
        <v>7.5</v>
      </c>
      <c r="P116" s="17">
        <v>7.5</v>
      </c>
      <c r="Q116" s="17">
        <v>7.5</v>
      </c>
      <c r="R116" s="17">
        <v>7.5</v>
      </c>
      <c r="S116" s="17">
        <v>7.5</v>
      </c>
      <c r="T116" s="17">
        <v>7.5</v>
      </c>
      <c r="U116" s="17">
        <v>7.5</v>
      </c>
      <c r="V116" s="17">
        <v>7.5</v>
      </c>
      <c r="W116" s="17">
        <v>7.5</v>
      </c>
      <c r="X116" s="17">
        <v>7.5</v>
      </c>
      <c r="Y116" s="17">
        <v>7.5</v>
      </c>
      <c r="Z116" s="17">
        <v>90</v>
      </c>
    </row>
    <row r="117" spans="1:26">
      <c r="A117" t="s">
        <v>345</v>
      </c>
      <c r="B117" t="s">
        <v>359</v>
      </c>
      <c r="C117" t="s">
        <v>337</v>
      </c>
      <c r="D117" t="s">
        <v>166</v>
      </c>
      <c r="E117" t="s">
        <v>174</v>
      </c>
      <c r="F117" t="s">
        <v>370</v>
      </c>
      <c r="G117" t="s">
        <v>169</v>
      </c>
      <c r="H117" t="s">
        <v>169</v>
      </c>
      <c r="I117" t="s">
        <v>170</v>
      </c>
      <c r="J117" t="s">
        <v>171</v>
      </c>
      <c r="K117" t="s">
        <v>172</v>
      </c>
      <c r="L117" t="s">
        <v>170</v>
      </c>
      <c r="M117" t="s">
        <v>176</v>
      </c>
      <c r="N117" s="17">
        <v>4.6000000000000005</v>
      </c>
      <c r="O117" s="17">
        <v>4.6000000000000005</v>
      </c>
      <c r="P117" s="17">
        <v>4.6000000000000005</v>
      </c>
      <c r="Q117" s="17">
        <v>4.6000000000000005</v>
      </c>
      <c r="R117" s="17">
        <v>4.6000000000000005</v>
      </c>
      <c r="S117" s="17">
        <v>4.6000000000000005</v>
      </c>
      <c r="T117" s="17">
        <v>4.6000000000000005</v>
      </c>
      <c r="U117" s="17">
        <v>4.6000000000000005</v>
      </c>
      <c r="V117" s="17">
        <v>4.6000000000000005</v>
      </c>
      <c r="W117" s="17">
        <v>4.6000000000000005</v>
      </c>
      <c r="X117" s="17">
        <v>4.6000000000000005</v>
      </c>
      <c r="Y117" s="17">
        <v>4.6000000000000005</v>
      </c>
      <c r="Z117" s="17">
        <v>55.20000000000001</v>
      </c>
    </row>
    <row r="118" spans="1:26">
      <c r="A118" t="s">
        <v>345</v>
      </c>
      <c r="B118" t="s">
        <v>359</v>
      </c>
      <c r="C118" t="s">
        <v>337</v>
      </c>
      <c r="D118" t="s">
        <v>166</v>
      </c>
      <c r="E118" t="s">
        <v>177</v>
      </c>
      <c r="F118" t="s">
        <v>371</v>
      </c>
      <c r="G118" t="s">
        <v>169</v>
      </c>
      <c r="H118" t="s">
        <v>169</v>
      </c>
      <c r="I118" t="s">
        <v>170</v>
      </c>
      <c r="J118" t="s">
        <v>171</v>
      </c>
      <c r="K118" t="s">
        <v>172</v>
      </c>
      <c r="L118" t="s">
        <v>170</v>
      </c>
      <c r="M118" t="s">
        <v>176</v>
      </c>
      <c r="N118" s="17">
        <v>4.6000000000000005</v>
      </c>
      <c r="O118" s="17">
        <v>4.6000000000000005</v>
      </c>
      <c r="P118" s="17">
        <v>4.6000000000000005</v>
      </c>
      <c r="Q118" s="17">
        <v>4.6000000000000005</v>
      </c>
      <c r="R118" s="17">
        <v>4.6000000000000005</v>
      </c>
      <c r="S118" s="17">
        <v>4.6000000000000005</v>
      </c>
      <c r="T118" s="17">
        <v>4.6000000000000005</v>
      </c>
      <c r="U118" s="17">
        <v>4.6000000000000005</v>
      </c>
      <c r="V118" s="17">
        <v>4.6000000000000005</v>
      </c>
      <c r="W118" s="17">
        <v>4.6000000000000005</v>
      </c>
      <c r="X118" s="17">
        <v>4.6000000000000005</v>
      </c>
      <c r="Y118" s="17">
        <v>4.6000000000000005</v>
      </c>
      <c r="Z118" s="17">
        <v>55.20000000000001</v>
      </c>
    </row>
    <row r="119" spans="1:26">
      <c r="A119" t="s">
        <v>345</v>
      </c>
      <c r="B119" t="s">
        <v>359</v>
      </c>
      <c r="C119" t="s">
        <v>337</v>
      </c>
      <c r="D119" t="s">
        <v>166</v>
      </c>
      <c r="E119" t="s">
        <v>182</v>
      </c>
      <c r="F119" t="s">
        <v>372</v>
      </c>
      <c r="G119" t="s">
        <v>169</v>
      </c>
      <c r="H119" t="s">
        <v>169</v>
      </c>
      <c r="I119" t="s">
        <v>170</v>
      </c>
      <c r="J119" t="s">
        <v>171</v>
      </c>
      <c r="K119" t="s">
        <v>172</v>
      </c>
      <c r="L119" t="s">
        <v>170</v>
      </c>
      <c r="M119" t="s">
        <v>181</v>
      </c>
      <c r="N119" s="17">
        <v>3.5000000000000004</v>
      </c>
      <c r="O119" s="17">
        <v>3.5000000000000004</v>
      </c>
      <c r="P119" s="17">
        <v>3.5000000000000004</v>
      </c>
      <c r="Q119" s="17">
        <v>3.5000000000000004</v>
      </c>
      <c r="R119" s="17">
        <v>3.5000000000000004</v>
      </c>
      <c r="S119" s="17">
        <v>3.5000000000000004</v>
      </c>
      <c r="T119" s="17">
        <v>3.5000000000000004</v>
      </c>
      <c r="U119" s="17">
        <v>3.5000000000000004</v>
      </c>
      <c r="V119" s="17">
        <v>3.5000000000000004</v>
      </c>
      <c r="W119" s="17">
        <v>3.5000000000000004</v>
      </c>
      <c r="X119" s="17">
        <v>3.5000000000000004</v>
      </c>
      <c r="Y119" s="17">
        <v>3.5000000000000004</v>
      </c>
      <c r="Z119" s="17">
        <v>42.000000000000007</v>
      </c>
    </row>
    <row r="120" spans="1:26">
      <c r="A120" t="s">
        <v>345</v>
      </c>
      <c r="B120" t="s">
        <v>359</v>
      </c>
      <c r="C120" t="s">
        <v>337</v>
      </c>
      <c r="D120" t="s">
        <v>166</v>
      </c>
      <c r="E120" t="s">
        <v>179</v>
      </c>
      <c r="F120" t="s">
        <v>373</v>
      </c>
      <c r="G120" t="s">
        <v>169</v>
      </c>
      <c r="H120" t="s">
        <v>169</v>
      </c>
      <c r="I120" t="s">
        <v>170</v>
      </c>
      <c r="J120" t="s">
        <v>171</v>
      </c>
      <c r="K120" t="s">
        <v>172</v>
      </c>
      <c r="L120" t="s">
        <v>170</v>
      </c>
      <c r="M120" t="s">
        <v>181</v>
      </c>
      <c r="N120" s="17">
        <v>3.5000000000000004</v>
      </c>
      <c r="O120" s="17">
        <v>3.5000000000000004</v>
      </c>
      <c r="P120" s="17">
        <v>3.5000000000000004</v>
      </c>
      <c r="Q120" s="17">
        <v>3.5000000000000004</v>
      </c>
      <c r="R120" s="17">
        <v>3.5000000000000004</v>
      </c>
      <c r="S120" s="17">
        <v>3.5000000000000004</v>
      </c>
      <c r="T120" s="17">
        <v>3.5000000000000004</v>
      </c>
      <c r="U120" s="17">
        <v>3.5000000000000004</v>
      </c>
      <c r="V120" s="17">
        <v>3.5000000000000004</v>
      </c>
      <c r="W120" s="17">
        <v>3.5000000000000004</v>
      </c>
      <c r="X120" s="17">
        <v>3.5000000000000004</v>
      </c>
      <c r="Y120" s="17">
        <v>3.5000000000000004</v>
      </c>
      <c r="Z120" s="17">
        <v>42.000000000000007</v>
      </c>
    </row>
    <row r="121" spans="1:26">
      <c r="A121" t="s">
        <v>345</v>
      </c>
      <c r="B121" t="s">
        <v>359</v>
      </c>
      <c r="C121" t="s">
        <v>337</v>
      </c>
      <c r="D121" t="s">
        <v>166</v>
      </c>
      <c r="E121" t="s">
        <v>260</v>
      </c>
      <c r="F121" t="s">
        <v>374</v>
      </c>
      <c r="G121" t="s">
        <v>169</v>
      </c>
      <c r="H121" t="s">
        <v>169</v>
      </c>
      <c r="I121" t="s">
        <v>262</v>
      </c>
      <c r="J121" t="s">
        <v>261</v>
      </c>
      <c r="K121" t="s">
        <v>172</v>
      </c>
      <c r="L121" t="s">
        <v>262</v>
      </c>
      <c r="M121" t="s">
        <v>261</v>
      </c>
      <c r="N121" s="17">
        <v>8.0939999999999994</v>
      </c>
      <c r="O121" s="17">
        <v>8.0939999999999994</v>
      </c>
      <c r="P121" s="17">
        <v>8.0939999999999994</v>
      </c>
      <c r="Q121" s="17">
        <v>8.0939999999999994</v>
      </c>
      <c r="R121" s="17">
        <v>8.0939999999999994</v>
      </c>
      <c r="S121" s="17">
        <v>8.0939999999999994</v>
      </c>
      <c r="T121" s="17">
        <v>8.0939999999999994</v>
      </c>
      <c r="U121" s="17">
        <v>8.0939999999999994</v>
      </c>
      <c r="V121" s="17">
        <v>8.0939999999999994</v>
      </c>
      <c r="W121" s="17">
        <v>8.0939999999999994</v>
      </c>
      <c r="X121" s="17">
        <v>8.0939999999999994</v>
      </c>
      <c r="Y121" s="17">
        <v>8.0939999999999994</v>
      </c>
      <c r="Z121" s="17">
        <v>97.127999999999972</v>
      </c>
    </row>
    <row r="122" spans="1:26">
      <c r="A122" t="s">
        <v>345</v>
      </c>
      <c r="B122" t="s">
        <v>359</v>
      </c>
      <c r="C122" t="s">
        <v>337</v>
      </c>
      <c r="D122" t="s">
        <v>166</v>
      </c>
      <c r="E122" t="s">
        <v>263</v>
      </c>
      <c r="F122" t="s">
        <v>375</v>
      </c>
      <c r="G122" t="s">
        <v>169</v>
      </c>
      <c r="H122" t="s">
        <v>169</v>
      </c>
      <c r="I122" t="s">
        <v>262</v>
      </c>
      <c r="J122" t="s">
        <v>261</v>
      </c>
      <c r="K122" t="s">
        <v>172</v>
      </c>
      <c r="L122" t="s">
        <v>262</v>
      </c>
      <c r="M122" t="s">
        <v>261</v>
      </c>
      <c r="N122" s="17">
        <v>9.9959999999999987</v>
      </c>
      <c r="O122" s="17">
        <v>9.9959999999999987</v>
      </c>
      <c r="P122" s="17">
        <v>9.9959999999999987</v>
      </c>
      <c r="Q122" s="17">
        <v>9.9959999999999987</v>
      </c>
      <c r="R122" s="17">
        <v>9.9959999999999987</v>
      </c>
      <c r="S122" s="17">
        <v>9.9959999999999987</v>
      </c>
      <c r="T122" s="17">
        <v>9.9959999999999987</v>
      </c>
      <c r="U122" s="17">
        <v>9.9959999999999987</v>
      </c>
      <c r="V122" s="17">
        <v>9.9959999999999987</v>
      </c>
      <c r="W122" s="17">
        <v>9.9959999999999987</v>
      </c>
      <c r="X122" s="17">
        <v>9.9959999999999987</v>
      </c>
      <c r="Y122" s="17">
        <v>9.9959999999999987</v>
      </c>
      <c r="Z122" s="17">
        <v>119.95199999999996</v>
      </c>
    </row>
    <row r="123" spans="1:26">
      <c r="A123" t="s">
        <v>345</v>
      </c>
      <c r="B123" t="s">
        <v>359</v>
      </c>
      <c r="C123" t="s">
        <v>337</v>
      </c>
      <c r="D123" t="s">
        <v>166</v>
      </c>
      <c r="E123" t="s">
        <v>270</v>
      </c>
      <c r="F123" t="s">
        <v>376</v>
      </c>
      <c r="G123" t="s">
        <v>169</v>
      </c>
      <c r="H123" t="s">
        <v>169</v>
      </c>
      <c r="I123" t="s">
        <v>262</v>
      </c>
      <c r="J123" t="s">
        <v>269</v>
      </c>
      <c r="K123" t="s">
        <v>172</v>
      </c>
      <c r="L123" t="s">
        <v>262</v>
      </c>
      <c r="M123" t="s">
        <v>269</v>
      </c>
      <c r="N123" s="17">
        <v>4.6980000000000004</v>
      </c>
      <c r="O123" s="17">
        <v>4.6980000000000004</v>
      </c>
      <c r="P123" s="17">
        <v>4.6980000000000004</v>
      </c>
      <c r="Q123" s="17">
        <v>4.6980000000000004</v>
      </c>
      <c r="R123" s="17">
        <v>4.6980000000000004</v>
      </c>
      <c r="S123" s="17">
        <v>4.6980000000000004</v>
      </c>
      <c r="T123" s="17">
        <v>4.6980000000000004</v>
      </c>
      <c r="U123" s="17">
        <v>4.6980000000000004</v>
      </c>
      <c r="V123" s="17">
        <v>4.6980000000000004</v>
      </c>
      <c r="W123" s="17">
        <v>4.6980000000000004</v>
      </c>
      <c r="X123" s="17">
        <v>4.6980000000000004</v>
      </c>
      <c r="Y123" s="17">
        <v>4.6980000000000004</v>
      </c>
      <c r="Z123" s="17">
        <v>56.376000000000005</v>
      </c>
    </row>
    <row r="124" spans="1:26">
      <c r="A124" t="s">
        <v>345</v>
      </c>
      <c r="B124" t="s">
        <v>359</v>
      </c>
      <c r="C124" t="s">
        <v>337</v>
      </c>
      <c r="D124" t="s">
        <v>166</v>
      </c>
      <c r="E124" t="s">
        <v>272</v>
      </c>
      <c r="F124" t="s">
        <v>377</v>
      </c>
      <c r="G124" t="s">
        <v>169</v>
      </c>
      <c r="H124" t="s">
        <v>169</v>
      </c>
      <c r="I124" t="s">
        <v>262</v>
      </c>
      <c r="J124" t="s">
        <v>269</v>
      </c>
      <c r="K124" t="s">
        <v>172</v>
      </c>
      <c r="L124" t="s">
        <v>262</v>
      </c>
      <c r="M124" t="s">
        <v>269</v>
      </c>
      <c r="N124" s="17">
        <v>2.9980000000000002</v>
      </c>
      <c r="O124" s="17">
        <v>2.9980000000000002</v>
      </c>
      <c r="P124" s="17">
        <v>2.9980000000000002</v>
      </c>
      <c r="Q124" s="17">
        <v>2.9980000000000002</v>
      </c>
      <c r="R124" s="17">
        <v>2.9980000000000002</v>
      </c>
      <c r="S124" s="17">
        <v>2.9980000000000002</v>
      </c>
      <c r="T124" s="17">
        <v>2.9980000000000002</v>
      </c>
      <c r="U124" s="17">
        <v>2.9980000000000002</v>
      </c>
      <c r="V124" s="17">
        <v>2.9980000000000002</v>
      </c>
      <c r="W124" s="17">
        <v>2.9980000000000002</v>
      </c>
      <c r="X124" s="17">
        <v>2.9980000000000002</v>
      </c>
      <c r="Y124" s="17">
        <v>2.9980000000000002</v>
      </c>
      <c r="Z124" s="17">
        <v>35.976000000000006</v>
      </c>
    </row>
    <row r="125" spans="1:26">
      <c r="A125" t="s">
        <v>345</v>
      </c>
      <c r="B125" t="s">
        <v>359</v>
      </c>
      <c r="C125" t="s">
        <v>337</v>
      </c>
      <c r="D125" t="s">
        <v>166</v>
      </c>
      <c r="E125" t="s">
        <v>274</v>
      </c>
      <c r="F125" t="s">
        <v>378</v>
      </c>
      <c r="G125" t="s">
        <v>169</v>
      </c>
      <c r="H125" t="s">
        <v>169</v>
      </c>
      <c r="I125" t="s">
        <v>262</v>
      </c>
      <c r="J125" t="s">
        <v>269</v>
      </c>
      <c r="K125" t="s">
        <v>172</v>
      </c>
      <c r="L125" t="s">
        <v>262</v>
      </c>
      <c r="M125" t="s">
        <v>269</v>
      </c>
      <c r="N125" s="17">
        <v>4.9979999999999993</v>
      </c>
      <c r="O125" s="17">
        <v>4.9979999999999993</v>
      </c>
      <c r="P125" s="17">
        <v>4.9979999999999993</v>
      </c>
      <c r="Q125" s="17">
        <v>4.9979999999999993</v>
      </c>
      <c r="R125" s="17">
        <v>4.9979999999999993</v>
      </c>
      <c r="S125" s="17">
        <v>4.9979999999999993</v>
      </c>
      <c r="T125" s="17">
        <v>4.9979999999999993</v>
      </c>
      <c r="U125" s="17">
        <v>4.9979999999999993</v>
      </c>
      <c r="V125" s="17">
        <v>4.9979999999999993</v>
      </c>
      <c r="W125" s="17">
        <v>4.9979999999999993</v>
      </c>
      <c r="X125" s="17">
        <v>4.9979999999999993</v>
      </c>
      <c r="Y125" s="17">
        <v>4.9979999999999993</v>
      </c>
      <c r="Z125" s="17">
        <v>59.975999999999978</v>
      </c>
    </row>
    <row r="126" spans="1:26">
      <c r="A126" t="s">
        <v>345</v>
      </c>
      <c r="B126" t="s">
        <v>359</v>
      </c>
      <c r="C126" t="s">
        <v>337</v>
      </c>
      <c r="D126" t="s">
        <v>166</v>
      </c>
      <c r="E126" t="s">
        <v>313</v>
      </c>
      <c r="F126" t="s">
        <v>379</v>
      </c>
      <c r="G126" t="s">
        <v>169</v>
      </c>
      <c r="H126" t="s">
        <v>169</v>
      </c>
      <c r="I126" t="s">
        <v>228</v>
      </c>
      <c r="J126" t="s">
        <v>229</v>
      </c>
      <c r="K126" t="s">
        <v>230</v>
      </c>
      <c r="L126" t="s">
        <v>228</v>
      </c>
      <c r="M126" t="s">
        <v>229</v>
      </c>
      <c r="N126" s="17">
        <v>8.2000000000000011</v>
      </c>
      <c r="O126" s="17">
        <v>8.2000000000000011</v>
      </c>
      <c r="P126" s="17">
        <v>8.2000000000000011</v>
      </c>
      <c r="Q126" s="17">
        <v>8.2000000000000011</v>
      </c>
      <c r="R126" s="17">
        <v>8.2000000000000011</v>
      </c>
      <c r="S126" s="17">
        <v>8.2000000000000011</v>
      </c>
      <c r="T126" s="17">
        <v>8.2000000000000011</v>
      </c>
      <c r="U126" s="17">
        <v>8.2000000000000011</v>
      </c>
      <c r="V126" s="17">
        <v>8.2000000000000011</v>
      </c>
      <c r="W126" s="17">
        <v>8.2000000000000011</v>
      </c>
      <c r="X126" s="17">
        <v>8.2000000000000011</v>
      </c>
      <c r="Y126" s="17">
        <v>8.2000000000000011</v>
      </c>
      <c r="Z126" s="17">
        <v>98.40000000000002</v>
      </c>
    </row>
    <row r="127" spans="1:26">
      <c r="B127" t="s">
        <v>359</v>
      </c>
      <c r="C127" t="s">
        <v>337</v>
      </c>
      <c r="D127" t="s">
        <v>166</v>
      </c>
      <c r="E127" t="s">
        <v>47</v>
      </c>
      <c r="F127" t="s">
        <v>380</v>
      </c>
      <c r="G127" t="s">
        <v>169</v>
      </c>
      <c r="H127" t="s">
        <v>169</v>
      </c>
      <c r="I127" t="s">
        <v>228</v>
      </c>
      <c r="J127" t="s">
        <v>48</v>
      </c>
      <c r="K127" t="s">
        <v>191</v>
      </c>
      <c r="L127" t="s">
        <v>228</v>
      </c>
      <c r="M127" t="s">
        <v>48</v>
      </c>
      <c r="N127" s="17">
        <v>19.591999999999999</v>
      </c>
      <c r="O127" s="17">
        <v>19.591999999999999</v>
      </c>
      <c r="P127" s="17">
        <v>19.591999999999999</v>
      </c>
      <c r="Q127" s="17">
        <v>19.591999999999999</v>
      </c>
      <c r="R127" s="17">
        <v>19.591999999999999</v>
      </c>
      <c r="S127" s="17">
        <v>19.591999999999999</v>
      </c>
      <c r="T127" s="17">
        <v>19.591999999999999</v>
      </c>
      <c r="U127" s="17">
        <v>19.591999999999999</v>
      </c>
      <c r="V127" s="17">
        <v>19.591999999999999</v>
      </c>
      <c r="W127" s="17">
        <v>19.591999999999999</v>
      </c>
      <c r="X127" s="17">
        <v>19.591999999999999</v>
      </c>
      <c r="Y127" s="17">
        <v>19.591999999999999</v>
      </c>
      <c r="Z127" s="17">
        <v>235.10399999999993</v>
      </c>
    </row>
    <row r="128" spans="1:26">
      <c r="B128" t="s">
        <v>359</v>
      </c>
      <c r="C128" t="s">
        <v>337</v>
      </c>
      <c r="D128" t="s">
        <v>166</v>
      </c>
      <c r="E128" t="s">
        <v>128</v>
      </c>
      <c r="F128" t="s">
        <v>381</v>
      </c>
      <c r="G128" t="s">
        <v>169</v>
      </c>
      <c r="H128" t="s">
        <v>169</v>
      </c>
      <c r="I128" t="s">
        <v>228</v>
      </c>
      <c r="J128" t="s">
        <v>325</v>
      </c>
      <c r="K128" t="s">
        <v>191</v>
      </c>
      <c r="L128" t="s">
        <v>228</v>
      </c>
      <c r="M128" t="s">
        <v>325</v>
      </c>
      <c r="N128" s="17">
        <v>39.983999999999995</v>
      </c>
      <c r="O128" s="17">
        <v>39.983999999999995</v>
      </c>
      <c r="P128" s="17">
        <v>39.983999999999995</v>
      </c>
      <c r="Q128" s="17">
        <v>59.975999999999999</v>
      </c>
      <c r="R128" s="17">
        <v>59.975999999999999</v>
      </c>
      <c r="S128" s="17">
        <v>59.975999999999999</v>
      </c>
      <c r="T128" s="17">
        <v>79.967999999999989</v>
      </c>
      <c r="U128" s="17">
        <v>79.967999999999989</v>
      </c>
      <c r="V128" s="17">
        <v>79.967999999999989</v>
      </c>
      <c r="W128" s="17">
        <v>79.967999999999989</v>
      </c>
      <c r="X128" s="17">
        <v>79.967999999999989</v>
      </c>
      <c r="Y128" s="17">
        <v>79.967999999999989</v>
      </c>
      <c r="Z128" s="17">
        <v>779.68799999999976</v>
      </c>
    </row>
    <row r="129" spans="2:26">
      <c r="B129" t="s">
        <v>359</v>
      </c>
      <c r="C129" t="s">
        <v>337</v>
      </c>
      <c r="D129" t="s">
        <v>166</v>
      </c>
      <c r="E129" t="s">
        <v>104</v>
      </c>
      <c r="F129" t="s">
        <v>382</v>
      </c>
      <c r="G129" t="s">
        <v>169</v>
      </c>
      <c r="H129" t="s">
        <v>169</v>
      </c>
      <c r="I129" t="s">
        <v>228</v>
      </c>
      <c r="J129" t="s">
        <v>327</v>
      </c>
      <c r="K129" t="s">
        <v>191</v>
      </c>
      <c r="L129" t="s">
        <v>228</v>
      </c>
      <c r="M129" t="s">
        <v>327</v>
      </c>
      <c r="N129" s="17">
        <v>25.192</v>
      </c>
      <c r="O129" s="17">
        <v>25.192</v>
      </c>
      <c r="P129" s="17">
        <v>25.192</v>
      </c>
      <c r="Q129" s="17">
        <v>25.192</v>
      </c>
      <c r="R129" s="17">
        <v>25.192</v>
      </c>
      <c r="S129" s="17">
        <v>25.192</v>
      </c>
      <c r="T129" s="17">
        <v>25.192</v>
      </c>
      <c r="U129" s="17">
        <v>25.192</v>
      </c>
      <c r="V129" s="17">
        <v>25.192</v>
      </c>
      <c r="W129" s="17">
        <v>25.192</v>
      </c>
      <c r="X129" s="17">
        <v>25.192</v>
      </c>
      <c r="Y129" s="17">
        <v>25.192</v>
      </c>
      <c r="Z129" s="17">
        <v>302.30400000000003</v>
      </c>
    </row>
    <row r="130" spans="2:26">
      <c r="B130" t="s">
        <v>359</v>
      </c>
      <c r="C130" t="s">
        <v>337</v>
      </c>
      <c r="D130" t="s">
        <v>166</v>
      </c>
      <c r="E130" t="s">
        <v>35</v>
      </c>
      <c r="F130" t="s">
        <v>383</v>
      </c>
      <c r="G130" t="s">
        <v>169</v>
      </c>
      <c r="H130" t="s">
        <v>169</v>
      </c>
      <c r="I130" t="s">
        <v>228</v>
      </c>
      <c r="J130" t="s">
        <v>339</v>
      </c>
      <c r="K130" t="s">
        <v>191</v>
      </c>
      <c r="L130" t="s">
        <v>228</v>
      </c>
      <c r="M130" t="s">
        <v>339</v>
      </c>
      <c r="N130" s="17">
        <v>7.9980000000000011</v>
      </c>
      <c r="O130" s="17">
        <v>7.9980000000000011</v>
      </c>
      <c r="P130" s="17">
        <v>7.9980000000000011</v>
      </c>
      <c r="Q130" s="17">
        <v>7.9980000000000011</v>
      </c>
      <c r="R130" s="17">
        <v>7.9980000000000011</v>
      </c>
      <c r="S130" s="17">
        <v>7.9980000000000011</v>
      </c>
      <c r="T130" s="17">
        <v>7.9980000000000011</v>
      </c>
      <c r="U130" s="17">
        <v>7.9980000000000011</v>
      </c>
      <c r="V130" s="17">
        <v>7.9980000000000011</v>
      </c>
      <c r="W130" s="17">
        <v>7.9980000000000011</v>
      </c>
      <c r="X130" s="17">
        <v>7.9980000000000011</v>
      </c>
      <c r="Y130" s="17">
        <v>7.9980000000000011</v>
      </c>
      <c r="Z130" s="17">
        <v>95.976000000000042</v>
      </c>
    </row>
  </sheetData>
  <autoFilter ref="A1:Z130" xr:uid="{909B13E0-F0E8-4F69-983C-E3887E16439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be44fa-8f27-42e1-8ae6-e40170041a73">
      <Terms xmlns="http://schemas.microsoft.com/office/infopath/2007/PartnerControls"/>
    </lcf76f155ced4ddcb4097134ff3c332f>
    <TaxCatchAll xmlns="45e9e1e6-f3d5-414b-9145-28757447c7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A9A7C058951345A7033AE6121937CD" ma:contentTypeVersion="14" ma:contentTypeDescription="Create a new document." ma:contentTypeScope="" ma:versionID="3d0afa3b8929fd8ceb8670787d34d30b">
  <xsd:schema xmlns:xsd="http://www.w3.org/2001/XMLSchema" xmlns:xs="http://www.w3.org/2001/XMLSchema" xmlns:p="http://schemas.microsoft.com/office/2006/metadata/properties" xmlns:ns2="72be44fa-8f27-42e1-8ae6-e40170041a73" xmlns:ns3="45e9e1e6-f3d5-414b-9145-28757447c742" targetNamespace="http://schemas.microsoft.com/office/2006/metadata/properties" ma:root="true" ma:fieldsID="e8ba3ba2dd3077f26562c73d7ffe540a" ns2:_="" ns3:_="">
    <xsd:import namespace="72be44fa-8f27-42e1-8ae6-e40170041a73"/>
    <xsd:import namespace="45e9e1e6-f3d5-414b-9145-28757447c7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e44fa-8f27-42e1-8ae6-e40170041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f8b20d4-4ae0-4d56-a710-43dc9563bd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9e1e6-f3d5-414b-9145-28757447c7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c79d9e-0d03-4fed-bae1-2c48f7269202}" ma:internalName="TaxCatchAll" ma:showField="CatchAllData" ma:web="45e9e1e6-f3d5-414b-9145-28757447c7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708FC0-25FA-4A23-8EA1-B95E3E1F6974}"/>
</file>

<file path=customXml/itemProps2.xml><?xml version="1.0" encoding="utf-8"?>
<ds:datastoreItem xmlns:ds="http://schemas.openxmlformats.org/officeDocument/2006/customXml" ds:itemID="{C414D063-5F7F-41D0-ABFA-69348A40AC83}"/>
</file>

<file path=customXml/itemProps3.xml><?xml version="1.0" encoding="utf-8"?>
<ds:datastoreItem xmlns:ds="http://schemas.openxmlformats.org/officeDocument/2006/customXml" ds:itemID="{3CDC8C23-F964-4BC7-8D58-0A1366A20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 Rabinowitch</dc:creator>
  <cp:keywords/>
  <dc:description/>
  <cp:lastModifiedBy/>
  <cp:revision/>
  <dcterms:created xsi:type="dcterms:W3CDTF">2026-03-24T22:41:42Z</dcterms:created>
  <dcterms:modified xsi:type="dcterms:W3CDTF">2026-06-01T23:53:17Z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0x010100BBA9A7C058951345A7033AE6121937CD</vt:lpwstr>
  </property>
  <property fmtid="{D5CDD505-2E9C-101B-9397-08002B2CF9AE}" pid="3" name="MediaServiceImageTags">
    <vt:lpwstr/>
  </property>
</Properties>
</file>